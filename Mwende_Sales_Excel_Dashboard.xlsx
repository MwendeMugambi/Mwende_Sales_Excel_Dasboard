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user\Documents\"/>
    </mc:Choice>
  </mc:AlternateContent>
  <xr:revisionPtr revIDLastSave="0" documentId="8_{866E60F0-2EB5-4B99-9AC2-A56E1D32B50A}" xr6:coauthVersionLast="47" xr6:coauthVersionMax="47" xr10:uidLastSave="{00000000-0000-0000-0000-000000000000}"/>
  <bookViews>
    <workbookView xWindow="-110" yWindow="-110" windowWidth="19420" windowHeight="10300" firstSheet="2" activeTab="2" xr2:uid="{00000000-000D-0000-FFFF-FFFF00000000}"/>
  </bookViews>
  <sheets>
    <sheet name="Country Vs Monthly Revenue" sheetId="4" r:id="rId1"/>
    <sheet name="SKU and ProductCategory vs Reve" sheetId="5" r:id="rId2"/>
    <sheet name="Salesperson Productivity" sheetId="8" r:id="rId3"/>
    <sheet name="Online Cannibalizing Retail" sheetId="9" r:id="rId4"/>
    <sheet name="LeadTimeDays vs OrderID" sheetId="14" r:id="rId5"/>
    <sheet name="DiscountPct &gt; 20% by Region and" sheetId="15" r:id="rId6"/>
    <sheet name="RevenueByMonth" sheetId="18" r:id="rId7"/>
    <sheet name="DiscountOutliers" sheetId="20" r:id="rId8"/>
    <sheet name="ProfitbyRegionandChannel" sheetId="19" r:id="rId9"/>
    <sheet name="Dashboard" sheetId="11" r:id="rId10"/>
    <sheet name="ReadMe" sheetId="21" r:id="rId11"/>
    <sheet name="Staging Data" sheetId="1" r:id="rId12"/>
    <sheet name="Brief" sheetId="2" r:id="rId13"/>
  </sheets>
  <definedNames>
    <definedName name="_xlchart.v1.0" hidden="1">DiscountOutliers!$B$1</definedName>
    <definedName name="_xlchart.v1.1" hidden="1">DiscountOutliers!$B$2:$B$633</definedName>
    <definedName name="_xlchart.v1.2" hidden="1">DiscountOutliers!$B$1</definedName>
    <definedName name="_xlchart.v1.3" hidden="1">DiscountOutliers!$B$2:$B$633</definedName>
    <definedName name="HigherCutOff">'Staging Data'!$AH$3</definedName>
    <definedName name="LowerCutOff">'Staging Data'!$AH$2</definedName>
    <definedName name="Slicer_Channel">#N/A</definedName>
    <definedName name="Slicer_Country">#N/A</definedName>
    <definedName name="Slicer_Country1">#N/A</definedName>
    <definedName name="Slicer_Month">#N/A</definedName>
    <definedName name="Slicer_ProductCategory">#N/A</definedName>
    <definedName name="Slicer_Region1">#N/A</definedName>
    <definedName name="Slicer_Salesperson">#N/A</definedName>
    <definedName name="Slicer_Yea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 i="11" l="1"/>
  <c r="M12" i="11"/>
  <c r="I12" i="11"/>
  <c r="F12" i="11"/>
  <c r="D2" i="1"/>
  <c r="D3" i="1"/>
  <c r="AO2" i="1"/>
  <c r="AN2" i="1"/>
  <c r="AM2" i="1"/>
  <c r="Z634" i="1"/>
  <c r="X634" i="1"/>
  <c r="AJ3" i="1"/>
  <c r="AK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F234" i="1"/>
  <c r="I234" i="1" s="1"/>
  <c r="F463" i="1"/>
  <c r="I463" i="1" s="1"/>
  <c r="E2" i="1"/>
  <c r="F2" i="1" s="1"/>
  <c r="I2" i="1" s="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F83" i="1" s="1"/>
  <c r="I83" i="1" s="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F193" i="1" s="1"/>
  <c r="I193" i="1" s="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F312" i="1" s="1"/>
  <c r="I312" i="1" s="1"/>
  <c r="E313" i="1"/>
  <c r="E314" i="1"/>
  <c r="E315" i="1"/>
  <c r="E316" i="1"/>
  <c r="E317" i="1"/>
  <c r="E318" i="1"/>
  <c r="E319" i="1"/>
  <c r="E320" i="1"/>
  <c r="E321" i="1"/>
  <c r="E322" i="1"/>
  <c r="E323" i="1"/>
  <c r="E324" i="1"/>
  <c r="E325" i="1"/>
  <c r="E326" i="1"/>
  <c r="E327" i="1"/>
  <c r="E328" i="1"/>
  <c r="E329" i="1"/>
  <c r="F329" i="1" s="1"/>
  <c r="I329" i="1" s="1"/>
  <c r="E330" i="1"/>
  <c r="E331" i="1"/>
  <c r="E332" i="1"/>
  <c r="E333" i="1"/>
  <c r="E334" i="1"/>
  <c r="E335" i="1"/>
  <c r="E336" i="1"/>
  <c r="E337" i="1"/>
  <c r="E338" i="1"/>
  <c r="E339" i="1"/>
  <c r="E340" i="1"/>
  <c r="E341" i="1"/>
  <c r="E342" i="1"/>
  <c r="E343" i="1"/>
  <c r="E344" i="1"/>
  <c r="E345" i="1"/>
  <c r="E346" i="1"/>
  <c r="E347" i="1"/>
  <c r="E348" i="1"/>
  <c r="E349" i="1"/>
  <c r="E350" i="1"/>
  <c r="E351" i="1"/>
  <c r="E352" i="1"/>
  <c r="E353" i="1"/>
  <c r="F353" i="1" s="1"/>
  <c r="I353" i="1" s="1"/>
  <c r="E354" i="1"/>
  <c r="E355" i="1"/>
  <c r="E356" i="1"/>
  <c r="E357" i="1"/>
  <c r="E358" i="1"/>
  <c r="E359" i="1"/>
  <c r="E360" i="1"/>
  <c r="E361" i="1"/>
  <c r="E362" i="1"/>
  <c r="E363" i="1"/>
  <c r="E364" i="1"/>
  <c r="E365" i="1"/>
  <c r="F365" i="1" s="1"/>
  <c r="I365" i="1" s="1"/>
  <c r="E366" i="1"/>
  <c r="E367" i="1"/>
  <c r="E368" i="1"/>
  <c r="E369" i="1"/>
  <c r="E370" i="1"/>
  <c r="E371" i="1"/>
  <c r="E372" i="1"/>
  <c r="E373" i="1"/>
  <c r="E374" i="1"/>
  <c r="E375" i="1"/>
  <c r="E376" i="1"/>
  <c r="E377" i="1"/>
  <c r="F377" i="1" s="1"/>
  <c r="I377" i="1" s="1"/>
  <c r="E378" i="1"/>
  <c r="E379" i="1"/>
  <c r="E380" i="1"/>
  <c r="E381" i="1"/>
  <c r="F381" i="1" s="1"/>
  <c r="I381" i="1" s="1"/>
  <c r="E382" i="1"/>
  <c r="E383" i="1"/>
  <c r="E384" i="1"/>
  <c r="E385" i="1"/>
  <c r="E386" i="1"/>
  <c r="E387" i="1"/>
  <c r="E388" i="1"/>
  <c r="E389" i="1"/>
  <c r="E390" i="1"/>
  <c r="E391" i="1"/>
  <c r="F391" i="1" s="1"/>
  <c r="I391" i="1" s="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F427" i="1" s="1"/>
  <c r="I427" i="1" s="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F499" i="1" s="1"/>
  <c r="I499" i="1" s="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F535" i="1" s="1"/>
  <c r="I535" i="1" s="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F571" i="1" s="1"/>
  <c r="I571" i="1" s="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F607" i="1" s="1"/>
  <c r="I607" i="1" s="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D4" i="1"/>
  <c r="D5" i="1"/>
  <c r="D6" i="1"/>
  <c r="D7" i="1"/>
  <c r="D8" i="1"/>
  <c r="D9" i="1"/>
  <c r="D10" i="1"/>
  <c r="D11" i="1"/>
  <c r="D12" i="1"/>
  <c r="D13" i="1"/>
  <c r="F13" i="1" s="1"/>
  <c r="I13" i="1" s="1"/>
  <c r="D14" i="1"/>
  <c r="D15" i="1"/>
  <c r="D16" i="1"/>
  <c r="D17" i="1"/>
  <c r="D18" i="1"/>
  <c r="D19" i="1"/>
  <c r="D20" i="1"/>
  <c r="D21" i="1"/>
  <c r="D22" i="1"/>
  <c r="D23" i="1"/>
  <c r="D24" i="1"/>
  <c r="D25" i="1"/>
  <c r="F25" i="1" s="1"/>
  <c r="I25" i="1" s="1"/>
  <c r="D26" i="1"/>
  <c r="D27" i="1"/>
  <c r="F27" i="1" s="1"/>
  <c r="I27" i="1" s="1"/>
  <c r="D28" i="1"/>
  <c r="F28" i="1" s="1"/>
  <c r="I28" i="1" s="1"/>
  <c r="D29" i="1"/>
  <c r="D30" i="1"/>
  <c r="D31" i="1"/>
  <c r="D32" i="1"/>
  <c r="D33" i="1"/>
  <c r="D34" i="1"/>
  <c r="D35" i="1"/>
  <c r="D36" i="1"/>
  <c r="D37" i="1"/>
  <c r="D38" i="1"/>
  <c r="D39" i="1"/>
  <c r="D40" i="1"/>
  <c r="F40" i="1" s="1"/>
  <c r="I40" i="1" s="1"/>
  <c r="D41" i="1"/>
  <c r="D42" i="1"/>
  <c r="F42" i="1" s="1"/>
  <c r="I42" i="1" s="1"/>
  <c r="D43" i="1"/>
  <c r="D44" i="1"/>
  <c r="D45" i="1"/>
  <c r="D46" i="1"/>
  <c r="D47" i="1"/>
  <c r="D48" i="1"/>
  <c r="D49" i="1"/>
  <c r="D50" i="1"/>
  <c r="D51" i="1"/>
  <c r="D52" i="1"/>
  <c r="D53" i="1"/>
  <c r="D54" i="1"/>
  <c r="F54" i="1" s="1"/>
  <c r="I54" i="1" s="1"/>
  <c r="D55" i="1"/>
  <c r="D56" i="1"/>
  <c r="F56" i="1" s="1"/>
  <c r="I56" i="1" s="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F85" i="1" s="1"/>
  <c r="I85" i="1" s="1"/>
  <c r="D86" i="1"/>
  <c r="D87" i="1"/>
  <c r="D88" i="1"/>
  <c r="D89" i="1"/>
  <c r="D90" i="1"/>
  <c r="D91" i="1"/>
  <c r="D92" i="1"/>
  <c r="D93" i="1"/>
  <c r="D94" i="1"/>
  <c r="D95" i="1"/>
  <c r="D96" i="1"/>
  <c r="D97" i="1"/>
  <c r="F97" i="1" s="1"/>
  <c r="I97" i="1" s="1"/>
  <c r="D98" i="1"/>
  <c r="D99" i="1"/>
  <c r="F99" i="1" s="1"/>
  <c r="I99" i="1" s="1"/>
  <c r="D100" i="1"/>
  <c r="F100" i="1" s="1"/>
  <c r="I100" i="1" s="1"/>
  <c r="D101" i="1"/>
  <c r="D102" i="1"/>
  <c r="D103" i="1"/>
  <c r="D104" i="1"/>
  <c r="D105" i="1"/>
  <c r="D106" i="1"/>
  <c r="D107" i="1"/>
  <c r="D108" i="1"/>
  <c r="D109" i="1"/>
  <c r="D110" i="1"/>
  <c r="D111" i="1"/>
  <c r="D112" i="1"/>
  <c r="F112" i="1" s="1"/>
  <c r="I112" i="1" s="1"/>
  <c r="D113" i="1"/>
  <c r="D114" i="1"/>
  <c r="F114" i="1" s="1"/>
  <c r="I114" i="1" s="1"/>
  <c r="D115" i="1"/>
  <c r="D116" i="1"/>
  <c r="D117" i="1"/>
  <c r="D118" i="1"/>
  <c r="D119" i="1"/>
  <c r="D120" i="1"/>
  <c r="D121" i="1"/>
  <c r="D122" i="1"/>
  <c r="D123" i="1"/>
  <c r="D124" i="1"/>
  <c r="D125" i="1"/>
  <c r="D126" i="1"/>
  <c r="F126" i="1" s="1"/>
  <c r="I126" i="1" s="1"/>
  <c r="D127" i="1"/>
  <c r="D128" i="1"/>
  <c r="F128" i="1" s="1"/>
  <c r="I128" i="1" s="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F169" i="1" s="1"/>
  <c r="I169" i="1" s="1"/>
  <c r="D170" i="1"/>
  <c r="D171" i="1"/>
  <c r="D172" i="1"/>
  <c r="D173" i="1"/>
  <c r="D174" i="1"/>
  <c r="D175" i="1"/>
  <c r="D176" i="1"/>
  <c r="D177" i="1"/>
  <c r="D178" i="1"/>
  <c r="D179" i="1"/>
  <c r="D180" i="1"/>
  <c r="D181" i="1"/>
  <c r="F181" i="1" s="1"/>
  <c r="I181" i="1" s="1"/>
  <c r="D182" i="1"/>
  <c r="D183" i="1"/>
  <c r="F183" i="1" s="1"/>
  <c r="I183" i="1" s="1"/>
  <c r="D184" i="1"/>
  <c r="D185" i="1"/>
  <c r="D186" i="1"/>
  <c r="D187" i="1"/>
  <c r="D188" i="1"/>
  <c r="D189" i="1"/>
  <c r="D190" i="1"/>
  <c r="D191" i="1"/>
  <c r="D192" i="1"/>
  <c r="D193" i="1"/>
  <c r="D194" i="1"/>
  <c r="D195" i="1"/>
  <c r="F195" i="1" s="1"/>
  <c r="I195" i="1" s="1"/>
  <c r="D196" i="1"/>
  <c r="F196" i="1" s="1"/>
  <c r="I196" i="1" s="1"/>
  <c r="D197" i="1"/>
  <c r="D198" i="1"/>
  <c r="F198" i="1" s="1"/>
  <c r="I198" i="1" s="1"/>
  <c r="D199" i="1"/>
  <c r="D200" i="1"/>
  <c r="D201" i="1"/>
  <c r="D202" i="1"/>
  <c r="D203" i="1"/>
  <c r="D204" i="1"/>
  <c r="D205" i="1"/>
  <c r="D206" i="1"/>
  <c r="D207" i="1"/>
  <c r="F207" i="1" s="1"/>
  <c r="I207" i="1" s="1"/>
  <c r="D208" i="1"/>
  <c r="F208" i="1" s="1"/>
  <c r="I208" i="1" s="1"/>
  <c r="D209" i="1"/>
  <c r="D210" i="1"/>
  <c r="D211" i="1"/>
  <c r="D212" i="1"/>
  <c r="D213" i="1"/>
  <c r="D214" i="1"/>
  <c r="D215" i="1"/>
  <c r="D216" i="1"/>
  <c r="D217" i="1"/>
  <c r="D218" i="1"/>
  <c r="D219" i="1"/>
  <c r="D220" i="1"/>
  <c r="F220" i="1" s="1"/>
  <c r="I220" i="1" s="1"/>
  <c r="D221" i="1"/>
  <c r="D222" i="1"/>
  <c r="F222" i="1" s="1"/>
  <c r="I222" i="1" s="1"/>
  <c r="D223" i="1"/>
  <c r="D224" i="1"/>
  <c r="F224" i="1" s="1"/>
  <c r="I224" i="1" s="1"/>
  <c r="D225" i="1"/>
  <c r="D226" i="1"/>
  <c r="D227" i="1"/>
  <c r="D228" i="1"/>
  <c r="D229" i="1"/>
  <c r="D230" i="1"/>
  <c r="D231" i="1"/>
  <c r="D232" i="1"/>
  <c r="D233" i="1"/>
  <c r="D234" i="1"/>
  <c r="D235" i="1"/>
  <c r="D236" i="1"/>
  <c r="D237" i="1"/>
  <c r="D238" i="1"/>
  <c r="D239" i="1"/>
  <c r="D240" i="1"/>
  <c r="D241" i="1"/>
  <c r="D242" i="1"/>
  <c r="D243" i="1"/>
  <c r="D244" i="1"/>
  <c r="D245" i="1"/>
  <c r="D246" i="1"/>
  <c r="F246" i="1" s="1"/>
  <c r="I246" i="1" s="1"/>
  <c r="D247" i="1"/>
  <c r="D248" i="1"/>
  <c r="F248" i="1" s="1"/>
  <c r="I248" i="1" s="1"/>
  <c r="D249" i="1"/>
  <c r="D250" i="1"/>
  <c r="D251" i="1"/>
  <c r="D252" i="1"/>
  <c r="D253" i="1"/>
  <c r="D254" i="1"/>
  <c r="D255" i="1"/>
  <c r="D256" i="1"/>
  <c r="D257" i="1"/>
  <c r="D258" i="1"/>
  <c r="D259" i="1"/>
  <c r="D260" i="1"/>
  <c r="F260" i="1" s="1"/>
  <c r="I260" i="1" s="1"/>
  <c r="D261" i="1"/>
  <c r="D262" i="1"/>
  <c r="D263" i="1"/>
  <c r="D264" i="1"/>
  <c r="D265" i="1"/>
  <c r="D266" i="1"/>
  <c r="D267" i="1"/>
  <c r="D268" i="1"/>
  <c r="D269" i="1"/>
  <c r="D270" i="1"/>
  <c r="D271" i="1"/>
  <c r="D272" i="1"/>
  <c r="F272" i="1" s="1"/>
  <c r="I272" i="1" s="1"/>
  <c r="D273" i="1"/>
  <c r="D274" i="1"/>
  <c r="D275" i="1"/>
  <c r="D276" i="1"/>
  <c r="D277" i="1"/>
  <c r="D278" i="1"/>
  <c r="D279" i="1"/>
  <c r="D280" i="1"/>
  <c r="D281" i="1"/>
  <c r="D282" i="1"/>
  <c r="D283" i="1"/>
  <c r="D284" i="1"/>
  <c r="D285" i="1"/>
  <c r="D286" i="1"/>
  <c r="D287" i="1"/>
  <c r="D288" i="1"/>
  <c r="D289" i="1"/>
  <c r="F289" i="1" s="1"/>
  <c r="I289" i="1" s="1"/>
  <c r="D290" i="1"/>
  <c r="D291" i="1"/>
  <c r="D292" i="1"/>
  <c r="D293" i="1"/>
  <c r="D294" i="1"/>
  <c r="D295" i="1"/>
  <c r="D296" i="1"/>
  <c r="D297" i="1"/>
  <c r="D298" i="1"/>
  <c r="D299" i="1"/>
  <c r="D300" i="1"/>
  <c r="D301" i="1"/>
  <c r="D302" i="1"/>
  <c r="D303" i="1"/>
  <c r="F303" i="1" s="1"/>
  <c r="I303" i="1" s="1"/>
  <c r="D304" i="1"/>
  <c r="D305" i="1"/>
  <c r="D306" i="1"/>
  <c r="D307" i="1"/>
  <c r="D308" i="1"/>
  <c r="D309" i="1"/>
  <c r="D310" i="1"/>
  <c r="D311" i="1"/>
  <c r="D312" i="1"/>
  <c r="D313" i="1"/>
  <c r="D314" i="1"/>
  <c r="D315" i="1"/>
  <c r="D316" i="1"/>
  <c r="D317" i="1"/>
  <c r="D318" i="1"/>
  <c r="D319" i="1"/>
  <c r="D320" i="1"/>
  <c r="D321" i="1"/>
  <c r="D322" i="1"/>
  <c r="D323" i="1"/>
  <c r="D324" i="1"/>
  <c r="D325" i="1"/>
  <c r="D326" i="1"/>
  <c r="D327" i="1"/>
  <c r="F327" i="1" s="1"/>
  <c r="I327" i="1" s="1"/>
  <c r="D328" i="1"/>
  <c r="D329" i="1"/>
  <c r="D330" i="1"/>
  <c r="D331" i="1"/>
  <c r="D332" i="1"/>
  <c r="D333" i="1"/>
  <c r="D334" i="1"/>
  <c r="D335" i="1"/>
  <c r="D336" i="1"/>
  <c r="D337" i="1"/>
  <c r="D338" i="1"/>
  <c r="D339" i="1"/>
  <c r="F339" i="1" s="1"/>
  <c r="I339" i="1" s="1"/>
  <c r="D340" i="1"/>
  <c r="D341" i="1"/>
  <c r="D342" i="1"/>
  <c r="D343" i="1"/>
  <c r="D344" i="1"/>
  <c r="D345" i="1"/>
  <c r="D346" i="1"/>
  <c r="D347" i="1"/>
  <c r="D348" i="1"/>
  <c r="D349" i="1"/>
  <c r="D350" i="1"/>
  <c r="D351" i="1"/>
  <c r="F351" i="1" s="1"/>
  <c r="I351" i="1" s="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G4" i="1"/>
  <c r="H4" i="1" s="1"/>
  <c r="G3"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2"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2"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2" i="1"/>
  <c r="AI633" i="1"/>
  <c r="AI632" i="1"/>
  <c r="AI631" i="1"/>
  <c r="AI630" i="1"/>
  <c r="AI629" i="1"/>
  <c r="AI628" i="1"/>
  <c r="AI627" i="1"/>
  <c r="AI626" i="1"/>
  <c r="AI625" i="1"/>
  <c r="AI624" i="1"/>
  <c r="AI623" i="1"/>
  <c r="AI622" i="1"/>
  <c r="AI621" i="1"/>
  <c r="AI620" i="1"/>
  <c r="AI619" i="1"/>
  <c r="AI618" i="1"/>
  <c r="AI617" i="1"/>
  <c r="AI616" i="1"/>
  <c r="AI615" i="1"/>
  <c r="AI614" i="1"/>
  <c r="AI613" i="1"/>
  <c r="AI612" i="1"/>
  <c r="AI611" i="1"/>
  <c r="AI610" i="1"/>
  <c r="AI609" i="1"/>
  <c r="AI608" i="1"/>
  <c r="AI607" i="1"/>
  <c r="AI606" i="1"/>
  <c r="AI605" i="1"/>
  <c r="AI604" i="1"/>
  <c r="AI603" i="1"/>
  <c r="AI602" i="1"/>
  <c r="AI601" i="1"/>
  <c r="AI600" i="1"/>
  <c r="AI599" i="1"/>
  <c r="AI598" i="1"/>
  <c r="AI597" i="1"/>
  <c r="AI596" i="1"/>
  <c r="AI595" i="1"/>
  <c r="AI594" i="1"/>
  <c r="AI593" i="1"/>
  <c r="AI592" i="1"/>
  <c r="AI591" i="1"/>
  <c r="AI590" i="1"/>
  <c r="AI589" i="1"/>
  <c r="AI588" i="1"/>
  <c r="AI587" i="1"/>
  <c r="AI586" i="1"/>
  <c r="AI585" i="1"/>
  <c r="AI584" i="1"/>
  <c r="AI583" i="1"/>
  <c r="AI582" i="1"/>
  <c r="AI581" i="1"/>
  <c r="AI580" i="1"/>
  <c r="AI579" i="1"/>
  <c r="AI578" i="1"/>
  <c r="AI577" i="1"/>
  <c r="AI576" i="1"/>
  <c r="AI575" i="1"/>
  <c r="AI574" i="1"/>
  <c r="AI573" i="1"/>
  <c r="AI572" i="1"/>
  <c r="AI571" i="1"/>
  <c r="AI570" i="1"/>
  <c r="AI569" i="1"/>
  <c r="AI568" i="1"/>
  <c r="AI567" i="1"/>
  <c r="AI566" i="1"/>
  <c r="AI565" i="1"/>
  <c r="AI564" i="1"/>
  <c r="AI563" i="1"/>
  <c r="AI562" i="1"/>
  <c r="AI561" i="1"/>
  <c r="AI560" i="1"/>
  <c r="AI559" i="1"/>
  <c r="AI558" i="1"/>
  <c r="AI557" i="1"/>
  <c r="AI556" i="1"/>
  <c r="AI555" i="1"/>
  <c r="AI554" i="1"/>
  <c r="AI553" i="1"/>
  <c r="AI552" i="1"/>
  <c r="AI551" i="1"/>
  <c r="AI550" i="1"/>
  <c r="AI549" i="1"/>
  <c r="AI548" i="1"/>
  <c r="AI547" i="1"/>
  <c r="AI546" i="1"/>
  <c r="AI545" i="1"/>
  <c r="AI544" i="1"/>
  <c r="AI543" i="1"/>
  <c r="AI542" i="1"/>
  <c r="AI541" i="1"/>
  <c r="AI540" i="1"/>
  <c r="AI539" i="1"/>
  <c r="AI538" i="1"/>
  <c r="AI537" i="1"/>
  <c r="AI536" i="1"/>
  <c r="AI535" i="1"/>
  <c r="AI534" i="1"/>
  <c r="AI533" i="1"/>
  <c r="AI532" i="1"/>
  <c r="AI531" i="1"/>
  <c r="AI530" i="1"/>
  <c r="AI529" i="1"/>
  <c r="AI528" i="1"/>
  <c r="AI527" i="1"/>
  <c r="AI526" i="1"/>
  <c r="AI525" i="1"/>
  <c r="AI524" i="1"/>
  <c r="AI523" i="1"/>
  <c r="AI522" i="1"/>
  <c r="AI521" i="1"/>
  <c r="AI520" i="1"/>
  <c r="AI519" i="1"/>
  <c r="AI518" i="1"/>
  <c r="AI517" i="1"/>
  <c r="AI516" i="1"/>
  <c r="AI515" i="1"/>
  <c r="AI514" i="1"/>
  <c r="AI513" i="1"/>
  <c r="AI512" i="1"/>
  <c r="AI511" i="1"/>
  <c r="AI510" i="1"/>
  <c r="AI509" i="1"/>
  <c r="AI508" i="1"/>
  <c r="AI507" i="1"/>
  <c r="AI506" i="1"/>
  <c r="AI505" i="1"/>
  <c r="AI504" i="1"/>
  <c r="AI503" i="1"/>
  <c r="AI502" i="1"/>
  <c r="AI501" i="1"/>
  <c r="AI500" i="1"/>
  <c r="AI499" i="1"/>
  <c r="AI498" i="1"/>
  <c r="AI497" i="1"/>
  <c r="AI496" i="1"/>
  <c r="AI495" i="1"/>
  <c r="AI494" i="1"/>
  <c r="AI493" i="1"/>
  <c r="AI492" i="1"/>
  <c r="AI491" i="1"/>
  <c r="AI490" i="1"/>
  <c r="AI489" i="1"/>
  <c r="AI488" i="1"/>
  <c r="AI487" i="1"/>
  <c r="AI486" i="1"/>
  <c r="AI485" i="1"/>
  <c r="AI484" i="1"/>
  <c r="AI483" i="1"/>
  <c r="AI482" i="1"/>
  <c r="AI481" i="1"/>
  <c r="AI480" i="1"/>
  <c r="AI479" i="1"/>
  <c r="AI478" i="1"/>
  <c r="AI477" i="1"/>
  <c r="AI476" i="1"/>
  <c r="AI475" i="1"/>
  <c r="AI474" i="1"/>
  <c r="AI473" i="1"/>
  <c r="AI472" i="1"/>
  <c r="AI471" i="1"/>
  <c r="AI470" i="1"/>
  <c r="AI469" i="1"/>
  <c r="AI468" i="1"/>
  <c r="AI467" i="1"/>
  <c r="AI466" i="1"/>
  <c r="AI465" i="1"/>
  <c r="AI464" i="1"/>
  <c r="AI463" i="1"/>
  <c r="AI462" i="1"/>
  <c r="AI461" i="1"/>
  <c r="AI460" i="1"/>
  <c r="AI459" i="1"/>
  <c r="AI458" i="1"/>
  <c r="AI457" i="1"/>
  <c r="AI456" i="1"/>
  <c r="AI455" i="1"/>
  <c r="AI454" i="1"/>
  <c r="AI453" i="1"/>
  <c r="AI452" i="1"/>
  <c r="AI451" i="1"/>
  <c r="AI450" i="1"/>
  <c r="AI449" i="1"/>
  <c r="AI448" i="1"/>
  <c r="AI447" i="1"/>
  <c r="AI446" i="1"/>
  <c r="AI445" i="1"/>
  <c r="AI444" i="1"/>
  <c r="AI443" i="1"/>
  <c r="AI442" i="1"/>
  <c r="AI441" i="1"/>
  <c r="AI440" i="1"/>
  <c r="AI439" i="1"/>
  <c r="AI438" i="1"/>
  <c r="AI437" i="1"/>
  <c r="AI436" i="1"/>
  <c r="AI435" i="1"/>
  <c r="AI434" i="1"/>
  <c r="AI433" i="1"/>
  <c r="AI432" i="1"/>
  <c r="AI431" i="1"/>
  <c r="AI430" i="1"/>
  <c r="AI429" i="1"/>
  <c r="AI428" i="1"/>
  <c r="AI427" i="1"/>
  <c r="AI426" i="1"/>
  <c r="AI425" i="1"/>
  <c r="AI424" i="1"/>
  <c r="AI423" i="1"/>
  <c r="AI422" i="1"/>
  <c r="AI421" i="1"/>
  <c r="AI420" i="1"/>
  <c r="AI419" i="1"/>
  <c r="AI418" i="1"/>
  <c r="AI417" i="1"/>
  <c r="AI416" i="1"/>
  <c r="AI415" i="1"/>
  <c r="AI414" i="1"/>
  <c r="AI413" i="1"/>
  <c r="AI412" i="1"/>
  <c r="AI411" i="1"/>
  <c r="AI410" i="1"/>
  <c r="AI409" i="1"/>
  <c r="AI408" i="1"/>
  <c r="AI407" i="1"/>
  <c r="AI406" i="1"/>
  <c r="AI405" i="1"/>
  <c r="AI404" i="1"/>
  <c r="AI403" i="1"/>
  <c r="AI402" i="1"/>
  <c r="AI401" i="1"/>
  <c r="AI400" i="1"/>
  <c r="AI399" i="1"/>
  <c r="AI398" i="1"/>
  <c r="AI397" i="1"/>
  <c r="AI396" i="1"/>
  <c r="AI395" i="1"/>
  <c r="AI394" i="1"/>
  <c r="AI393" i="1"/>
  <c r="AI392" i="1"/>
  <c r="AI391" i="1"/>
  <c r="AI390" i="1"/>
  <c r="AI389" i="1"/>
  <c r="AI388" i="1"/>
  <c r="AI387" i="1"/>
  <c r="AI386" i="1"/>
  <c r="AI385" i="1"/>
  <c r="AI384" i="1"/>
  <c r="AI383" i="1"/>
  <c r="AI382" i="1"/>
  <c r="AI381" i="1"/>
  <c r="AI380" i="1"/>
  <c r="AI379" i="1"/>
  <c r="AI378" i="1"/>
  <c r="AI377" i="1"/>
  <c r="AI376" i="1"/>
  <c r="AI375" i="1"/>
  <c r="AI374" i="1"/>
  <c r="AI373" i="1"/>
  <c r="AI372" i="1"/>
  <c r="AI371" i="1"/>
  <c r="AI370" i="1"/>
  <c r="AI369" i="1"/>
  <c r="AI368" i="1"/>
  <c r="AI367" i="1"/>
  <c r="AI366" i="1"/>
  <c r="AI365" i="1"/>
  <c r="AI364" i="1"/>
  <c r="AI363" i="1"/>
  <c r="AI362" i="1"/>
  <c r="AI361" i="1"/>
  <c r="AI360" i="1"/>
  <c r="AI359" i="1"/>
  <c r="AI358" i="1"/>
  <c r="AI357" i="1"/>
  <c r="AI356" i="1"/>
  <c r="AI355" i="1"/>
  <c r="AI354" i="1"/>
  <c r="AI353" i="1"/>
  <c r="AI352" i="1"/>
  <c r="AI351" i="1"/>
  <c r="AI350" i="1"/>
  <c r="AI349" i="1"/>
  <c r="AI348" i="1"/>
  <c r="AI347" i="1"/>
  <c r="AI346" i="1"/>
  <c r="AI345" i="1"/>
  <c r="AI344" i="1"/>
  <c r="AI343" i="1"/>
  <c r="AI342" i="1"/>
  <c r="AI341" i="1"/>
  <c r="AI340" i="1"/>
  <c r="AI339" i="1"/>
  <c r="AI338" i="1"/>
  <c r="AI337" i="1"/>
  <c r="AI336" i="1"/>
  <c r="AI335" i="1"/>
  <c r="AI334" i="1"/>
  <c r="AI333" i="1"/>
  <c r="AI332" i="1"/>
  <c r="AI331" i="1"/>
  <c r="AI330" i="1"/>
  <c r="AI329" i="1"/>
  <c r="AI328" i="1"/>
  <c r="AI327" i="1"/>
  <c r="AI326" i="1"/>
  <c r="AI325" i="1"/>
  <c r="AI324" i="1"/>
  <c r="AI323" i="1"/>
  <c r="AI322" i="1"/>
  <c r="AI321" i="1"/>
  <c r="AI320" i="1"/>
  <c r="AI319" i="1"/>
  <c r="AI318" i="1"/>
  <c r="AI317" i="1"/>
  <c r="AI316" i="1"/>
  <c r="AI315" i="1"/>
  <c r="AI314" i="1"/>
  <c r="AI313" i="1"/>
  <c r="AI312" i="1"/>
  <c r="AI311" i="1"/>
  <c r="AI310" i="1"/>
  <c r="AI309" i="1"/>
  <c r="AI308" i="1"/>
  <c r="AI307" i="1"/>
  <c r="AI306" i="1"/>
  <c r="AI305" i="1"/>
  <c r="AI304" i="1"/>
  <c r="AI303" i="1"/>
  <c r="AI302" i="1"/>
  <c r="AI301" i="1"/>
  <c r="AI300" i="1"/>
  <c r="AI299" i="1"/>
  <c r="AI298" i="1"/>
  <c r="AI297" i="1"/>
  <c r="AI296" i="1"/>
  <c r="AI295" i="1"/>
  <c r="AI294" i="1"/>
  <c r="AI293" i="1"/>
  <c r="AI292" i="1"/>
  <c r="AI291" i="1"/>
  <c r="AI290" i="1"/>
  <c r="AI289" i="1"/>
  <c r="AI288" i="1"/>
  <c r="AI287" i="1"/>
  <c r="AI286" i="1"/>
  <c r="AI285" i="1"/>
  <c r="AI284" i="1"/>
  <c r="AI283" i="1"/>
  <c r="AI282" i="1"/>
  <c r="AI281" i="1"/>
  <c r="AI280" i="1"/>
  <c r="AI279" i="1"/>
  <c r="AI278" i="1"/>
  <c r="AI277" i="1"/>
  <c r="AI276" i="1"/>
  <c r="AI275" i="1"/>
  <c r="AI274" i="1"/>
  <c r="AI273" i="1"/>
  <c r="AI272" i="1"/>
  <c r="AI271" i="1"/>
  <c r="AI270" i="1"/>
  <c r="AI269" i="1"/>
  <c r="AI268" i="1"/>
  <c r="AI267" i="1"/>
  <c r="AI266" i="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I166" i="1"/>
  <c r="AI165" i="1"/>
  <c r="AI164" i="1"/>
  <c r="AI163" i="1"/>
  <c r="AI162" i="1"/>
  <c r="AI161" i="1"/>
  <c r="AI160" i="1"/>
  <c r="AI159" i="1"/>
  <c r="AI158" i="1"/>
  <c r="AI157" i="1"/>
  <c r="AI156" i="1"/>
  <c r="AI155" i="1"/>
  <c r="AI154" i="1"/>
  <c r="AI153" i="1"/>
  <c r="AI152" i="1"/>
  <c r="AI151" i="1"/>
  <c r="AI150" i="1"/>
  <c r="AI149" i="1"/>
  <c r="AI148" i="1"/>
  <c r="AI147" i="1"/>
  <c r="AI146" i="1"/>
  <c r="AI145" i="1"/>
  <c r="AI144" i="1"/>
  <c r="AI143" i="1"/>
  <c r="AI142" i="1"/>
  <c r="AI141" i="1"/>
  <c r="AI140" i="1"/>
  <c r="AI139" i="1"/>
  <c r="AI138" i="1"/>
  <c r="AI137" i="1"/>
  <c r="AI136" i="1"/>
  <c r="AI135" i="1"/>
  <c r="AI134" i="1"/>
  <c r="AI133" i="1"/>
  <c r="AI13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AI102" i="1"/>
  <c r="AI101" i="1"/>
  <c r="AI100"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4" i="1"/>
  <c r="AI73" i="1"/>
  <c r="AI72" i="1"/>
  <c r="AI71" i="1"/>
  <c r="AI70" i="1"/>
  <c r="AI69" i="1"/>
  <c r="AI68" i="1"/>
  <c r="AI67" i="1"/>
  <c r="AI66" i="1"/>
  <c r="AI65" i="1"/>
  <c r="AI64" i="1"/>
  <c r="AI63" i="1"/>
  <c r="AI62" i="1"/>
  <c r="AI61" i="1"/>
  <c r="AI60"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I2" i="1"/>
  <c r="G2" i="1"/>
  <c r="H2" i="1" s="1"/>
  <c r="H3" i="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02" i="1"/>
  <c r="H202" i="1" s="1"/>
  <c r="G203" i="1"/>
  <c r="H203" i="1" s="1"/>
  <c r="G204" i="1"/>
  <c r="H204" i="1" s="1"/>
  <c r="G205" i="1"/>
  <c r="H205" i="1" s="1"/>
  <c r="G206" i="1"/>
  <c r="H206" i="1" s="1"/>
  <c r="G207" i="1"/>
  <c r="H207" i="1" s="1"/>
  <c r="G208" i="1"/>
  <c r="H208" i="1" s="1"/>
  <c r="G209" i="1"/>
  <c r="H209" i="1" s="1"/>
  <c r="G210" i="1"/>
  <c r="H210" i="1" s="1"/>
  <c r="G211" i="1"/>
  <c r="H211" i="1" s="1"/>
  <c r="G212" i="1"/>
  <c r="H212" i="1" s="1"/>
  <c r="G213" i="1"/>
  <c r="H213" i="1" s="1"/>
  <c r="G214" i="1"/>
  <c r="H214" i="1" s="1"/>
  <c r="G215" i="1"/>
  <c r="H215" i="1" s="1"/>
  <c r="G216" i="1"/>
  <c r="H216" i="1" s="1"/>
  <c r="G217" i="1"/>
  <c r="H217" i="1" s="1"/>
  <c r="G218" i="1"/>
  <c r="H218" i="1" s="1"/>
  <c r="G219" i="1"/>
  <c r="H219" i="1" s="1"/>
  <c r="G220" i="1"/>
  <c r="H220" i="1" s="1"/>
  <c r="G221" i="1"/>
  <c r="H221" i="1" s="1"/>
  <c r="G222" i="1"/>
  <c r="H222" i="1" s="1"/>
  <c r="G223" i="1"/>
  <c r="H223" i="1" s="1"/>
  <c r="G224" i="1"/>
  <c r="H224" i="1" s="1"/>
  <c r="G225" i="1"/>
  <c r="H225" i="1" s="1"/>
  <c r="G226" i="1"/>
  <c r="H226" i="1" s="1"/>
  <c r="G227" i="1"/>
  <c r="H227" i="1" s="1"/>
  <c r="G228" i="1"/>
  <c r="H228" i="1" s="1"/>
  <c r="G229" i="1"/>
  <c r="H229" i="1" s="1"/>
  <c r="G230" i="1"/>
  <c r="H230" i="1" s="1"/>
  <c r="G231" i="1"/>
  <c r="H231" i="1" s="1"/>
  <c r="G232" i="1"/>
  <c r="H232" i="1" s="1"/>
  <c r="G233" i="1"/>
  <c r="H233" i="1" s="1"/>
  <c r="G234" i="1"/>
  <c r="H234" i="1" s="1"/>
  <c r="G235" i="1"/>
  <c r="H235" i="1" s="1"/>
  <c r="G236" i="1"/>
  <c r="H236" i="1" s="1"/>
  <c r="G237" i="1"/>
  <c r="H237" i="1" s="1"/>
  <c r="G238" i="1"/>
  <c r="H238" i="1" s="1"/>
  <c r="G239" i="1"/>
  <c r="H239" i="1" s="1"/>
  <c r="G240" i="1"/>
  <c r="H240" i="1" s="1"/>
  <c r="G241" i="1"/>
  <c r="H241" i="1" s="1"/>
  <c r="G242" i="1"/>
  <c r="H242" i="1" s="1"/>
  <c r="G243" i="1"/>
  <c r="H243" i="1" s="1"/>
  <c r="G244" i="1"/>
  <c r="H244" i="1" s="1"/>
  <c r="G245" i="1"/>
  <c r="H245" i="1" s="1"/>
  <c r="G246" i="1"/>
  <c r="H246" i="1" s="1"/>
  <c r="G247" i="1"/>
  <c r="H247" i="1" s="1"/>
  <c r="G248" i="1"/>
  <c r="H248" i="1" s="1"/>
  <c r="G249" i="1"/>
  <c r="H249" i="1" s="1"/>
  <c r="G250" i="1"/>
  <c r="H250" i="1" s="1"/>
  <c r="G251" i="1"/>
  <c r="H251" i="1" s="1"/>
  <c r="G252" i="1"/>
  <c r="H252" i="1" s="1"/>
  <c r="G253" i="1"/>
  <c r="H253" i="1" s="1"/>
  <c r="G254" i="1"/>
  <c r="H254" i="1" s="1"/>
  <c r="G255" i="1"/>
  <c r="H255" i="1" s="1"/>
  <c r="G256" i="1"/>
  <c r="H256" i="1" s="1"/>
  <c r="G257" i="1"/>
  <c r="H257" i="1" s="1"/>
  <c r="G258" i="1"/>
  <c r="H258" i="1" s="1"/>
  <c r="G259" i="1"/>
  <c r="H259" i="1" s="1"/>
  <c r="G260" i="1"/>
  <c r="H260" i="1" s="1"/>
  <c r="G261" i="1"/>
  <c r="H261" i="1" s="1"/>
  <c r="G262" i="1"/>
  <c r="H262" i="1" s="1"/>
  <c r="G263" i="1"/>
  <c r="H263" i="1" s="1"/>
  <c r="G264" i="1"/>
  <c r="H264" i="1" s="1"/>
  <c r="G265" i="1"/>
  <c r="H265" i="1" s="1"/>
  <c r="G266" i="1"/>
  <c r="H266" i="1" s="1"/>
  <c r="G267" i="1"/>
  <c r="H267" i="1" s="1"/>
  <c r="G268" i="1"/>
  <c r="H268" i="1" s="1"/>
  <c r="G269" i="1"/>
  <c r="H269" i="1" s="1"/>
  <c r="G270" i="1"/>
  <c r="H270" i="1" s="1"/>
  <c r="G271" i="1"/>
  <c r="H271" i="1" s="1"/>
  <c r="G272" i="1"/>
  <c r="H272" i="1" s="1"/>
  <c r="G273" i="1"/>
  <c r="H273" i="1" s="1"/>
  <c r="G274" i="1"/>
  <c r="H274" i="1" s="1"/>
  <c r="G275" i="1"/>
  <c r="H275" i="1" s="1"/>
  <c r="G276" i="1"/>
  <c r="H276" i="1" s="1"/>
  <c r="G277" i="1"/>
  <c r="H277" i="1" s="1"/>
  <c r="G278" i="1"/>
  <c r="H278" i="1" s="1"/>
  <c r="G279" i="1"/>
  <c r="H279" i="1" s="1"/>
  <c r="G280" i="1"/>
  <c r="H280" i="1" s="1"/>
  <c r="G281" i="1"/>
  <c r="H281" i="1" s="1"/>
  <c r="G282" i="1"/>
  <c r="H282" i="1" s="1"/>
  <c r="G283" i="1"/>
  <c r="H283" i="1" s="1"/>
  <c r="G284" i="1"/>
  <c r="H284" i="1" s="1"/>
  <c r="G285" i="1"/>
  <c r="H285" i="1" s="1"/>
  <c r="G286" i="1"/>
  <c r="H286" i="1" s="1"/>
  <c r="G287" i="1"/>
  <c r="H287" i="1" s="1"/>
  <c r="G288" i="1"/>
  <c r="H288" i="1" s="1"/>
  <c r="G289" i="1"/>
  <c r="H289" i="1" s="1"/>
  <c r="G290" i="1"/>
  <c r="H290" i="1" s="1"/>
  <c r="G291" i="1"/>
  <c r="H291" i="1" s="1"/>
  <c r="G292" i="1"/>
  <c r="H292" i="1" s="1"/>
  <c r="G293" i="1"/>
  <c r="H293" i="1" s="1"/>
  <c r="G294" i="1"/>
  <c r="H294" i="1" s="1"/>
  <c r="G295" i="1"/>
  <c r="H295" i="1" s="1"/>
  <c r="G296" i="1"/>
  <c r="H296" i="1" s="1"/>
  <c r="G297" i="1"/>
  <c r="H297" i="1" s="1"/>
  <c r="G298" i="1"/>
  <c r="H298" i="1" s="1"/>
  <c r="G299" i="1"/>
  <c r="H299" i="1" s="1"/>
  <c r="G300" i="1"/>
  <c r="H300" i="1" s="1"/>
  <c r="G301" i="1"/>
  <c r="H301" i="1" s="1"/>
  <c r="G302" i="1"/>
  <c r="H302" i="1" s="1"/>
  <c r="G303" i="1"/>
  <c r="H303" i="1" s="1"/>
  <c r="G304" i="1"/>
  <c r="H304" i="1" s="1"/>
  <c r="G305" i="1"/>
  <c r="H305" i="1" s="1"/>
  <c r="G306" i="1"/>
  <c r="H306" i="1" s="1"/>
  <c r="G307" i="1"/>
  <c r="H307" i="1" s="1"/>
  <c r="G308" i="1"/>
  <c r="H308" i="1" s="1"/>
  <c r="G309" i="1"/>
  <c r="H309" i="1" s="1"/>
  <c r="G310" i="1"/>
  <c r="H310" i="1" s="1"/>
  <c r="G311" i="1"/>
  <c r="H311" i="1" s="1"/>
  <c r="G312" i="1"/>
  <c r="H312" i="1" s="1"/>
  <c r="G313" i="1"/>
  <c r="H313" i="1" s="1"/>
  <c r="G314" i="1"/>
  <c r="H314" i="1" s="1"/>
  <c r="G315" i="1"/>
  <c r="H315" i="1" s="1"/>
  <c r="G316" i="1"/>
  <c r="H316" i="1" s="1"/>
  <c r="G317" i="1"/>
  <c r="H317" i="1" s="1"/>
  <c r="G318" i="1"/>
  <c r="H318" i="1" s="1"/>
  <c r="G319" i="1"/>
  <c r="H319" i="1" s="1"/>
  <c r="G320" i="1"/>
  <c r="H320" i="1" s="1"/>
  <c r="G321" i="1"/>
  <c r="H321" i="1" s="1"/>
  <c r="G322" i="1"/>
  <c r="H322" i="1" s="1"/>
  <c r="G323" i="1"/>
  <c r="H323" i="1" s="1"/>
  <c r="G324" i="1"/>
  <c r="H324" i="1" s="1"/>
  <c r="G325" i="1"/>
  <c r="H325" i="1" s="1"/>
  <c r="G326" i="1"/>
  <c r="H326" i="1" s="1"/>
  <c r="G327" i="1"/>
  <c r="H327" i="1" s="1"/>
  <c r="G328" i="1"/>
  <c r="H328" i="1" s="1"/>
  <c r="G329" i="1"/>
  <c r="H329" i="1" s="1"/>
  <c r="G330" i="1"/>
  <c r="H330" i="1" s="1"/>
  <c r="G331" i="1"/>
  <c r="H331" i="1" s="1"/>
  <c r="G332" i="1"/>
  <c r="H332" i="1" s="1"/>
  <c r="G333" i="1"/>
  <c r="H333" i="1" s="1"/>
  <c r="G334" i="1"/>
  <c r="H334" i="1" s="1"/>
  <c r="G335" i="1"/>
  <c r="H335" i="1" s="1"/>
  <c r="G336" i="1"/>
  <c r="H336" i="1" s="1"/>
  <c r="G337" i="1"/>
  <c r="H337" i="1" s="1"/>
  <c r="G338" i="1"/>
  <c r="H338" i="1" s="1"/>
  <c r="G339" i="1"/>
  <c r="H339" i="1" s="1"/>
  <c r="G340" i="1"/>
  <c r="H340" i="1" s="1"/>
  <c r="G341" i="1"/>
  <c r="H341" i="1" s="1"/>
  <c r="G342" i="1"/>
  <c r="H342" i="1" s="1"/>
  <c r="G343" i="1"/>
  <c r="H343" i="1" s="1"/>
  <c r="G344" i="1"/>
  <c r="H344" i="1" s="1"/>
  <c r="G345" i="1"/>
  <c r="H345" i="1" s="1"/>
  <c r="G346" i="1"/>
  <c r="H346" i="1" s="1"/>
  <c r="G347" i="1"/>
  <c r="H347" i="1" s="1"/>
  <c r="G348" i="1"/>
  <c r="H348" i="1" s="1"/>
  <c r="G349" i="1"/>
  <c r="H349" i="1" s="1"/>
  <c r="G350" i="1"/>
  <c r="H350" i="1" s="1"/>
  <c r="G351" i="1"/>
  <c r="H351" i="1" s="1"/>
  <c r="G352" i="1"/>
  <c r="H352" i="1" s="1"/>
  <c r="G353" i="1"/>
  <c r="H353" i="1" s="1"/>
  <c r="G354" i="1"/>
  <c r="H354" i="1" s="1"/>
  <c r="G355" i="1"/>
  <c r="H355" i="1" s="1"/>
  <c r="G356" i="1"/>
  <c r="H356" i="1" s="1"/>
  <c r="G357" i="1"/>
  <c r="H357" i="1" s="1"/>
  <c r="G358" i="1"/>
  <c r="H358" i="1" s="1"/>
  <c r="G359" i="1"/>
  <c r="H359" i="1" s="1"/>
  <c r="G360" i="1"/>
  <c r="H360" i="1" s="1"/>
  <c r="G361" i="1"/>
  <c r="H361" i="1" s="1"/>
  <c r="G362" i="1"/>
  <c r="H362" i="1" s="1"/>
  <c r="G363" i="1"/>
  <c r="H363" i="1" s="1"/>
  <c r="G364" i="1"/>
  <c r="H364" i="1" s="1"/>
  <c r="G365" i="1"/>
  <c r="H365" i="1" s="1"/>
  <c r="G366" i="1"/>
  <c r="H366" i="1" s="1"/>
  <c r="G367" i="1"/>
  <c r="H367" i="1" s="1"/>
  <c r="G368" i="1"/>
  <c r="H368" i="1" s="1"/>
  <c r="G369" i="1"/>
  <c r="H369" i="1" s="1"/>
  <c r="G370" i="1"/>
  <c r="H370" i="1" s="1"/>
  <c r="G371" i="1"/>
  <c r="H371" i="1" s="1"/>
  <c r="G372" i="1"/>
  <c r="H372" i="1" s="1"/>
  <c r="G373" i="1"/>
  <c r="H373" i="1" s="1"/>
  <c r="G374" i="1"/>
  <c r="H374" i="1" s="1"/>
  <c r="G375" i="1"/>
  <c r="H375" i="1" s="1"/>
  <c r="G376" i="1"/>
  <c r="H376" i="1" s="1"/>
  <c r="G377" i="1"/>
  <c r="H377" i="1" s="1"/>
  <c r="G378" i="1"/>
  <c r="H378" i="1" s="1"/>
  <c r="G379" i="1"/>
  <c r="H379" i="1" s="1"/>
  <c r="G380" i="1"/>
  <c r="H380" i="1" s="1"/>
  <c r="G381" i="1"/>
  <c r="H381" i="1" s="1"/>
  <c r="G382" i="1"/>
  <c r="H382" i="1" s="1"/>
  <c r="G383" i="1"/>
  <c r="H383" i="1" s="1"/>
  <c r="G384" i="1"/>
  <c r="H384" i="1" s="1"/>
  <c r="G385" i="1"/>
  <c r="H385" i="1" s="1"/>
  <c r="G386" i="1"/>
  <c r="H386" i="1" s="1"/>
  <c r="G387" i="1"/>
  <c r="H387" i="1" s="1"/>
  <c r="G388" i="1"/>
  <c r="H388" i="1" s="1"/>
  <c r="G389" i="1"/>
  <c r="H389" i="1" s="1"/>
  <c r="G390" i="1"/>
  <c r="H390" i="1" s="1"/>
  <c r="G391" i="1"/>
  <c r="H391" i="1" s="1"/>
  <c r="G392" i="1"/>
  <c r="H392" i="1" s="1"/>
  <c r="G393" i="1"/>
  <c r="H393" i="1" s="1"/>
  <c r="G394" i="1"/>
  <c r="H394" i="1" s="1"/>
  <c r="G395" i="1"/>
  <c r="H395" i="1" s="1"/>
  <c r="G396" i="1"/>
  <c r="H396" i="1" s="1"/>
  <c r="G397" i="1"/>
  <c r="H397" i="1" s="1"/>
  <c r="G398" i="1"/>
  <c r="H398" i="1" s="1"/>
  <c r="G399" i="1"/>
  <c r="H399" i="1" s="1"/>
  <c r="G400" i="1"/>
  <c r="H400" i="1" s="1"/>
  <c r="G401" i="1"/>
  <c r="H401" i="1" s="1"/>
  <c r="G402" i="1"/>
  <c r="H402" i="1" s="1"/>
  <c r="G403" i="1"/>
  <c r="H403" i="1" s="1"/>
  <c r="G404" i="1"/>
  <c r="H404" i="1" s="1"/>
  <c r="G405" i="1"/>
  <c r="H405" i="1" s="1"/>
  <c r="G406" i="1"/>
  <c r="H406" i="1" s="1"/>
  <c r="G407" i="1"/>
  <c r="H407" i="1" s="1"/>
  <c r="G408" i="1"/>
  <c r="H408" i="1" s="1"/>
  <c r="G409" i="1"/>
  <c r="H409" i="1" s="1"/>
  <c r="G410" i="1"/>
  <c r="H410" i="1" s="1"/>
  <c r="G411" i="1"/>
  <c r="H411" i="1" s="1"/>
  <c r="G412" i="1"/>
  <c r="H412" i="1" s="1"/>
  <c r="G413" i="1"/>
  <c r="H413" i="1" s="1"/>
  <c r="G414" i="1"/>
  <c r="H414" i="1" s="1"/>
  <c r="G415" i="1"/>
  <c r="H415" i="1" s="1"/>
  <c r="G416" i="1"/>
  <c r="H416" i="1" s="1"/>
  <c r="G417" i="1"/>
  <c r="H417" i="1" s="1"/>
  <c r="G418" i="1"/>
  <c r="H418" i="1" s="1"/>
  <c r="G419" i="1"/>
  <c r="H419" i="1" s="1"/>
  <c r="G420" i="1"/>
  <c r="H420" i="1" s="1"/>
  <c r="G421" i="1"/>
  <c r="H421" i="1" s="1"/>
  <c r="G422" i="1"/>
  <c r="H422" i="1" s="1"/>
  <c r="G423" i="1"/>
  <c r="H423" i="1" s="1"/>
  <c r="G424" i="1"/>
  <c r="H424" i="1" s="1"/>
  <c r="G425" i="1"/>
  <c r="H425" i="1" s="1"/>
  <c r="G426" i="1"/>
  <c r="H426" i="1" s="1"/>
  <c r="G427" i="1"/>
  <c r="H427" i="1" s="1"/>
  <c r="G428" i="1"/>
  <c r="H428" i="1" s="1"/>
  <c r="G429" i="1"/>
  <c r="H429" i="1" s="1"/>
  <c r="G430" i="1"/>
  <c r="H430" i="1" s="1"/>
  <c r="G431" i="1"/>
  <c r="H431" i="1" s="1"/>
  <c r="G432" i="1"/>
  <c r="H432" i="1" s="1"/>
  <c r="G433" i="1"/>
  <c r="H433" i="1" s="1"/>
  <c r="G434" i="1"/>
  <c r="H434" i="1" s="1"/>
  <c r="G435" i="1"/>
  <c r="H435" i="1" s="1"/>
  <c r="G436" i="1"/>
  <c r="H436" i="1" s="1"/>
  <c r="G437" i="1"/>
  <c r="H437" i="1" s="1"/>
  <c r="G438" i="1"/>
  <c r="H438" i="1" s="1"/>
  <c r="G439" i="1"/>
  <c r="H439" i="1" s="1"/>
  <c r="G440" i="1"/>
  <c r="H440" i="1" s="1"/>
  <c r="G441" i="1"/>
  <c r="H441" i="1" s="1"/>
  <c r="G442" i="1"/>
  <c r="H442" i="1" s="1"/>
  <c r="G443" i="1"/>
  <c r="H443" i="1" s="1"/>
  <c r="G444" i="1"/>
  <c r="H444" i="1" s="1"/>
  <c r="G445" i="1"/>
  <c r="H445" i="1" s="1"/>
  <c r="G446" i="1"/>
  <c r="H446" i="1" s="1"/>
  <c r="G447" i="1"/>
  <c r="H447" i="1" s="1"/>
  <c r="G448" i="1"/>
  <c r="H448" i="1" s="1"/>
  <c r="G449" i="1"/>
  <c r="H449" i="1" s="1"/>
  <c r="G450" i="1"/>
  <c r="H450" i="1" s="1"/>
  <c r="G451" i="1"/>
  <c r="H451" i="1" s="1"/>
  <c r="G452" i="1"/>
  <c r="H452" i="1" s="1"/>
  <c r="G453" i="1"/>
  <c r="H453" i="1" s="1"/>
  <c r="G454" i="1"/>
  <c r="H454" i="1" s="1"/>
  <c r="G455" i="1"/>
  <c r="H455" i="1" s="1"/>
  <c r="G456" i="1"/>
  <c r="H456" i="1" s="1"/>
  <c r="G457" i="1"/>
  <c r="H457" i="1" s="1"/>
  <c r="G458" i="1"/>
  <c r="H458" i="1" s="1"/>
  <c r="G459" i="1"/>
  <c r="H459" i="1" s="1"/>
  <c r="G460" i="1"/>
  <c r="H460" i="1" s="1"/>
  <c r="G461" i="1"/>
  <c r="H461" i="1" s="1"/>
  <c r="G462" i="1"/>
  <c r="H462" i="1" s="1"/>
  <c r="G463" i="1"/>
  <c r="H463" i="1" s="1"/>
  <c r="G464" i="1"/>
  <c r="H464" i="1" s="1"/>
  <c r="G465" i="1"/>
  <c r="H465" i="1" s="1"/>
  <c r="G466" i="1"/>
  <c r="H466" i="1" s="1"/>
  <c r="G467" i="1"/>
  <c r="H467" i="1" s="1"/>
  <c r="G468" i="1"/>
  <c r="H468" i="1" s="1"/>
  <c r="G469" i="1"/>
  <c r="H469" i="1" s="1"/>
  <c r="G470" i="1"/>
  <c r="H470" i="1" s="1"/>
  <c r="G471" i="1"/>
  <c r="H471" i="1" s="1"/>
  <c r="G472" i="1"/>
  <c r="H472" i="1" s="1"/>
  <c r="G473" i="1"/>
  <c r="H473" i="1" s="1"/>
  <c r="G474" i="1"/>
  <c r="H474" i="1" s="1"/>
  <c r="G475" i="1"/>
  <c r="H475" i="1" s="1"/>
  <c r="G476" i="1"/>
  <c r="H476" i="1" s="1"/>
  <c r="G477" i="1"/>
  <c r="H477" i="1" s="1"/>
  <c r="G478" i="1"/>
  <c r="H478" i="1" s="1"/>
  <c r="G479" i="1"/>
  <c r="H479" i="1" s="1"/>
  <c r="G480" i="1"/>
  <c r="H480" i="1" s="1"/>
  <c r="G481" i="1"/>
  <c r="H481" i="1" s="1"/>
  <c r="G482" i="1"/>
  <c r="H482" i="1" s="1"/>
  <c r="G483" i="1"/>
  <c r="H483" i="1" s="1"/>
  <c r="G484" i="1"/>
  <c r="H484" i="1" s="1"/>
  <c r="G485" i="1"/>
  <c r="H485" i="1" s="1"/>
  <c r="G486" i="1"/>
  <c r="H486" i="1" s="1"/>
  <c r="G487" i="1"/>
  <c r="H487" i="1" s="1"/>
  <c r="G488" i="1"/>
  <c r="H488" i="1" s="1"/>
  <c r="G489" i="1"/>
  <c r="H489" i="1" s="1"/>
  <c r="G490" i="1"/>
  <c r="H490" i="1" s="1"/>
  <c r="G491" i="1"/>
  <c r="H491" i="1" s="1"/>
  <c r="G492" i="1"/>
  <c r="H492" i="1" s="1"/>
  <c r="G493" i="1"/>
  <c r="H493" i="1" s="1"/>
  <c r="G494" i="1"/>
  <c r="H494" i="1" s="1"/>
  <c r="G495" i="1"/>
  <c r="H495" i="1" s="1"/>
  <c r="G496" i="1"/>
  <c r="H496" i="1" s="1"/>
  <c r="G497" i="1"/>
  <c r="H497" i="1" s="1"/>
  <c r="G498" i="1"/>
  <c r="H498" i="1" s="1"/>
  <c r="G499" i="1"/>
  <c r="H499" i="1" s="1"/>
  <c r="G500" i="1"/>
  <c r="H500" i="1" s="1"/>
  <c r="G501" i="1"/>
  <c r="H501" i="1" s="1"/>
  <c r="G502" i="1"/>
  <c r="H502" i="1" s="1"/>
  <c r="G503" i="1"/>
  <c r="H503" i="1" s="1"/>
  <c r="G504" i="1"/>
  <c r="H504" i="1" s="1"/>
  <c r="G505" i="1"/>
  <c r="H505" i="1" s="1"/>
  <c r="G506" i="1"/>
  <c r="H506" i="1" s="1"/>
  <c r="G507" i="1"/>
  <c r="H507" i="1" s="1"/>
  <c r="G508" i="1"/>
  <c r="H508" i="1" s="1"/>
  <c r="G509" i="1"/>
  <c r="H509" i="1" s="1"/>
  <c r="G510" i="1"/>
  <c r="H510" i="1" s="1"/>
  <c r="G511" i="1"/>
  <c r="H511" i="1" s="1"/>
  <c r="G512" i="1"/>
  <c r="H512" i="1" s="1"/>
  <c r="G513" i="1"/>
  <c r="H513" i="1" s="1"/>
  <c r="G514" i="1"/>
  <c r="H514" i="1" s="1"/>
  <c r="G515" i="1"/>
  <c r="H515" i="1" s="1"/>
  <c r="G516" i="1"/>
  <c r="H516" i="1" s="1"/>
  <c r="G517" i="1"/>
  <c r="H517" i="1" s="1"/>
  <c r="G518" i="1"/>
  <c r="H518" i="1" s="1"/>
  <c r="G519" i="1"/>
  <c r="H519" i="1" s="1"/>
  <c r="G520" i="1"/>
  <c r="H520" i="1" s="1"/>
  <c r="G521" i="1"/>
  <c r="H521" i="1" s="1"/>
  <c r="G522" i="1"/>
  <c r="H522" i="1" s="1"/>
  <c r="G523" i="1"/>
  <c r="H523" i="1" s="1"/>
  <c r="G524" i="1"/>
  <c r="H524" i="1" s="1"/>
  <c r="G525" i="1"/>
  <c r="H525" i="1" s="1"/>
  <c r="G526" i="1"/>
  <c r="H526" i="1" s="1"/>
  <c r="G527" i="1"/>
  <c r="H527" i="1" s="1"/>
  <c r="G528" i="1"/>
  <c r="H528" i="1" s="1"/>
  <c r="G529" i="1"/>
  <c r="H529" i="1" s="1"/>
  <c r="G530" i="1"/>
  <c r="H530" i="1" s="1"/>
  <c r="G531" i="1"/>
  <c r="H531" i="1" s="1"/>
  <c r="G532" i="1"/>
  <c r="H532" i="1" s="1"/>
  <c r="G533" i="1"/>
  <c r="H533" i="1" s="1"/>
  <c r="G534" i="1"/>
  <c r="H534" i="1" s="1"/>
  <c r="G535" i="1"/>
  <c r="H535" i="1" s="1"/>
  <c r="G536" i="1"/>
  <c r="H536" i="1" s="1"/>
  <c r="G537" i="1"/>
  <c r="H537" i="1" s="1"/>
  <c r="G538" i="1"/>
  <c r="H538" i="1" s="1"/>
  <c r="G539" i="1"/>
  <c r="H539" i="1" s="1"/>
  <c r="G540" i="1"/>
  <c r="H540" i="1" s="1"/>
  <c r="G541" i="1"/>
  <c r="H541" i="1" s="1"/>
  <c r="G542" i="1"/>
  <c r="H542" i="1" s="1"/>
  <c r="G543" i="1"/>
  <c r="H543" i="1" s="1"/>
  <c r="G544" i="1"/>
  <c r="H544" i="1" s="1"/>
  <c r="G545" i="1"/>
  <c r="H545" i="1" s="1"/>
  <c r="G546" i="1"/>
  <c r="H546" i="1" s="1"/>
  <c r="G547" i="1"/>
  <c r="H547" i="1" s="1"/>
  <c r="G548" i="1"/>
  <c r="H548" i="1" s="1"/>
  <c r="G549" i="1"/>
  <c r="H549" i="1" s="1"/>
  <c r="G550" i="1"/>
  <c r="H550" i="1" s="1"/>
  <c r="G551" i="1"/>
  <c r="H551" i="1" s="1"/>
  <c r="G552" i="1"/>
  <c r="H552" i="1" s="1"/>
  <c r="G553" i="1"/>
  <c r="H553" i="1" s="1"/>
  <c r="G554" i="1"/>
  <c r="H554" i="1" s="1"/>
  <c r="G555" i="1"/>
  <c r="H555" i="1" s="1"/>
  <c r="G556" i="1"/>
  <c r="H556" i="1" s="1"/>
  <c r="G557" i="1"/>
  <c r="H557" i="1" s="1"/>
  <c r="G558" i="1"/>
  <c r="H558" i="1" s="1"/>
  <c r="G559" i="1"/>
  <c r="H559" i="1" s="1"/>
  <c r="G560" i="1"/>
  <c r="H560" i="1" s="1"/>
  <c r="G561" i="1"/>
  <c r="H561" i="1" s="1"/>
  <c r="G562" i="1"/>
  <c r="H562" i="1" s="1"/>
  <c r="G563" i="1"/>
  <c r="H563" i="1" s="1"/>
  <c r="G564" i="1"/>
  <c r="H564" i="1" s="1"/>
  <c r="G565" i="1"/>
  <c r="H565" i="1" s="1"/>
  <c r="G566" i="1"/>
  <c r="H566" i="1" s="1"/>
  <c r="G567" i="1"/>
  <c r="H567" i="1" s="1"/>
  <c r="G568" i="1"/>
  <c r="H568" i="1" s="1"/>
  <c r="G569" i="1"/>
  <c r="H569" i="1" s="1"/>
  <c r="G570" i="1"/>
  <c r="H570" i="1" s="1"/>
  <c r="G571" i="1"/>
  <c r="H571" i="1" s="1"/>
  <c r="G572" i="1"/>
  <c r="H572" i="1" s="1"/>
  <c r="G573" i="1"/>
  <c r="H573" i="1" s="1"/>
  <c r="G574" i="1"/>
  <c r="H574" i="1" s="1"/>
  <c r="G575" i="1"/>
  <c r="H575" i="1" s="1"/>
  <c r="G576" i="1"/>
  <c r="H576" i="1" s="1"/>
  <c r="G577" i="1"/>
  <c r="H577" i="1" s="1"/>
  <c r="G578" i="1"/>
  <c r="H578" i="1" s="1"/>
  <c r="G579" i="1"/>
  <c r="H579" i="1" s="1"/>
  <c r="G580" i="1"/>
  <c r="H580" i="1" s="1"/>
  <c r="G581" i="1"/>
  <c r="H581" i="1" s="1"/>
  <c r="G582" i="1"/>
  <c r="H582" i="1" s="1"/>
  <c r="G583" i="1"/>
  <c r="H583" i="1" s="1"/>
  <c r="G584" i="1"/>
  <c r="H584" i="1" s="1"/>
  <c r="G585" i="1"/>
  <c r="H585" i="1" s="1"/>
  <c r="G586" i="1"/>
  <c r="H586" i="1" s="1"/>
  <c r="G587" i="1"/>
  <c r="H587" i="1" s="1"/>
  <c r="G588" i="1"/>
  <c r="H588" i="1" s="1"/>
  <c r="G589" i="1"/>
  <c r="H589" i="1" s="1"/>
  <c r="G590" i="1"/>
  <c r="H590" i="1" s="1"/>
  <c r="G591" i="1"/>
  <c r="H591" i="1" s="1"/>
  <c r="G592" i="1"/>
  <c r="H592" i="1" s="1"/>
  <c r="G593" i="1"/>
  <c r="H593" i="1" s="1"/>
  <c r="G594" i="1"/>
  <c r="H594" i="1" s="1"/>
  <c r="G595" i="1"/>
  <c r="H595" i="1" s="1"/>
  <c r="G596" i="1"/>
  <c r="H596" i="1" s="1"/>
  <c r="G597" i="1"/>
  <c r="H597" i="1" s="1"/>
  <c r="G598" i="1"/>
  <c r="H598" i="1" s="1"/>
  <c r="G599" i="1"/>
  <c r="H599" i="1" s="1"/>
  <c r="G600" i="1"/>
  <c r="H600" i="1" s="1"/>
  <c r="G601" i="1"/>
  <c r="H601" i="1" s="1"/>
  <c r="G602" i="1"/>
  <c r="H602" i="1" s="1"/>
  <c r="G603" i="1"/>
  <c r="H603" i="1" s="1"/>
  <c r="G604" i="1"/>
  <c r="H604" i="1" s="1"/>
  <c r="G605" i="1"/>
  <c r="H605" i="1" s="1"/>
  <c r="G606" i="1"/>
  <c r="H606" i="1" s="1"/>
  <c r="G607" i="1"/>
  <c r="H607" i="1" s="1"/>
  <c r="G608" i="1"/>
  <c r="H608" i="1" s="1"/>
  <c r="G609" i="1"/>
  <c r="H609" i="1" s="1"/>
  <c r="G610" i="1"/>
  <c r="H610" i="1" s="1"/>
  <c r="G611" i="1"/>
  <c r="H611" i="1" s="1"/>
  <c r="G612" i="1"/>
  <c r="H612" i="1" s="1"/>
  <c r="G613" i="1"/>
  <c r="H613" i="1" s="1"/>
  <c r="G614" i="1"/>
  <c r="H614" i="1" s="1"/>
  <c r="G615" i="1"/>
  <c r="H615" i="1" s="1"/>
  <c r="G616" i="1"/>
  <c r="H616" i="1" s="1"/>
  <c r="G617" i="1"/>
  <c r="H617" i="1" s="1"/>
  <c r="G618" i="1"/>
  <c r="H618" i="1" s="1"/>
  <c r="G619" i="1"/>
  <c r="H619" i="1" s="1"/>
  <c r="G620" i="1"/>
  <c r="H620" i="1" s="1"/>
  <c r="G621" i="1"/>
  <c r="H621" i="1" s="1"/>
  <c r="G622" i="1"/>
  <c r="H622" i="1" s="1"/>
  <c r="G623" i="1"/>
  <c r="H623" i="1" s="1"/>
  <c r="G624" i="1"/>
  <c r="H624" i="1" s="1"/>
  <c r="G625" i="1"/>
  <c r="H625" i="1" s="1"/>
  <c r="G626" i="1"/>
  <c r="H626" i="1" s="1"/>
  <c r="G627" i="1"/>
  <c r="H627" i="1" s="1"/>
  <c r="G628" i="1"/>
  <c r="H628" i="1" s="1"/>
  <c r="G629" i="1"/>
  <c r="H629" i="1" s="1"/>
  <c r="G630" i="1"/>
  <c r="H630" i="1" s="1"/>
  <c r="G631" i="1"/>
  <c r="H631" i="1" s="1"/>
  <c r="G632" i="1"/>
  <c r="H632" i="1" s="1"/>
  <c r="G633" i="1"/>
  <c r="H633" i="1" s="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H2" i="1"/>
  <c r="AH3" i="1"/>
  <c r="AD417" i="1"/>
  <c r="AD30" i="1"/>
  <c r="AD514" i="1"/>
  <c r="AD211" i="1"/>
  <c r="AD2" i="1"/>
  <c r="AD460" i="1"/>
  <c r="AD7" i="1"/>
  <c r="AD308" i="1"/>
  <c r="AD556" i="1"/>
  <c r="AD248" i="1"/>
  <c r="AD466" i="1"/>
  <c r="AD499" i="1"/>
  <c r="AD243" i="1"/>
  <c r="AD622" i="1"/>
  <c r="AD71" i="1"/>
  <c r="AD449" i="1"/>
  <c r="AD624" i="1"/>
  <c r="AD594" i="1"/>
  <c r="AD557" i="1"/>
  <c r="AD361" i="1"/>
  <c r="AD86" i="1"/>
  <c r="AD569" i="1"/>
  <c r="AD315" i="1"/>
  <c r="AD18" i="1"/>
  <c r="AD349" i="1"/>
  <c r="AD442" i="1"/>
  <c r="AD359" i="1"/>
  <c r="AD58" i="1"/>
  <c r="AD522" i="1"/>
  <c r="AD461" i="1"/>
  <c r="AD25" i="1"/>
  <c r="AD599" i="1"/>
  <c r="AD300" i="1"/>
  <c r="AD380" i="1"/>
  <c r="AD46" i="1"/>
  <c r="AD275" i="1"/>
  <c r="AD577" i="1"/>
  <c r="AD301" i="1"/>
  <c r="AD109" i="1"/>
  <c r="AD381" i="1"/>
  <c r="AD234" i="1"/>
  <c r="AD420" i="1"/>
  <c r="AD560" i="1"/>
  <c r="AD319" i="1"/>
  <c r="AD63" i="1"/>
  <c r="AD114" i="1"/>
  <c r="AD313" i="1"/>
  <c r="AD412" i="1"/>
  <c r="AD129" i="1"/>
  <c r="AD431" i="1"/>
  <c r="AD414" i="1"/>
  <c r="AD47" i="1"/>
  <c r="AD475" i="1"/>
  <c r="AD165" i="1"/>
  <c r="AD521" i="1"/>
  <c r="AD487" i="1"/>
  <c r="AD454" i="1"/>
  <c r="AD566" i="1"/>
  <c r="AD543" i="1"/>
  <c r="AD280" i="1"/>
  <c r="AD626" i="1"/>
  <c r="AD538" i="1"/>
  <c r="AD426" i="1"/>
  <c r="AD21" i="1"/>
  <c r="AD209" i="1"/>
  <c r="AD43" i="1"/>
  <c r="AD321" i="1"/>
  <c r="AD154" i="1"/>
  <c r="AD68" i="1"/>
  <c r="AD286" i="1"/>
  <c r="AD523" i="1"/>
  <c r="AD298" i="1"/>
  <c r="AD453" i="1"/>
  <c r="AD91" i="1"/>
  <c r="AD171" i="1"/>
  <c r="AD383" i="1"/>
  <c r="AD350" i="1"/>
  <c r="AD106" i="1"/>
  <c r="AD438" i="1"/>
  <c r="AD19" i="1"/>
  <c r="AD155" i="1"/>
  <c r="AD547" i="1"/>
  <c r="AD536" i="1"/>
  <c r="AD512" i="1"/>
  <c r="AD220" i="1"/>
  <c r="AD296" i="1"/>
  <c r="AD608" i="1"/>
  <c r="AD244" i="1"/>
  <c r="AD119" i="1"/>
  <c r="AD541" i="1"/>
  <c r="AD567" i="1"/>
  <c r="AD116" i="1"/>
  <c r="AD406" i="1"/>
  <c r="AD627" i="1"/>
  <c r="AD51" i="1"/>
  <c r="AD601" i="1"/>
  <c r="AD326" i="1"/>
  <c r="AD596" i="1"/>
  <c r="AD31" i="1"/>
  <c r="AD479" i="1"/>
  <c r="AD238" i="1"/>
  <c r="AD517" i="1"/>
  <c r="AD446" i="1"/>
  <c r="AD399" i="1"/>
  <c r="AD320" i="1"/>
  <c r="AD87" i="1"/>
  <c r="AD373" i="1"/>
  <c r="AD413" i="1"/>
  <c r="AD329" i="1"/>
  <c r="AD338" i="1"/>
  <c r="AD339" i="1"/>
  <c r="AD348" i="1"/>
  <c r="AD473" i="1"/>
  <c r="AD203" i="1"/>
  <c r="AD34" i="1"/>
  <c r="AD564" i="1"/>
  <c r="AD462" i="1"/>
  <c r="AD103" i="1"/>
  <c r="AD587" i="1"/>
  <c r="AD573" i="1"/>
  <c r="AD200" i="1"/>
  <c r="AD226" i="1"/>
  <c r="AD427" i="1"/>
  <c r="AD157" i="1"/>
  <c r="AD150" i="1"/>
  <c r="AD335" i="1"/>
  <c r="AD605" i="1"/>
  <c r="AD328" i="1"/>
  <c r="AD10" i="1"/>
  <c r="AD488" i="1"/>
  <c r="AD498" i="1"/>
  <c r="AD13" i="1"/>
  <c r="AD469" i="1"/>
  <c r="AD457" i="1"/>
  <c r="AD54" i="1"/>
  <c r="AD452" i="1"/>
  <c r="AD48" i="1"/>
  <c r="AD437" i="1"/>
  <c r="AD258" i="1"/>
  <c r="AD74" i="1"/>
  <c r="AD458" i="1"/>
  <c r="AD140" i="1"/>
  <c r="AD341" i="1"/>
  <c r="AD125" i="1"/>
  <c r="AD205" i="1"/>
  <c r="AD628" i="1"/>
  <c r="AD294" i="1"/>
  <c r="AD169" i="1"/>
  <c r="AD402" i="1"/>
  <c r="AD530" i="1"/>
  <c r="AD124" i="1"/>
  <c r="AD212" i="1"/>
  <c r="AD261" i="1"/>
  <c r="AD196" i="1"/>
  <c r="AD368" i="1"/>
  <c r="AD251" i="1"/>
  <c r="AD382" i="1"/>
  <c r="AD489" i="1"/>
  <c r="AD602" i="1"/>
  <c r="AD23" i="1"/>
  <c r="AD424" i="1"/>
  <c r="AD292" i="1"/>
  <c r="AD45" i="1"/>
  <c r="AD332" i="1"/>
  <c r="AD22" i="1"/>
  <c r="AD62" i="1"/>
  <c r="AD322" i="1"/>
  <c r="AD182" i="1"/>
  <c r="AD408" i="1"/>
  <c r="AD357" i="1"/>
  <c r="AD174" i="1"/>
  <c r="AD28" i="1"/>
  <c r="AD558" i="1"/>
  <c r="AD323" i="1"/>
  <c r="AD529" i="1"/>
  <c r="AD162" i="1"/>
  <c r="AD253" i="1"/>
  <c r="AD50" i="1"/>
  <c r="AD615" i="1"/>
  <c r="AD632" i="1"/>
  <c r="AD405" i="1"/>
  <c r="AD482" i="1"/>
  <c r="AD156" i="1"/>
  <c r="AD416" i="1"/>
  <c r="AD113" i="1"/>
  <c r="AD472" i="1"/>
  <c r="AD14" i="1"/>
  <c r="AD135" i="1"/>
  <c r="AD318" i="1"/>
  <c r="AD254" i="1"/>
  <c r="AD148" i="1"/>
  <c r="AD371" i="1"/>
  <c r="AD187" i="1"/>
  <c r="AD78" i="1"/>
  <c r="AD401" i="1"/>
  <c r="AD418" i="1"/>
  <c r="AD257" i="1"/>
  <c r="AD16" i="1"/>
  <c r="AD59" i="1"/>
  <c r="AD6" i="1"/>
  <c r="AD236" i="1"/>
  <c r="AD151" i="1"/>
  <c r="AD9" i="1"/>
  <c r="AD483" i="1"/>
  <c r="AD64" i="1"/>
  <c r="AD123" i="1"/>
  <c r="AD476" i="1"/>
  <c r="AD397" i="1"/>
  <c r="AD595" i="1"/>
  <c r="AD404" i="1"/>
  <c r="AD590" i="1"/>
  <c r="AD394" i="1"/>
  <c r="AD480" i="1"/>
  <c r="AD197" i="1"/>
  <c r="AD268" i="1"/>
  <c r="AD218" i="1"/>
  <c r="AD11" i="1"/>
  <c r="AD410" i="1"/>
  <c r="AD400" i="1"/>
  <c r="AD617" i="1"/>
  <c r="AD175" i="1"/>
  <c r="AD161" i="1"/>
  <c r="AD591" i="1"/>
  <c r="AD65" i="1"/>
  <c r="AD216" i="1"/>
  <c r="AD141" i="1"/>
  <c r="AD179" i="1"/>
  <c r="AD610" i="1"/>
  <c r="AD38" i="1"/>
  <c r="AD94" i="1"/>
  <c r="AD537" i="1"/>
  <c r="AD387" i="1"/>
  <c r="AD389" i="1"/>
  <c r="AD40" i="1"/>
  <c r="AD235" i="1"/>
  <c r="AD398" i="1"/>
  <c r="AD592" i="1"/>
  <c r="AD204" i="1"/>
  <c r="AD290" i="1"/>
  <c r="AD172" i="1"/>
  <c r="AD550" i="1"/>
  <c r="AD603" i="1"/>
  <c r="AD445" i="1"/>
  <c r="AD66" i="1"/>
  <c r="AD274" i="1"/>
  <c r="AD259" i="1"/>
  <c r="AD534" i="1"/>
  <c r="AD433" i="1"/>
  <c r="AD629" i="1"/>
  <c r="AD386" i="1"/>
  <c r="AD36" i="1"/>
  <c r="AD284" i="1"/>
  <c r="AD364" i="1"/>
  <c r="AD422" i="1"/>
  <c r="AD305" i="1"/>
  <c r="AD180" i="1"/>
  <c r="AD67" i="1"/>
  <c r="AD583" i="1"/>
  <c r="AD185" i="1"/>
  <c r="AD92" i="1"/>
  <c r="AD97" i="1"/>
  <c r="AD147" i="1"/>
  <c r="AD575" i="1"/>
  <c r="AD531" i="1"/>
  <c r="AD623" i="1"/>
  <c r="AD407" i="1"/>
  <c r="AD81" i="1"/>
  <c r="AD222" i="1"/>
  <c r="AD233" i="1"/>
  <c r="AD144" i="1"/>
  <c r="AD494" i="1"/>
  <c r="AD291" i="1"/>
  <c r="AD137" i="1"/>
  <c r="AD285" i="1"/>
  <c r="AD246" i="1"/>
  <c r="AD289" i="1"/>
  <c r="AD578" i="1"/>
  <c r="AD342" i="1"/>
  <c r="AD195" i="1"/>
  <c r="AD107" i="1"/>
  <c r="AD505" i="1"/>
  <c r="AD152" i="1"/>
  <c r="AD552" i="1"/>
  <c r="AD239" i="1"/>
  <c r="AD117" i="1"/>
  <c r="AD519" i="1"/>
  <c r="AD392" i="1"/>
  <c r="AD249" i="1"/>
  <c r="AD133" i="1"/>
  <c r="AD618" i="1"/>
  <c r="AD515" i="1"/>
  <c r="AD189" i="1"/>
  <c r="AD158" i="1"/>
  <c r="AD526" i="1"/>
  <c r="AD561" i="1"/>
  <c r="AD270" i="1"/>
  <c r="AD110" i="1"/>
  <c r="AD288" i="1"/>
  <c r="AD477" i="1"/>
  <c r="AD545" i="1"/>
  <c r="AD181" i="1"/>
  <c r="AD134" i="1"/>
  <c r="AD576" i="1"/>
  <c r="AD344" i="1"/>
  <c r="AD524" i="1"/>
  <c r="AD513" i="1"/>
  <c r="AD554" i="1"/>
  <c r="AD478" i="1"/>
  <c r="AD4" i="1"/>
  <c r="AD465" i="1"/>
  <c r="AD324" i="1"/>
  <c r="AD118" i="1"/>
  <c r="AD428" i="1"/>
  <c r="AD337" i="1"/>
  <c r="AD562" i="1"/>
  <c r="AD80" i="1"/>
  <c r="AD198" i="1"/>
  <c r="AD518" i="1"/>
  <c r="AD44" i="1"/>
  <c r="AD327" i="1"/>
  <c r="AD229" i="1"/>
  <c r="AD32" i="1"/>
  <c r="AD262" i="1"/>
  <c r="AD395" i="1"/>
  <c r="AD82" i="1"/>
  <c r="AD237" i="1"/>
  <c r="AD104" i="1"/>
  <c r="AD555" i="1"/>
  <c r="AD191" i="1"/>
  <c r="AD471" i="1"/>
  <c r="AD630" i="1"/>
  <c r="AD166" i="1"/>
  <c r="AD199" i="1"/>
  <c r="AD539" i="1"/>
  <c r="AD297" i="1"/>
  <c r="AD354" i="1"/>
  <c r="AD263" i="1"/>
  <c r="AD139" i="1"/>
  <c r="AD130" i="1"/>
  <c r="AD138" i="1"/>
  <c r="AD55" i="1"/>
  <c r="AD423" i="1"/>
  <c r="AD260" i="1"/>
  <c r="AD355" i="1"/>
  <c r="AD207" i="1"/>
  <c r="AD362" i="1"/>
  <c r="AD79" i="1"/>
  <c r="AD219" i="1"/>
  <c r="AD572" i="1"/>
  <c r="AD26" i="1"/>
  <c r="AD208" i="1"/>
  <c r="AD131" i="1"/>
  <c r="AD369" i="1"/>
  <c r="AD432" i="1"/>
  <c r="AD228" i="1"/>
  <c r="AD613" i="1"/>
  <c r="AD293" i="1"/>
  <c r="AD440" i="1"/>
  <c r="AD242" i="1"/>
  <c r="AD345" i="1"/>
  <c r="AD581" i="1"/>
  <c r="AD120" i="1"/>
  <c r="AD277" i="1"/>
  <c r="AD102" i="1"/>
  <c r="AD508" i="1"/>
  <c r="AD330" i="1"/>
  <c r="AD507" i="1"/>
  <c r="AD176" i="1"/>
  <c r="AD579" i="1"/>
  <c r="AD224" i="1"/>
  <c r="AD17" i="1"/>
  <c r="AD52" i="1"/>
  <c r="AD520" i="1"/>
  <c r="AD314" i="1"/>
  <c r="AD272" i="1"/>
  <c r="AD584" i="1"/>
  <c r="AD39" i="1"/>
  <c r="AD468" i="1"/>
  <c r="AD485" i="1"/>
  <c r="AD481" i="1"/>
  <c r="AD609" i="1"/>
  <c r="AD597" i="1"/>
  <c r="AD111" i="1"/>
  <c r="AD358" i="1"/>
  <c r="AD93" i="1"/>
  <c r="AD546" i="1"/>
  <c r="AD310" i="1"/>
  <c r="AD177" i="1"/>
  <c r="AD194" i="1"/>
  <c r="AD570" i="1"/>
  <c r="AD370" i="1"/>
  <c r="AD183" i="1"/>
  <c r="AD278" i="1"/>
  <c r="AD98" i="1"/>
  <c r="AD559" i="1"/>
  <c r="AD616" i="1"/>
  <c r="AD451" i="1"/>
  <c r="AD631" i="1"/>
  <c r="AD390" i="1"/>
  <c r="AD527" i="1"/>
  <c r="AD372" i="1"/>
  <c r="AD430" i="1"/>
  <c r="AD360" i="1"/>
  <c r="AD474" i="1"/>
  <c r="AD37" i="1"/>
  <c r="AD456" i="1"/>
  <c r="AD495" i="1"/>
  <c r="AD500" i="1"/>
  <c r="AD214" i="1"/>
  <c r="AD384" i="1"/>
  <c r="AD316" i="1"/>
  <c r="AD42" i="1"/>
  <c r="AD160" i="1"/>
  <c r="AD334" i="1"/>
  <c r="AD163" i="1"/>
  <c r="AD443" i="1"/>
  <c r="AD565" i="1"/>
  <c r="AD506" i="1"/>
  <c r="AD241" i="1"/>
  <c r="AD186" i="1"/>
  <c r="AD496" i="1"/>
  <c r="AD585" i="1"/>
  <c r="AD633" i="1"/>
  <c r="AD264" i="1"/>
  <c r="AD267" i="1"/>
  <c r="AD619" i="1"/>
  <c r="AD376" i="1"/>
  <c r="AD266" i="1"/>
  <c r="AD544" i="1"/>
  <c r="AD425" i="1"/>
  <c r="AD464" i="1"/>
  <c r="AD190" i="1"/>
  <c r="AD450" i="1"/>
  <c r="AD393" i="1"/>
  <c r="AD188" i="1"/>
  <c r="AD459" i="1"/>
  <c r="AD69" i="1"/>
  <c r="AD227" i="1"/>
  <c r="AD24" i="1"/>
  <c r="AD89" i="1"/>
  <c r="AD287" i="1"/>
  <c r="AD173" i="1"/>
  <c r="AD379" i="1"/>
  <c r="AD403" i="1"/>
  <c r="AD105" i="1"/>
  <c r="AD223" i="1"/>
  <c r="AD516" i="1"/>
  <c r="AD331" i="1"/>
  <c r="AD340" i="1"/>
  <c r="AD136" i="1"/>
  <c r="AD8" i="1"/>
  <c r="AD306" i="1"/>
  <c r="AD568" i="1"/>
  <c r="AD96" i="1"/>
  <c r="AD463" i="1"/>
  <c r="AD210" i="1"/>
  <c r="AD75" i="1"/>
  <c r="AD206" i="1"/>
  <c r="AD309" i="1"/>
  <c r="AD128" i="1"/>
  <c r="AD90" i="1"/>
  <c r="AD276" i="1"/>
  <c r="AD525" i="1"/>
  <c r="AD600" i="1"/>
  <c r="AD439" i="1"/>
  <c r="AD346" i="1"/>
  <c r="AD215" i="1"/>
  <c r="AD563" i="1"/>
  <c r="AD509" i="1"/>
  <c r="AD88" i="1"/>
  <c r="AD164" i="1"/>
  <c r="AD586" i="1"/>
  <c r="AD255" i="1"/>
  <c r="AD612" i="1"/>
  <c r="AD95" i="1"/>
  <c r="AD311" i="1"/>
  <c r="AD41" i="1"/>
  <c r="AD132" i="1"/>
  <c r="AD60" i="1"/>
  <c r="AD230" i="1"/>
  <c r="AD388" i="1"/>
  <c r="AD620" i="1"/>
  <c r="AD542" i="1"/>
  <c r="AD149" i="1"/>
  <c r="AD448" i="1"/>
  <c r="AD192" i="1"/>
  <c r="AD436" i="1"/>
  <c r="AD312" i="1"/>
  <c r="AD549" i="1"/>
  <c r="AD302" i="1"/>
  <c r="AD377" i="1"/>
  <c r="AD598" i="1"/>
  <c r="AD269" i="1"/>
  <c r="AD325" i="1"/>
  <c r="AD367" i="1"/>
  <c r="AD112" i="1"/>
  <c r="AD396" i="1"/>
  <c r="AD193" i="1"/>
  <c r="AD625" i="1"/>
  <c r="AD76" i="1"/>
  <c r="AD304" i="1"/>
  <c r="AD27" i="1"/>
  <c r="AD510" i="1"/>
  <c r="AD501" i="1"/>
  <c r="AD295" i="1"/>
  <c r="AD540" i="1"/>
  <c r="AD419" i="1"/>
  <c r="AD56" i="1"/>
  <c r="AD435" i="1"/>
  <c r="AD84" i="1"/>
  <c r="AD271" i="1"/>
  <c r="AD409" i="1"/>
  <c r="AD99" i="1"/>
  <c r="AD467" i="1"/>
  <c r="AD606" i="1"/>
  <c r="AD178" i="1"/>
  <c r="AD553" i="1"/>
  <c r="AD307" i="1"/>
  <c r="AD73" i="1"/>
  <c r="AD352" i="1"/>
  <c r="AD85" i="1"/>
  <c r="AD353" i="1"/>
  <c r="AD303" i="1"/>
  <c r="AD240" i="1"/>
  <c r="AD299" i="1"/>
  <c r="AD486" i="1"/>
  <c r="AD5" i="1"/>
  <c r="AD333" i="1"/>
  <c r="AD159" i="1"/>
  <c r="AD247" i="1"/>
  <c r="AD503" i="1"/>
  <c r="AD535" i="1"/>
  <c r="AD153" i="1"/>
  <c r="AD580" i="1"/>
  <c r="AD470" i="1"/>
  <c r="AD121" i="1"/>
  <c r="AD374" i="1"/>
  <c r="AD126" i="1"/>
  <c r="AD225" i="1"/>
  <c r="AD12" i="1"/>
  <c r="AD127" i="1"/>
  <c r="AD336" i="1"/>
  <c r="AD20" i="1"/>
  <c r="AD122" i="1"/>
  <c r="AD614" i="1"/>
  <c r="AD273" i="1"/>
  <c r="AD167" i="1"/>
  <c r="AD33" i="1"/>
  <c r="AD356" i="1"/>
  <c r="AD447" i="1"/>
  <c r="AD607" i="1"/>
  <c r="AD35" i="1"/>
  <c r="AD492" i="1"/>
  <c r="AD490" i="1"/>
  <c r="AD385" i="1"/>
  <c r="AD83" i="1"/>
  <c r="AD548" i="1"/>
  <c r="AD282" i="1"/>
  <c r="AD317" i="1"/>
  <c r="AD232" i="1"/>
  <c r="AD421" i="1"/>
  <c r="AD444" i="1"/>
  <c r="AD57" i="1"/>
  <c r="AD484" i="1"/>
  <c r="AD245" i="1"/>
  <c r="AD256" i="1"/>
  <c r="AD582" i="1"/>
  <c r="AD429" i="1"/>
  <c r="AD265" i="1"/>
  <c r="AD528" i="1"/>
  <c r="AD100" i="1"/>
  <c r="AD511" i="1"/>
  <c r="AD231" i="1"/>
  <c r="AD217" i="1"/>
  <c r="AD72" i="1"/>
  <c r="AD604" i="1"/>
  <c r="AD143" i="1"/>
  <c r="AD108" i="1"/>
  <c r="AD434" i="1"/>
  <c r="AD588" i="1"/>
  <c r="AD101" i="1"/>
  <c r="AD15" i="1"/>
  <c r="AD391" i="1"/>
  <c r="AD366" i="1"/>
  <c r="AD532" i="1"/>
  <c r="AD77" i="1"/>
  <c r="AD283" i="1"/>
  <c r="AD343" i="1"/>
  <c r="AD491" i="1"/>
  <c r="AD49" i="1"/>
  <c r="AD621" i="1"/>
  <c r="AD29" i="1"/>
  <c r="AD365" i="1"/>
  <c r="AD571" i="1"/>
  <c r="AD351" i="1"/>
  <c r="AD493" i="1"/>
  <c r="AD3" i="1"/>
  <c r="AD502" i="1"/>
  <c r="AD375" i="1"/>
  <c r="AD279" i="1"/>
  <c r="AD378" i="1"/>
  <c r="AD611" i="1"/>
  <c r="AD551" i="1"/>
  <c r="AD53" i="1"/>
  <c r="AD170" i="1"/>
  <c r="AD70" i="1"/>
  <c r="AD574" i="1"/>
  <c r="AD441" i="1"/>
  <c r="AD250" i="1"/>
  <c r="AD61" i="1"/>
  <c r="AD252" i="1"/>
  <c r="AD415" i="1"/>
  <c r="AD347" i="1"/>
  <c r="AD142" i="1"/>
  <c r="AD504" i="1"/>
  <c r="AD184" i="1"/>
  <c r="AD455" i="1"/>
  <c r="AD589" i="1"/>
  <c r="AD411" i="1"/>
  <c r="AD168" i="1"/>
  <c r="AD533" i="1"/>
  <c r="AD363" i="1"/>
  <c r="AD593" i="1"/>
  <c r="AD145" i="1"/>
  <c r="AD201" i="1"/>
  <c r="AD221" i="1"/>
  <c r="AD146" i="1"/>
  <c r="AD115" i="1"/>
  <c r="AD213" i="1"/>
  <c r="AD202" i="1"/>
  <c r="AD497" i="1"/>
  <c r="AD281" i="1"/>
  <c r="AC417" i="1"/>
  <c r="AC30" i="1"/>
  <c r="AC514" i="1"/>
  <c r="AC211" i="1"/>
  <c r="AC2" i="1"/>
  <c r="AC460" i="1"/>
  <c r="AC7" i="1"/>
  <c r="AC308" i="1"/>
  <c r="AC556" i="1"/>
  <c r="AC248" i="1"/>
  <c r="AC466" i="1"/>
  <c r="AC499" i="1"/>
  <c r="AC243" i="1"/>
  <c r="AC622" i="1"/>
  <c r="AC71" i="1"/>
  <c r="AC449" i="1"/>
  <c r="AC624" i="1"/>
  <c r="AC594" i="1"/>
  <c r="AC557" i="1"/>
  <c r="AC361" i="1"/>
  <c r="AC86" i="1"/>
  <c r="AC569" i="1"/>
  <c r="AC315" i="1"/>
  <c r="AC18" i="1"/>
  <c r="AC349" i="1"/>
  <c r="AC442" i="1"/>
  <c r="AC359" i="1"/>
  <c r="AC58" i="1"/>
  <c r="AC522" i="1"/>
  <c r="AC461" i="1"/>
  <c r="AC25" i="1"/>
  <c r="AC599" i="1"/>
  <c r="AC300" i="1"/>
  <c r="AC380" i="1"/>
  <c r="AC46" i="1"/>
  <c r="AC275" i="1"/>
  <c r="AC577" i="1"/>
  <c r="AC301" i="1"/>
  <c r="AC109" i="1"/>
  <c r="AC381" i="1"/>
  <c r="AC234" i="1"/>
  <c r="AC420" i="1"/>
  <c r="AC560" i="1"/>
  <c r="AC319" i="1"/>
  <c r="AC63" i="1"/>
  <c r="AC114" i="1"/>
  <c r="AC313" i="1"/>
  <c r="AC412" i="1"/>
  <c r="AC129" i="1"/>
  <c r="AC431" i="1"/>
  <c r="AC414" i="1"/>
  <c r="AC47" i="1"/>
  <c r="AC475" i="1"/>
  <c r="AC165" i="1"/>
  <c r="AC521" i="1"/>
  <c r="AC487" i="1"/>
  <c r="AC454" i="1"/>
  <c r="AC566" i="1"/>
  <c r="AC543" i="1"/>
  <c r="AC280" i="1"/>
  <c r="AC626" i="1"/>
  <c r="AC538" i="1"/>
  <c r="AC426" i="1"/>
  <c r="AC21" i="1"/>
  <c r="AC209" i="1"/>
  <c r="AC43" i="1"/>
  <c r="AC321" i="1"/>
  <c r="AC154" i="1"/>
  <c r="AC68" i="1"/>
  <c r="AC286" i="1"/>
  <c r="AC523" i="1"/>
  <c r="AC298" i="1"/>
  <c r="AC453" i="1"/>
  <c r="AC91" i="1"/>
  <c r="AC171" i="1"/>
  <c r="AC383" i="1"/>
  <c r="AC350" i="1"/>
  <c r="AC106" i="1"/>
  <c r="AC438" i="1"/>
  <c r="AC19" i="1"/>
  <c r="AC155" i="1"/>
  <c r="AC547" i="1"/>
  <c r="AC536" i="1"/>
  <c r="AC512" i="1"/>
  <c r="AC220" i="1"/>
  <c r="AC296" i="1"/>
  <c r="AC608" i="1"/>
  <c r="AC244" i="1"/>
  <c r="AC119" i="1"/>
  <c r="AC541" i="1"/>
  <c r="AC567" i="1"/>
  <c r="AC116" i="1"/>
  <c r="AC406" i="1"/>
  <c r="AC627" i="1"/>
  <c r="AC51" i="1"/>
  <c r="AC601" i="1"/>
  <c r="AC326" i="1"/>
  <c r="AC596" i="1"/>
  <c r="AC31" i="1"/>
  <c r="AC479" i="1"/>
  <c r="AC238" i="1"/>
  <c r="AC517" i="1"/>
  <c r="AC446" i="1"/>
  <c r="AC399" i="1"/>
  <c r="AC320" i="1"/>
  <c r="AC87" i="1"/>
  <c r="AC373" i="1"/>
  <c r="AC413" i="1"/>
  <c r="AC329" i="1"/>
  <c r="AC338" i="1"/>
  <c r="AC339" i="1"/>
  <c r="AC348" i="1"/>
  <c r="AC473" i="1"/>
  <c r="AC203" i="1"/>
  <c r="AC34" i="1"/>
  <c r="AC564" i="1"/>
  <c r="AC462" i="1"/>
  <c r="AC103" i="1"/>
  <c r="AC587" i="1"/>
  <c r="AC573" i="1"/>
  <c r="AC200" i="1"/>
  <c r="AC226" i="1"/>
  <c r="AC427" i="1"/>
  <c r="AC157" i="1"/>
  <c r="AC150" i="1"/>
  <c r="AC335" i="1"/>
  <c r="AC605" i="1"/>
  <c r="AC328" i="1"/>
  <c r="AC10" i="1"/>
  <c r="AC488" i="1"/>
  <c r="AC498" i="1"/>
  <c r="AC13" i="1"/>
  <c r="AC469" i="1"/>
  <c r="AC457" i="1"/>
  <c r="AC54" i="1"/>
  <c r="AC452" i="1"/>
  <c r="AC48" i="1"/>
  <c r="AC437" i="1"/>
  <c r="AC258" i="1"/>
  <c r="AC74" i="1"/>
  <c r="AC458" i="1"/>
  <c r="AC140" i="1"/>
  <c r="AC341" i="1"/>
  <c r="AC125" i="1"/>
  <c r="AC205" i="1"/>
  <c r="AC628" i="1"/>
  <c r="AC294" i="1"/>
  <c r="AC169" i="1"/>
  <c r="AC402" i="1"/>
  <c r="AC530" i="1"/>
  <c r="AC124" i="1"/>
  <c r="AC212" i="1"/>
  <c r="AC261" i="1"/>
  <c r="AC196" i="1"/>
  <c r="AC368" i="1"/>
  <c r="AC251" i="1"/>
  <c r="AC382" i="1"/>
  <c r="AC489" i="1"/>
  <c r="AC602" i="1"/>
  <c r="AC23" i="1"/>
  <c r="AC424" i="1"/>
  <c r="AC292" i="1"/>
  <c r="AC45" i="1"/>
  <c r="AC332" i="1"/>
  <c r="AC22" i="1"/>
  <c r="AC62" i="1"/>
  <c r="AC322" i="1"/>
  <c r="AC182" i="1"/>
  <c r="AC408" i="1"/>
  <c r="AC357" i="1"/>
  <c r="AC174" i="1"/>
  <c r="AC28" i="1"/>
  <c r="AC558" i="1"/>
  <c r="AC323" i="1"/>
  <c r="AC529" i="1"/>
  <c r="AC162" i="1"/>
  <c r="AC253" i="1"/>
  <c r="AC50" i="1"/>
  <c r="AC615" i="1"/>
  <c r="AC632" i="1"/>
  <c r="AC405" i="1"/>
  <c r="AC482" i="1"/>
  <c r="AC156" i="1"/>
  <c r="AC416" i="1"/>
  <c r="AC113" i="1"/>
  <c r="AC472" i="1"/>
  <c r="AC14" i="1"/>
  <c r="AC135" i="1"/>
  <c r="AC318" i="1"/>
  <c r="AC254" i="1"/>
  <c r="AC148" i="1"/>
  <c r="AC371" i="1"/>
  <c r="AC187" i="1"/>
  <c r="AC78" i="1"/>
  <c r="AC401" i="1"/>
  <c r="AC418" i="1"/>
  <c r="AC257" i="1"/>
  <c r="AC16" i="1"/>
  <c r="AC59" i="1"/>
  <c r="AC6" i="1"/>
  <c r="AC236" i="1"/>
  <c r="AC151" i="1"/>
  <c r="AC9" i="1"/>
  <c r="AC483" i="1"/>
  <c r="AC64" i="1"/>
  <c r="AC123" i="1"/>
  <c r="AC476" i="1"/>
  <c r="AC397" i="1"/>
  <c r="AC595" i="1"/>
  <c r="AC404" i="1"/>
  <c r="AC590" i="1"/>
  <c r="AC394" i="1"/>
  <c r="AC480" i="1"/>
  <c r="AC197" i="1"/>
  <c r="AC268" i="1"/>
  <c r="AC218" i="1"/>
  <c r="AC11" i="1"/>
  <c r="AC410" i="1"/>
  <c r="AC400" i="1"/>
  <c r="AC617" i="1"/>
  <c r="AC175" i="1"/>
  <c r="AC161" i="1"/>
  <c r="AC591" i="1"/>
  <c r="AC65" i="1"/>
  <c r="AC216" i="1"/>
  <c r="AC141" i="1"/>
  <c r="AC179" i="1"/>
  <c r="AC610" i="1"/>
  <c r="AC38" i="1"/>
  <c r="AC94" i="1"/>
  <c r="AC537" i="1"/>
  <c r="AC387" i="1"/>
  <c r="AC389" i="1"/>
  <c r="AC40" i="1"/>
  <c r="AC235" i="1"/>
  <c r="AC398" i="1"/>
  <c r="AC592" i="1"/>
  <c r="AC204" i="1"/>
  <c r="AC290" i="1"/>
  <c r="AC172" i="1"/>
  <c r="AC550" i="1"/>
  <c r="AC603" i="1"/>
  <c r="AC445" i="1"/>
  <c r="AC66" i="1"/>
  <c r="AC274" i="1"/>
  <c r="AC259" i="1"/>
  <c r="AC534" i="1"/>
  <c r="AC433" i="1"/>
  <c r="AC629" i="1"/>
  <c r="AC386" i="1"/>
  <c r="AC36" i="1"/>
  <c r="AC284" i="1"/>
  <c r="AC364" i="1"/>
  <c r="AC422" i="1"/>
  <c r="AC305" i="1"/>
  <c r="AC180" i="1"/>
  <c r="AC67" i="1"/>
  <c r="AC583" i="1"/>
  <c r="AC185" i="1"/>
  <c r="AC92" i="1"/>
  <c r="AC97" i="1"/>
  <c r="AC147" i="1"/>
  <c r="AC575" i="1"/>
  <c r="AC531" i="1"/>
  <c r="AC623" i="1"/>
  <c r="AC407" i="1"/>
  <c r="AC81" i="1"/>
  <c r="AC222" i="1"/>
  <c r="AC233" i="1"/>
  <c r="AC144" i="1"/>
  <c r="AC494" i="1"/>
  <c r="AC291" i="1"/>
  <c r="AC137" i="1"/>
  <c r="AC285" i="1"/>
  <c r="AC246" i="1"/>
  <c r="AC289" i="1"/>
  <c r="AC578" i="1"/>
  <c r="AC342" i="1"/>
  <c r="AC195" i="1"/>
  <c r="AC107" i="1"/>
  <c r="AC505" i="1"/>
  <c r="AC152" i="1"/>
  <c r="AC552" i="1"/>
  <c r="AC239" i="1"/>
  <c r="AC117" i="1"/>
  <c r="AC519" i="1"/>
  <c r="AC392" i="1"/>
  <c r="AC249" i="1"/>
  <c r="AC133" i="1"/>
  <c r="AC618" i="1"/>
  <c r="AC515" i="1"/>
  <c r="AC189" i="1"/>
  <c r="AC158" i="1"/>
  <c r="AC526" i="1"/>
  <c r="AC561" i="1"/>
  <c r="AC270" i="1"/>
  <c r="AC110" i="1"/>
  <c r="AC288" i="1"/>
  <c r="AC477" i="1"/>
  <c r="AC545" i="1"/>
  <c r="AC181" i="1"/>
  <c r="AC134" i="1"/>
  <c r="AC576" i="1"/>
  <c r="AC344" i="1"/>
  <c r="AC524" i="1"/>
  <c r="AC513" i="1"/>
  <c r="AC554" i="1"/>
  <c r="AC478" i="1"/>
  <c r="AC4" i="1"/>
  <c r="AC465" i="1"/>
  <c r="AC324" i="1"/>
  <c r="AC118" i="1"/>
  <c r="AC428" i="1"/>
  <c r="AC337" i="1"/>
  <c r="AC562" i="1"/>
  <c r="AC80" i="1"/>
  <c r="AC198" i="1"/>
  <c r="AC518" i="1"/>
  <c r="AC44" i="1"/>
  <c r="AC327" i="1"/>
  <c r="AC229" i="1"/>
  <c r="AC32" i="1"/>
  <c r="AC262" i="1"/>
  <c r="AC395" i="1"/>
  <c r="AC82" i="1"/>
  <c r="AC237" i="1"/>
  <c r="AC104" i="1"/>
  <c r="AC555" i="1"/>
  <c r="AC191" i="1"/>
  <c r="AC471" i="1"/>
  <c r="AC630" i="1"/>
  <c r="AC166" i="1"/>
  <c r="AC199" i="1"/>
  <c r="AC539" i="1"/>
  <c r="AC297" i="1"/>
  <c r="AC354" i="1"/>
  <c r="AC263" i="1"/>
  <c r="AC139" i="1"/>
  <c r="AC130" i="1"/>
  <c r="AC138" i="1"/>
  <c r="AC55" i="1"/>
  <c r="AC423" i="1"/>
  <c r="AC260" i="1"/>
  <c r="AC355" i="1"/>
  <c r="AC207" i="1"/>
  <c r="AC362" i="1"/>
  <c r="AC79" i="1"/>
  <c r="AC219" i="1"/>
  <c r="AC572" i="1"/>
  <c r="AC26" i="1"/>
  <c r="AC208" i="1"/>
  <c r="AC131" i="1"/>
  <c r="AC369" i="1"/>
  <c r="AC432" i="1"/>
  <c r="AC228" i="1"/>
  <c r="AC613" i="1"/>
  <c r="AC293" i="1"/>
  <c r="AC440" i="1"/>
  <c r="AC242" i="1"/>
  <c r="AC345" i="1"/>
  <c r="AC581" i="1"/>
  <c r="AC120" i="1"/>
  <c r="AC277" i="1"/>
  <c r="AC102" i="1"/>
  <c r="AC508" i="1"/>
  <c r="AC330" i="1"/>
  <c r="AC507" i="1"/>
  <c r="AC176" i="1"/>
  <c r="AC579" i="1"/>
  <c r="AC224" i="1"/>
  <c r="AC17" i="1"/>
  <c r="AC52" i="1"/>
  <c r="AC520" i="1"/>
  <c r="AC314" i="1"/>
  <c r="AC272" i="1"/>
  <c r="AC584" i="1"/>
  <c r="AC39" i="1"/>
  <c r="AC468" i="1"/>
  <c r="AC485" i="1"/>
  <c r="AC481" i="1"/>
  <c r="AC609" i="1"/>
  <c r="AC597" i="1"/>
  <c r="AC111" i="1"/>
  <c r="AC358" i="1"/>
  <c r="AC93" i="1"/>
  <c r="AC546" i="1"/>
  <c r="AC310" i="1"/>
  <c r="AC177" i="1"/>
  <c r="AC194" i="1"/>
  <c r="AC570" i="1"/>
  <c r="AC370" i="1"/>
  <c r="AC183" i="1"/>
  <c r="AC278" i="1"/>
  <c r="AC98" i="1"/>
  <c r="AC559" i="1"/>
  <c r="AC616" i="1"/>
  <c r="AC451" i="1"/>
  <c r="AC631" i="1"/>
  <c r="AC390" i="1"/>
  <c r="AC527" i="1"/>
  <c r="AC372" i="1"/>
  <c r="AC430" i="1"/>
  <c r="AC360" i="1"/>
  <c r="AC474" i="1"/>
  <c r="AC37" i="1"/>
  <c r="AC456" i="1"/>
  <c r="AC495" i="1"/>
  <c r="AC500" i="1"/>
  <c r="AC214" i="1"/>
  <c r="AC384" i="1"/>
  <c r="AC316" i="1"/>
  <c r="AC42" i="1"/>
  <c r="AC160" i="1"/>
  <c r="AC334" i="1"/>
  <c r="AC163" i="1"/>
  <c r="AC443" i="1"/>
  <c r="AC565" i="1"/>
  <c r="AC506" i="1"/>
  <c r="AC241" i="1"/>
  <c r="AC186" i="1"/>
  <c r="AC496" i="1"/>
  <c r="AC585" i="1"/>
  <c r="AC633" i="1"/>
  <c r="AC264" i="1"/>
  <c r="AC267" i="1"/>
  <c r="AC619" i="1"/>
  <c r="AC376" i="1"/>
  <c r="AC266" i="1"/>
  <c r="AC544" i="1"/>
  <c r="AC425" i="1"/>
  <c r="AC464" i="1"/>
  <c r="AC190" i="1"/>
  <c r="AC450" i="1"/>
  <c r="AC393" i="1"/>
  <c r="AC188" i="1"/>
  <c r="AC459" i="1"/>
  <c r="AC69" i="1"/>
  <c r="AC227" i="1"/>
  <c r="AC24" i="1"/>
  <c r="AC89" i="1"/>
  <c r="AC287" i="1"/>
  <c r="AC173" i="1"/>
  <c r="AC379" i="1"/>
  <c r="AC403" i="1"/>
  <c r="AC105" i="1"/>
  <c r="AC223" i="1"/>
  <c r="AC516" i="1"/>
  <c r="AC331" i="1"/>
  <c r="AC340" i="1"/>
  <c r="AC136" i="1"/>
  <c r="AC8" i="1"/>
  <c r="AC306" i="1"/>
  <c r="AC568" i="1"/>
  <c r="AC96" i="1"/>
  <c r="AC463" i="1"/>
  <c r="AC210" i="1"/>
  <c r="AC75" i="1"/>
  <c r="AC206" i="1"/>
  <c r="AC309" i="1"/>
  <c r="AC128" i="1"/>
  <c r="AC90" i="1"/>
  <c r="AC276" i="1"/>
  <c r="AC525" i="1"/>
  <c r="AC600" i="1"/>
  <c r="AC439" i="1"/>
  <c r="AC346" i="1"/>
  <c r="AC215" i="1"/>
  <c r="AC563" i="1"/>
  <c r="AC509" i="1"/>
  <c r="AC88" i="1"/>
  <c r="AC164" i="1"/>
  <c r="AC586" i="1"/>
  <c r="AC255" i="1"/>
  <c r="AC612" i="1"/>
  <c r="AC95" i="1"/>
  <c r="AC311" i="1"/>
  <c r="AC41" i="1"/>
  <c r="AC132" i="1"/>
  <c r="AC60" i="1"/>
  <c r="AC230" i="1"/>
  <c r="AC388" i="1"/>
  <c r="AC620" i="1"/>
  <c r="AC542" i="1"/>
  <c r="AC149" i="1"/>
  <c r="AC448" i="1"/>
  <c r="AC192" i="1"/>
  <c r="AC436" i="1"/>
  <c r="AC312" i="1"/>
  <c r="AC549" i="1"/>
  <c r="AC302" i="1"/>
  <c r="AC377" i="1"/>
  <c r="AC598" i="1"/>
  <c r="AC269" i="1"/>
  <c r="AC325" i="1"/>
  <c r="AC367" i="1"/>
  <c r="AC112" i="1"/>
  <c r="AC396" i="1"/>
  <c r="AC193" i="1"/>
  <c r="AC625" i="1"/>
  <c r="AC76" i="1"/>
  <c r="AC304" i="1"/>
  <c r="AC27" i="1"/>
  <c r="AC510" i="1"/>
  <c r="AC501" i="1"/>
  <c r="AC295" i="1"/>
  <c r="AC540" i="1"/>
  <c r="AC419" i="1"/>
  <c r="AC56" i="1"/>
  <c r="AC435" i="1"/>
  <c r="AC84" i="1"/>
  <c r="AC271" i="1"/>
  <c r="AC409" i="1"/>
  <c r="AC99" i="1"/>
  <c r="AC467" i="1"/>
  <c r="AC606" i="1"/>
  <c r="AC178" i="1"/>
  <c r="AC553" i="1"/>
  <c r="AC307" i="1"/>
  <c r="AC73" i="1"/>
  <c r="AC352" i="1"/>
  <c r="AC85" i="1"/>
  <c r="AC353" i="1"/>
  <c r="AC303" i="1"/>
  <c r="AC240" i="1"/>
  <c r="AC299" i="1"/>
  <c r="AC486" i="1"/>
  <c r="AC5" i="1"/>
  <c r="AC333" i="1"/>
  <c r="AC159" i="1"/>
  <c r="AC247" i="1"/>
  <c r="AC503" i="1"/>
  <c r="AC535" i="1"/>
  <c r="AC153" i="1"/>
  <c r="AC580" i="1"/>
  <c r="AC470" i="1"/>
  <c r="AC121" i="1"/>
  <c r="AC374" i="1"/>
  <c r="AC126" i="1"/>
  <c r="AC225" i="1"/>
  <c r="AC12" i="1"/>
  <c r="AC127" i="1"/>
  <c r="AC336" i="1"/>
  <c r="AC20" i="1"/>
  <c r="AC122" i="1"/>
  <c r="AC614" i="1"/>
  <c r="AC273" i="1"/>
  <c r="AC167" i="1"/>
  <c r="AC33" i="1"/>
  <c r="AC356" i="1"/>
  <c r="AC447" i="1"/>
  <c r="AC607" i="1"/>
  <c r="AC35" i="1"/>
  <c r="AC492" i="1"/>
  <c r="AC490" i="1"/>
  <c r="AC385" i="1"/>
  <c r="AC83" i="1"/>
  <c r="AC548" i="1"/>
  <c r="AC282" i="1"/>
  <c r="AC317" i="1"/>
  <c r="AC232" i="1"/>
  <c r="AC421" i="1"/>
  <c r="AC444" i="1"/>
  <c r="AC57" i="1"/>
  <c r="AC484" i="1"/>
  <c r="AC245" i="1"/>
  <c r="AC256" i="1"/>
  <c r="AC582" i="1"/>
  <c r="AC429" i="1"/>
  <c r="AC265" i="1"/>
  <c r="AC528" i="1"/>
  <c r="AC100" i="1"/>
  <c r="AC511" i="1"/>
  <c r="AC231" i="1"/>
  <c r="AC217" i="1"/>
  <c r="AC72" i="1"/>
  <c r="AC604" i="1"/>
  <c r="AC143" i="1"/>
  <c r="AC108" i="1"/>
  <c r="AC434" i="1"/>
  <c r="AC588" i="1"/>
  <c r="AC101" i="1"/>
  <c r="AC15" i="1"/>
  <c r="AC391" i="1"/>
  <c r="AC366" i="1"/>
  <c r="AC532" i="1"/>
  <c r="AC77" i="1"/>
  <c r="AC283" i="1"/>
  <c r="AC343" i="1"/>
  <c r="AC491" i="1"/>
  <c r="AC49" i="1"/>
  <c r="AC621" i="1"/>
  <c r="AC29" i="1"/>
  <c r="AC365" i="1"/>
  <c r="AC571" i="1"/>
  <c r="AC351" i="1"/>
  <c r="AC493" i="1"/>
  <c r="AC3" i="1"/>
  <c r="AC502" i="1"/>
  <c r="AC375" i="1"/>
  <c r="AC279" i="1"/>
  <c r="AC378" i="1"/>
  <c r="AC611" i="1"/>
  <c r="AC551" i="1"/>
  <c r="AC53" i="1"/>
  <c r="AC170" i="1"/>
  <c r="AC70" i="1"/>
  <c r="AC574" i="1"/>
  <c r="AC441" i="1"/>
  <c r="AC250" i="1"/>
  <c r="AC61" i="1"/>
  <c r="AC252" i="1"/>
  <c r="AC415" i="1"/>
  <c r="AC347" i="1"/>
  <c r="AC142" i="1"/>
  <c r="AC504" i="1"/>
  <c r="AC184" i="1"/>
  <c r="AC455" i="1"/>
  <c r="AC589" i="1"/>
  <c r="AC411" i="1"/>
  <c r="AC168" i="1"/>
  <c r="AC533" i="1"/>
  <c r="AC363" i="1"/>
  <c r="AC593" i="1"/>
  <c r="AC145" i="1"/>
  <c r="AC201" i="1"/>
  <c r="AC221" i="1"/>
  <c r="AC146" i="1"/>
  <c r="AC115" i="1"/>
  <c r="AC213" i="1"/>
  <c r="AC202" i="1"/>
  <c r="AC497" i="1"/>
  <c r="AC281" i="1"/>
  <c r="F337" i="1" l="1"/>
  <c r="I337" i="1" s="1"/>
  <c r="F325" i="1"/>
  <c r="I325" i="1" s="1"/>
  <c r="F313" i="1"/>
  <c r="I313" i="1" s="1"/>
  <c r="F233" i="1"/>
  <c r="I233" i="1" s="1"/>
  <c r="F221" i="1"/>
  <c r="I221" i="1" s="1"/>
  <c r="F209" i="1"/>
  <c r="I209" i="1" s="1"/>
  <c r="F113" i="1"/>
  <c r="I113" i="1" s="1"/>
  <c r="F41" i="1"/>
  <c r="I41" i="1" s="1"/>
  <c r="F324" i="1"/>
  <c r="I324" i="1" s="1"/>
  <c r="F300" i="1"/>
  <c r="I300" i="1" s="1"/>
  <c r="F276" i="1"/>
  <c r="I276" i="1" s="1"/>
  <c r="F180" i="1"/>
  <c r="I180" i="1" s="1"/>
  <c r="F168" i="1"/>
  <c r="I168" i="1" s="1"/>
  <c r="F156" i="1"/>
  <c r="I156" i="1" s="1"/>
  <c r="F84" i="1"/>
  <c r="I84" i="1" s="1"/>
  <c r="F12" i="1"/>
  <c r="I12" i="1" s="1"/>
  <c r="F311" i="1"/>
  <c r="I311" i="1" s="1"/>
  <c r="F299" i="1"/>
  <c r="I299" i="1" s="1"/>
  <c r="F287" i="1"/>
  <c r="I287" i="1" s="1"/>
  <c r="F263" i="1"/>
  <c r="I263" i="1" s="1"/>
  <c r="F167" i="1"/>
  <c r="I167" i="1" s="1"/>
  <c r="F155" i="1"/>
  <c r="I155" i="1" s="1"/>
  <c r="F143" i="1"/>
  <c r="I143" i="1" s="1"/>
  <c r="F71" i="1"/>
  <c r="I71" i="1" s="1"/>
  <c r="F11" i="1"/>
  <c r="I11" i="1" s="1"/>
  <c r="F622" i="1"/>
  <c r="I622" i="1" s="1"/>
  <c r="F610" i="1"/>
  <c r="I610" i="1" s="1"/>
  <c r="F598" i="1"/>
  <c r="I598" i="1" s="1"/>
  <c r="F586" i="1"/>
  <c r="I586" i="1" s="1"/>
  <c r="F574" i="1"/>
  <c r="I574" i="1" s="1"/>
  <c r="F562" i="1"/>
  <c r="I562" i="1" s="1"/>
  <c r="F550" i="1"/>
  <c r="I550" i="1" s="1"/>
  <c r="F538" i="1"/>
  <c r="I538" i="1" s="1"/>
  <c r="F526" i="1"/>
  <c r="I526" i="1" s="1"/>
  <c r="F514" i="1"/>
  <c r="I514" i="1" s="1"/>
  <c r="F502" i="1"/>
  <c r="I502" i="1" s="1"/>
  <c r="F490" i="1"/>
  <c r="I490" i="1" s="1"/>
  <c r="F478" i="1"/>
  <c r="I478" i="1" s="1"/>
  <c r="F466" i="1"/>
  <c r="I466" i="1" s="1"/>
  <c r="F454" i="1"/>
  <c r="I454" i="1" s="1"/>
  <c r="F442" i="1"/>
  <c r="I442" i="1" s="1"/>
  <c r="F430" i="1"/>
  <c r="I430" i="1" s="1"/>
  <c r="F418" i="1"/>
  <c r="I418" i="1" s="1"/>
  <c r="F406" i="1"/>
  <c r="I406" i="1" s="1"/>
  <c r="F394" i="1"/>
  <c r="I394" i="1" s="1"/>
  <c r="F298" i="1"/>
  <c r="I298" i="1" s="1"/>
  <c r="F286" i="1"/>
  <c r="I286" i="1" s="1"/>
  <c r="F274" i="1"/>
  <c r="I274" i="1" s="1"/>
  <c r="F250" i="1"/>
  <c r="I250" i="1" s="1"/>
  <c r="F154" i="1"/>
  <c r="I154" i="1" s="1"/>
  <c r="F142" i="1"/>
  <c r="I142" i="1" s="1"/>
  <c r="F70" i="1"/>
  <c r="I70" i="1" s="1"/>
  <c r="F632" i="1"/>
  <c r="I632" i="1" s="1"/>
  <c r="F620" i="1"/>
  <c r="I620" i="1" s="1"/>
  <c r="F608" i="1"/>
  <c r="I608" i="1" s="1"/>
  <c r="F596" i="1"/>
  <c r="I596" i="1" s="1"/>
  <c r="F584" i="1"/>
  <c r="I584" i="1" s="1"/>
  <c r="F572" i="1"/>
  <c r="I572" i="1" s="1"/>
  <c r="F560" i="1"/>
  <c r="I560" i="1" s="1"/>
  <c r="F548" i="1"/>
  <c r="I548" i="1" s="1"/>
  <c r="F536" i="1"/>
  <c r="I536" i="1" s="1"/>
  <c r="F524" i="1"/>
  <c r="I524" i="1" s="1"/>
  <c r="F512" i="1"/>
  <c r="I512" i="1" s="1"/>
  <c r="F500" i="1"/>
  <c r="I500" i="1" s="1"/>
  <c r="F488" i="1"/>
  <c r="I488" i="1" s="1"/>
  <c r="F476" i="1"/>
  <c r="I476" i="1" s="1"/>
  <c r="F464" i="1"/>
  <c r="I464" i="1" s="1"/>
  <c r="F452" i="1"/>
  <c r="I452" i="1" s="1"/>
  <c r="F440" i="1"/>
  <c r="I440" i="1" s="1"/>
  <c r="F428" i="1"/>
  <c r="I428" i="1" s="1"/>
  <c r="F416" i="1"/>
  <c r="I416" i="1" s="1"/>
  <c r="F404" i="1"/>
  <c r="I404" i="1" s="1"/>
  <c r="F392" i="1"/>
  <c r="I392" i="1" s="1"/>
  <c r="F368" i="1"/>
  <c r="I368" i="1" s="1"/>
  <c r="F631" i="1"/>
  <c r="I631" i="1" s="1"/>
  <c r="F619" i="1"/>
  <c r="I619" i="1" s="1"/>
  <c r="F595" i="1"/>
  <c r="I595" i="1" s="1"/>
  <c r="F583" i="1"/>
  <c r="I583" i="1" s="1"/>
  <c r="F559" i="1"/>
  <c r="I559" i="1" s="1"/>
  <c r="F547" i="1"/>
  <c r="I547" i="1" s="1"/>
  <c r="F523" i="1"/>
  <c r="I523" i="1" s="1"/>
  <c r="F511" i="1"/>
  <c r="I511" i="1" s="1"/>
  <c r="F487" i="1"/>
  <c r="I487" i="1" s="1"/>
  <c r="F475" i="1"/>
  <c r="I475" i="1" s="1"/>
  <c r="F451" i="1"/>
  <c r="I451" i="1" s="1"/>
  <c r="F439" i="1"/>
  <c r="I439" i="1" s="1"/>
  <c r="F415" i="1"/>
  <c r="I415" i="1" s="1"/>
  <c r="F403" i="1"/>
  <c r="I403" i="1" s="1"/>
  <c r="F379" i="1"/>
  <c r="I379" i="1" s="1"/>
  <c r="F355" i="1"/>
  <c r="I355" i="1" s="1"/>
  <c r="F259" i="1"/>
  <c r="I259" i="1" s="1"/>
  <c r="F247" i="1"/>
  <c r="I247" i="1" s="1"/>
  <c r="F235" i="1"/>
  <c r="I235" i="1" s="1"/>
  <c r="F211" i="1"/>
  <c r="I211" i="1" s="1"/>
  <c r="F630" i="1"/>
  <c r="I630" i="1" s="1"/>
  <c r="F618" i="1"/>
  <c r="I618" i="1" s="1"/>
  <c r="F606" i="1"/>
  <c r="I606" i="1" s="1"/>
  <c r="F594" i="1"/>
  <c r="I594" i="1" s="1"/>
  <c r="F582" i="1"/>
  <c r="I582" i="1" s="1"/>
  <c r="F570" i="1"/>
  <c r="I570" i="1" s="1"/>
  <c r="F558" i="1"/>
  <c r="I558" i="1" s="1"/>
  <c r="F546" i="1"/>
  <c r="I546" i="1" s="1"/>
  <c r="F534" i="1"/>
  <c r="I534" i="1" s="1"/>
  <c r="F522" i="1"/>
  <c r="I522" i="1" s="1"/>
  <c r="F510" i="1"/>
  <c r="I510" i="1" s="1"/>
  <c r="F498" i="1"/>
  <c r="I498" i="1" s="1"/>
  <c r="F486" i="1"/>
  <c r="I486" i="1" s="1"/>
  <c r="F474" i="1"/>
  <c r="I474" i="1" s="1"/>
  <c r="F462" i="1"/>
  <c r="I462" i="1" s="1"/>
  <c r="F450" i="1"/>
  <c r="I450" i="1" s="1"/>
  <c r="F438" i="1"/>
  <c r="I438" i="1" s="1"/>
  <c r="F426" i="1"/>
  <c r="I426" i="1" s="1"/>
  <c r="F414" i="1"/>
  <c r="I414" i="1" s="1"/>
  <c r="F402" i="1"/>
  <c r="I402" i="1" s="1"/>
  <c r="F390" i="1"/>
  <c r="I390" i="1" s="1"/>
  <c r="F378" i="1"/>
  <c r="I378" i="1" s="1"/>
  <c r="F366" i="1"/>
  <c r="I366" i="1" s="1"/>
  <c r="F342" i="1"/>
  <c r="I342" i="1" s="1"/>
  <c r="F285" i="1"/>
  <c r="I285" i="1" s="1"/>
  <c r="F273" i="1"/>
  <c r="I273" i="1" s="1"/>
  <c r="F261" i="1"/>
  <c r="I261" i="1" s="1"/>
  <c r="F237" i="1"/>
  <c r="I237" i="1" s="1"/>
  <c r="F141" i="1"/>
  <c r="I141" i="1" s="1"/>
  <c r="F129" i="1"/>
  <c r="I129" i="1" s="1"/>
  <c r="F69" i="1"/>
  <c r="I69" i="1" s="1"/>
  <c r="F57" i="1"/>
  <c r="I57" i="1" s="1"/>
  <c r="F628" i="1"/>
  <c r="I628" i="1" s="1"/>
  <c r="F616" i="1"/>
  <c r="I616" i="1" s="1"/>
  <c r="F604" i="1"/>
  <c r="I604" i="1" s="1"/>
  <c r="F592" i="1"/>
  <c r="I592" i="1" s="1"/>
  <c r="F580" i="1"/>
  <c r="I580" i="1" s="1"/>
  <c r="F568" i="1"/>
  <c r="I568" i="1" s="1"/>
  <c r="F556" i="1"/>
  <c r="I556" i="1" s="1"/>
  <c r="F544" i="1"/>
  <c r="I544" i="1" s="1"/>
  <c r="F532" i="1"/>
  <c r="I532" i="1" s="1"/>
  <c r="F520" i="1"/>
  <c r="I520" i="1" s="1"/>
  <c r="F508" i="1"/>
  <c r="I508" i="1" s="1"/>
  <c r="F496" i="1"/>
  <c r="I496" i="1" s="1"/>
  <c r="F484" i="1"/>
  <c r="I484" i="1" s="1"/>
  <c r="F472" i="1"/>
  <c r="I472" i="1" s="1"/>
  <c r="F460" i="1"/>
  <c r="I460" i="1" s="1"/>
  <c r="F448" i="1"/>
  <c r="I448" i="1" s="1"/>
  <c r="F436" i="1"/>
  <c r="I436" i="1" s="1"/>
  <c r="F424" i="1"/>
  <c r="I424" i="1" s="1"/>
  <c r="F412" i="1"/>
  <c r="I412" i="1" s="1"/>
  <c r="F400" i="1"/>
  <c r="I400" i="1" s="1"/>
  <c r="F388" i="1"/>
  <c r="I388" i="1" s="1"/>
  <c r="F376" i="1"/>
  <c r="I376" i="1" s="1"/>
  <c r="F364" i="1"/>
  <c r="I364" i="1" s="1"/>
  <c r="F352" i="1"/>
  <c r="I352" i="1" s="1"/>
  <c r="F340" i="1"/>
  <c r="I340" i="1" s="1"/>
  <c r="F328" i="1"/>
  <c r="I328" i="1" s="1"/>
  <c r="F316" i="1"/>
  <c r="I316" i="1" s="1"/>
  <c r="F304" i="1"/>
  <c r="I304" i="1" s="1"/>
  <c r="F292" i="1"/>
  <c r="I292" i="1" s="1"/>
  <c r="F280" i="1"/>
  <c r="I280" i="1" s="1"/>
  <c r="F268" i="1"/>
  <c r="I268" i="1" s="1"/>
  <c r="F256" i="1"/>
  <c r="I256" i="1" s="1"/>
  <c r="F244" i="1"/>
  <c r="I244" i="1" s="1"/>
  <c r="F232" i="1"/>
  <c r="I232" i="1" s="1"/>
  <c r="F184" i="1"/>
  <c r="I184" i="1" s="1"/>
  <c r="F172" i="1"/>
  <c r="I172" i="1" s="1"/>
  <c r="F160" i="1"/>
  <c r="I160" i="1" s="1"/>
  <c r="F148" i="1"/>
  <c r="I148" i="1" s="1"/>
  <c r="F136" i="1"/>
  <c r="I136" i="1" s="1"/>
  <c r="F124" i="1"/>
  <c r="I124" i="1" s="1"/>
  <c r="F88" i="1"/>
  <c r="I88" i="1" s="1"/>
  <c r="F76" i="1"/>
  <c r="I76" i="1" s="1"/>
  <c r="F64" i="1"/>
  <c r="I64" i="1" s="1"/>
  <c r="F52" i="1"/>
  <c r="I52" i="1" s="1"/>
  <c r="F16" i="1"/>
  <c r="I16" i="1" s="1"/>
  <c r="F4" i="1"/>
  <c r="I4" i="1" s="1"/>
  <c r="F354" i="1"/>
  <c r="I354" i="1" s="1"/>
  <c r="F330" i="1"/>
  <c r="I330" i="1" s="1"/>
  <c r="F318" i="1"/>
  <c r="I318" i="1" s="1"/>
  <c r="F306" i="1"/>
  <c r="I306" i="1" s="1"/>
  <c r="F294" i="1"/>
  <c r="I294" i="1" s="1"/>
  <c r="F282" i="1"/>
  <c r="I282" i="1" s="1"/>
  <c r="F270" i="1"/>
  <c r="I270" i="1" s="1"/>
  <c r="F258" i="1"/>
  <c r="I258" i="1" s="1"/>
  <c r="F210" i="1"/>
  <c r="I210" i="1" s="1"/>
  <c r="F186" i="1"/>
  <c r="I186" i="1" s="1"/>
  <c r="F174" i="1"/>
  <c r="I174" i="1" s="1"/>
  <c r="F162" i="1"/>
  <c r="I162" i="1" s="1"/>
  <c r="F150" i="1"/>
  <c r="I150" i="1" s="1"/>
  <c r="F138" i="1"/>
  <c r="I138" i="1" s="1"/>
  <c r="F102" i="1"/>
  <c r="I102" i="1" s="1"/>
  <c r="F90" i="1"/>
  <c r="I90" i="1" s="1"/>
  <c r="F78" i="1"/>
  <c r="I78" i="1" s="1"/>
  <c r="F66" i="1"/>
  <c r="I66" i="1" s="1"/>
  <c r="F30" i="1"/>
  <c r="I30" i="1" s="1"/>
  <c r="F18" i="1"/>
  <c r="I18" i="1" s="1"/>
  <c r="F6" i="1"/>
  <c r="I6" i="1" s="1"/>
  <c r="F629" i="1"/>
  <c r="I629" i="1" s="1"/>
  <c r="F617" i="1"/>
  <c r="I617" i="1" s="1"/>
  <c r="F605" i="1"/>
  <c r="I605" i="1" s="1"/>
  <c r="F593" i="1"/>
  <c r="I593" i="1" s="1"/>
  <c r="F581" i="1"/>
  <c r="I581" i="1" s="1"/>
  <c r="F569" i="1"/>
  <c r="I569" i="1" s="1"/>
  <c r="F557" i="1"/>
  <c r="I557" i="1" s="1"/>
  <c r="F545" i="1"/>
  <c r="I545" i="1" s="1"/>
  <c r="F533" i="1"/>
  <c r="I533" i="1" s="1"/>
  <c r="F521" i="1"/>
  <c r="I521" i="1" s="1"/>
  <c r="F509" i="1"/>
  <c r="I509" i="1" s="1"/>
  <c r="F497" i="1"/>
  <c r="I497" i="1" s="1"/>
  <c r="F485" i="1"/>
  <c r="I485" i="1" s="1"/>
  <c r="F473" i="1"/>
  <c r="I473" i="1" s="1"/>
  <c r="F461" i="1"/>
  <c r="I461" i="1" s="1"/>
  <c r="F449" i="1"/>
  <c r="I449" i="1" s="1"/>
  <c r="F437" i="1"/>
  <c r="I437" i="1" s="1"/>
  <c r="F425" i="1"/>
  <c r="I425" i="1" s="1"/>
  <c r="F413" i="1"/>
  <c r="I413" i="1" s="1"/>
  <c r="F401" i="1"/>
  <c r="I401" i="1" s="1"/>
  <c r="F389" i="1"/>
  <c r="I389" i="1" s="1"/>
  <c r="F341" i="1"/>
  <c r="I341" i="1" s="1"/>
  <c r="F317" i="1"/>
  <c r="I317" i="1" s="1"/>
  <c r="F305" i="1"/>
  <c r="I305" i="1" s="1"/>
  <c r="F293" i="1"/>
  <c r="I293" i="1" s="1"/>
  <c r="F281" i="1"/>
  <c r="I281" i="1" s="1"/>
  <c r="F269" i="1"/>
  <c r="I269" i="1" s="1"/>
  <c r="F257" i="1"/>
  <c r="I257" i="1" s="1"/>
  <c r="F245" i="1"/>
  <c r="I245" i="1" s="1"/>
  <c r="F197" i="1"/>
  <c r="I197" i="1" s="1"/>
  <c r="F185" i="1"/>
  <c r="I185" i="1" s="1"/>
  <c r="F173" i="1"/>
  <c r="I173" i="1" s="1"/>
  <c r="F161" i="1"/>
  <c r="I161" i="1" s="1"/>
  <c r="F149" i="1"/>
  <c r="I149" i="1" s="1"/>
  <c r="F137" i="1"/>
  <c r="I137" i="1" s="1"/>
  <c r="F125" i="1"/>
  <c r="I125" i="1" s="1"/>
  <c r="F101" i="1"/>
  <c r="I101" i="1" s="1"/>
  <c r="F89" i="1"/>
  <c r="I89" i="1" s="1"/>
  <c r="F77" i="1"/>
  <c r="I77" i="1" s="1"/>
  <c r="F65" i="1"/>
  <c r="I65" i="1" s="1"/>
  <c r="F53" i="1"/>
  <c r="I53" i="1" s="1"/>
  <c r="F29" i="1"/>
  <c r="I29" i="1" s="1"/>
  <c r="F17" i="1"/>
  <c r="I17" i="1" s="1"/>
  <c r="F5" i="1"/>
  <c r="I5" i="1" s="1"/>
  <c r="F627" i="1"/>
  <c r="I627" i="1" s="1"/>
  <c r="F615" i="1"/>
  <c r="I615" i="1" s="1"/>
  <c r="F603" i="1"/>
  <c r="I603" i="1" s="1"/>
  <c r="F591" i="1"/>
  <c r="I591" i="1" s="1"/>
  <c r="F579" i="1"/>
  <c r="I579" i="1" s="1"/>
  <c r="F567" i="1"/>
  <c r="I567" i="1" s="1"/>
  <c r="F555" i="1"/>
  <c r="I555" i="1" s="1"/>
  <c r="F543" i="1"/>
  <c r="I543" i="1" s="1"/>
  <c r="F531" i="1"/>
  <c r="I531" i="1" s="1"/>
  <c r="F519" i="1"/>
  <c r="I519" i="1" s="1"/>
  <c r="F507" i="1"/>
  <c r="I507" i="1" s="1"/>
  <c r="F495" i="1"/>
  <c r="I495" i="1" s="1"/>
  <c r="F483" i="1"/>
  <c r="I483" i="1" s="1"/>
  <c r="F471" i="1"/>
  <c r="I471" i="1" s="1"/>
  <c r="F459" i="1"/>
  <c r="I459" i="1" s="1"/>
  <c r="F447" i="1"/>
  <c r="I447" i="1" s="1"/>
  <c r="F435" i="1"/>
  <c r="I435" i="1" s="1"/>
  <c r="F423" i="1"/>
  <c r="I423" i="1" s="1"/>
  <c r="F411" i="1"/>
  <c r="I411" i="1" s="1"/>
  <c r="F399" i="1"/>
  <c r="I399" i="1" s="1"/>
  <c r="F387" i="1"/>
  <c r="I387" i="1" s="1"/>
  <c r="F375" i="1"/>
  <c r="I375" i="1" s="1"/>
  <c r="F363" i="1"/>
  <c r="I363" i="1" s="1"/>
  <c r="F315" i="1"/>
  <c r="I315" i="1" s="1"/>
  <c r="F291" i="1"/>
  <c r="I291" i="1" s="1"/>
  <c r="F279" i="1"/>
  <c r="I279" i="1" s="1"/>
  <c r="F267" i="1"/>
  <c r="I267" i="1" s="1"/>
  <c r="F255" i="1"/>
  <c r="I255" i="1" s="1"/>
  <c r="F243" i="1"/>
  <c r="I243" i="1" s="1"/>
  <c r="F231" i="1"/>
  <c r="I231" i="1" s="1"/>
  <c r="F219" i="1"/>
  <c r="I219" i="1" s="1"/>
  <c r="F171" i="1"/>
  <c r="I171" i="1" s="1"/>
  <c r="F159" i="1"/>
  <c r="I159" i="1" s="1"/>
  <c r="F147" i="1"/>
  <c r="I147" i="1" s="1"/>
  <c r="F135" i="1"/>
  <c r="I135" i="1" s="1"/>
  <c r="F123" i="1"/>
  <c r="I123" i="1" s="1"/>
  <c r="F111" i="1"/>
  <c r="I111" i="1" s="1"/>
  <c r="F87" i="1"/>
  <c r="I87" i="1" s="1"/>
  <c r="F75" i="1"/>
  <c r="I75" i="1" s="1"/>
  <c r="F63" i="1"/>
  <c r="I63" i="1" s="1"/>
  <c r="F51" i="1"/>
  <c r="I51" i="1" s="1"/>
  <c r="F39" i="1"/>
  <c r="I39" i="1" s="1"/>
  <c r="F15" i="1"/>
  <c r="I15" i="1" s="1"/>
  <c r="F3" i="1"/>
  <c r="F626" i="1"/>
  <c r="I626" i="1" s="1"/>
  <c r="F614" i="1"/>
  <c r="I614" i="1" s="1"/>
  <c r="F602" i="1"/>
  <c r="I602" i="1" s="1"/>
  <c r="F590" i="1"/>
  <c r="I590" i="1" s="1"/>
  <c r="F578" i="1"/>
  <c r="I578" i="1" s="1"/>
  <c r="F566" i="1"/>
  <c r="I566" i="1" s="1"/>
  <c r="F554" i="1"/>
  <c r="I554" i="1" s="1"/>
  <c r="F542" i="1"/>
  <c r="I542" i="1" s="1"/>
  <c r="F530" i="1"/>
  <c r="I530" i="1" s="1"/>
  <c r="F518" i="1"/>
  <c r="I518" i="1" s="1"/>
  <c r="F506" i="1"/>
  <c r="I506" i="1" s="1"/>
  <c r="F494" i="1"/>
  <c r="I494" i="1" s="1"/>
  <c r="F482" i="1"/>
  <c r="I482" i="1" s="1"/>
  <c r="F470" i="1"/>
  <c r="I470" i="1" s="1"/>
  <c r="F458" i="1"/>
  <c r="I458" i="1" s="1"/>
  <c r="F446" i="1"/>
  <c r="I446" i="1" s="1"/>
  <c r="F434" i="1"/>
  <c r="I434" i="1" s="1"/>
  <c r="F422" i="1"/>
  <c r="I422" i="1" s="1"/>
  <c r="F410" i="1"/>
  <c r="I410" i="1" s="1"/>
  <c r="F398" i="1"/>
  <c r="I398" i="1" s="1"/>
  <c r="F386" i="1"/>
  <c r="I386" i="1" s="1"/>
  <c r="F374" i="1"/>
  <c r="I374" i="1" s="1"/>
  <c r="F362" i="1"/>
  <c r="I362" i="1" s="1"/>
  <c r="F350" i="1"/>
  <c r="I350" i="1" s="1"/>
  <c r="F338" i="1"/>
  <c r="I338" i="1" s="1"/>
  <c r="F326" i="1"/>
  <c r="I326" i="1" s="1"/>
  <c r="F314" i="1"/>
  <c r="I314" i="1" s="1"/>
  <c r="F302" i="1"/>
  <c r="I302" i="1" s="1"/>
  <c r="F290" i="1"/>
  <c r="I290" i="1" s="1"/>
  <c r="F278" i="1"/>
  <c r="I278" i="1" s="1"/>
  <c r="F266" i="1"/>
  <c r="I266" i="1" s="1"/>
  <c r="F254" i="1"/>
  <c r="I254" i="1" s="1"/>
  <c r="F242" i="1"/>
  <c r="I242" i="1" s="1"/>
  <c r="F230" i="1"/>
  <c r="I230" i="1" s="1"/>
  <c r="F218" i="1"/>
  <c r="I218" i="1" s="1"/>
  <c r="F206" i="1"/>
  <c r="I206" i="1" s="1"/>
  <c r="F194" i="1"/>
  <c r="I194" i="1" s="1"/>
  <c r="F182" i="1"/>
  <c r="I182" i="1" s="1"/>
  <c r="F170" i="1"/>
  <c r="I170" i="1" s="1"/>
  <c r="F158" i="1"/>
  <c r="I158" i="1" s="1"/>
  <c r="F146" i="1"/>
  <c r="I146" i="1" s="1"/>
  <c r="F134" i="1"/>
  <c r="I134" i="1" s="1"/>
  <c r="F122" i="1"/>
  <c r="I122" i="1" s="1"/>
  <c r="F110" i="1"/>
  <c r="I110" i="1" s="1"/>
  <c r="F98" i="1"/>
  <c r="I98" i="1" s="1"/>
  <c r="F86" i="1"/>
  <c r="I86" i="1" s="1"/>
  <c r="F74" i="1"/>
  <c r="I74" i="1" s="1"/>
  <c r="F62" i="1"/>
  <c r="I62" i="1" s="1"/>
  <c r="F50" i="1"/>
  <c r="I50" i="1" s="1"/>
  <c r="F38" i="1"/>
  <c r="I38" i="1" s="1"/>
  <c r="F26" i="1"/>
  <c r="I26" i="1" s="1"/>
  <c r="F14" i="1"/>
  <c r="I14" i="1" s="1"/>
  <c r="F625" i="1"/>
  <c r="I625" i="1" s="1"/>
  <c r="F613" i="1"/>
  <c r="I613" i="1" s="1"/>
  <c r="F601" i="1"/>
  <c r="I601" i="1" s="1"/>
  <c r="F589" i="1"/>
  <c r="I589" i="1" s="1"/>
  <c r="F577" i="1"/>
  <c r="I577" i="1" s="1"/>
  <c r="F565" i="1"/>
  <c r="I565" i="1" s="1"/>
  <c r="F553" i="1"/>
  <c r="I553" i="1" s="1"/>
  <c r="F541" i="1"/>
  <c r="I541" i="1" s="1"/>
  <c r="F529" i="1"/>
  <c r="I529" i="1" s="1"/>
  <c r="F517" i="1"/>
  <c r="I517" i="1" s="1"/>
  <c r="F505" i="1"/>
  <c r="I505" i="1" s="1"/>
  <c r="F493" i="1"/>
  <c r="I493" i="1" s="1"/>
  <c r="F481" i="1"/>
  <c r="I481" i="1" s="1"/>
  <c r="F469" i="1"/>
  <c r="I469" i="1" s="1"/>
  <c r="F457" i="1"/>
  <c r="I457" i="1" s="1"/>
  <c r="F445" i="1"/>
  <c r="I445" i="1" s="1"/>
  <c r="F433" i="1"/>
  <c r="I433" i="1" s="1"/>
  <c r="F421" i="1"/>
  <c r="I421" i="1" s="1"/>
  <c r="F409" i="1"/>
  <c r="I409" i="1" s="1"/>
  <c r="F397" i="1"/>
  <c r="I397" i="1" s="1"/>
  <c r="F385" i="1"/>
  <c r="I385" i="1" s="1"/>
  <c r="F373" i="1"/>
  <c r="I373" i="1" s="1"/>
  <c r="F361" i="1"/>
  <c r="I361" i="1" s="1"/>
  <c r="F349" i="1"/>
  <c r="I349" i="1" s="1"/>
  <c r="F301" i="1"/>
  <c r="I301" i="1" s="1"/>
  <c r="F277" i="1"/>
  <c r="I277" i="1" s="1"/>
  <c r="F265" i="1"/>
  <c r="I265" i="1" s="1"/>
  <c r="F253" i="1"/>
  <c r="I253" i="1" s="1"/>
  <c r="F241" i="1"/>
  <c r="I241" i="1" s="1"/>
  <c r="F229" i="1"/>
  <c r="I229" i="1" s="1"/>
  <c r="F217" i="1"/>
  <c r="I217" i="1" s="1"/>
  <c r="F205" i="1"/>
  <c r="I205" i="1" s="1"/>
  <c r="F157" i="1"/>
  <c r="I157" i="1" s="1"/>
  <c r="F145" i="1"/>
  <c r="I145" i="1" s="1"/>
  <c r="F133" i="1"/>
  <c r="I133" i="1" s="1"/>
  <c r="F121" i="1"/>
  <c r="I121" i="1" s="1"/>
  <c r="F109" i="1"/>
  <c r="I109" i="1" s="1"/>
  <c r="F73" i="1"/>
  <c r="I73" i="1" s="1"/>
  <c r="F61" i="1"/>
  <c r="I61" i="1" s="1"/>
  <c r="F49" i="1"/>
  <c r="I49" i="1" s="1"/>
  <c r="F37" i="1"/>
  <c r="I37" i="1" s="1"/>
  <c r="F624" i="1"/>
  <c r="I624" i="1" s="1"/>
  <c r="F612" i="1"/>
  <c r="I612" i="1" s="1"/>
  <c r="F600" i="1"/>
  <c r="I600" i="1" s="1"/>
  <c r="F588" i="1"/>
  <c r="I588" i="1" s="1"/>
  <c r="F576" i="1"/>
  <c r="I576" i="1" s="1"/>
  <c r="F564" i="1"/>
  <c r="I564" i="1" s="1"/>
  <c r="F552" i="1"/>
  <c r="I552" i="1" s="1"/>
  <c r="F540" i="1"/>
  <c r="I540" i="1" s="1"/>
  <c r="F528" i="1"/>
  <c r="I528" i="1" s="1"/>
  <c r="F516" i="1"/>
  <c r="I516" i="1" s="1"/>
  <c r="F504" i="1"/>
  <c r="I504" i="1" s="1"/>
  <c r="F492" i="1"/>
  <c r="I492" i="1" s="1"/>
  <c r="F480" i="1"/>
  <c r="I480" i="1" s="1"/>
  <c r="F468" i="1"/>
  <c r="I468" i="1" s="1"/>
  <c r="F456" i="1"/>
  <c r="I456" i="1" s="1"/>
  <c r="F444" i="1"/>
  <c r="I444" i="1" s="1"/>
  <c r="F432" i="1"/>
  <c r="I432" i="1" s="1"/>
  <c r="F420" i="1"/>
  <c r="I420" i="1" s="1"/>
  <c r="F408" i="1"/>
  <c r="I408" i="1" s="1"/>
  <c r="F396" i="1"/>
  <c r="I396" i="1" s="1"/>
  <c r="F384" i="1"/>
  <c r="I384" i="1" s="1"/>
  <c r="F372" i="1"/>
  <c r="I372" i="1" s="1"/>
  <c r="F360" i="1"/>
  <c r="I360" i="1" s="1"/>
  <c r="F348" i="1"/>
  <c r="I348" i="1" s="1"/>
  <c r="F336" i="1"/>
  <c r="I336" i="1" s="1"/>
  <c r="F288" i="1"/>
  <c r="I288" i="1" s="1"/>
  <c r="F264" i="1"/>
  <c r="I264" i="1" s="1"/>
  <c r="F252" i="1"/>
  <c r="I252" i="1" s="1"/>
  <c r="F240" i="1"/>
  <c r="I240" i="1" s="1"/>
  <c r="F228" i="1"/>
  <c r="I228" i="1" s="1"/>
  <c r="F216" i="1"/>
  <c r="I216" i="1" s="1"/>
  <c r="F204" i="1"/>
  <c r="I204" i="1" s="1"/>
  <c r="F192" i="1"/>
  <c r="I192" i="1" s="1"/>
  <c r="F144" i="1"/>
  <c r="I144" i="1" s="1"/>
  <c r="F132" i="1"/>
  <c r="I132" i="1" s="1"/>
  <c r="F120" i="1"/>
  <c r="I120" i="1" s="1"/>
  <c r="F108" i="1"/>
  <c r="I108" i="1" s="1"/>
  <c r="F96" i="1"/>
  <c r="I96" i="1" s="1"/>
  <c r="F72" i="1"/>
  <c r="I72" i="1" s="1"/>
  <c r="F60" i="1"/>
  <c r="I60" i="1" s="1"/>
  <c r="F48" i="1"/>
  <c r="I48" i="1" s="1"/>
  <c r="F36" i="1"/>
  <c r="I36" i="1" s="1"/>
  <c r="F24" i="1"/>
  <c r="I24" i="1" s="1"/>
  <c r="F623" i="1"/>
  <c r="I623" i="1" s="1"/>
  <c r="F611" i="1"/>
  <c r="I611" i="1" s="1"/>
  <c r="F599" i="1"/>
  <c r="I599" i="1" s="1"/>
  <c r="F587" i="1"/>
  <c r="I587" i="1" s="1"/>
  <c r="F575" i="1"/>
  <c r="I575" i="1" s="1"/>
  <c r="F563" i="1"/>
  <c r="I563" i="1" s="1"/>
  <c r="F551" i="1"/>
  <c r="I551" i="1" s="1"/>
  <c r="F539" i="1"/>
  <c r="I539" i="1" s="1"/>
  <c r="F527" i="1"/>
  <c r="I527" i="1" s="1"/>
  <c r="F515" i="1"/>
  <c r="I515" i="1" s="1"/>
  <c r="F503" i="1"/>
  <c r="I503" i="1" s="1"/>
  <c r="F491" i="1"/>
  <c r="I491" i="1" s="1"/>
  <c r="F479" i="1"/>
  <c r="I479" i="1" s="1"/>
  <c r="F467" i="1"/>
  <c r="I467" i="1" s="1"/>
  <c r="F455" i="1"/>
  <c r="I455" i="1" s="1"/>
  <c r="F443" i="1"/>
  <c r="I443" i="1" s="1"/>
  <c r="F431" i="1"/>
  <c r="I431" i="1" s="1"/>
  <c r="F419" i="1"/>
  <c r="I419" i="1" s="1"/>
  <c r="F407" i="1"/>
  <c r="I407" i="1" s="1"/>
  <c r="F395" i="1"/>
  <c r="I395" i="1" s="1"/>
  <c r="F383" i="1"/>
  <c r="I383" i="1" s="1"/>
  <c r="F371" i="1"/>
  <c r="I371" i="1" s="1"/>
  <c r="F359" i="1"/>
  <c r="I359" i="1" s="1"/>
  <c r="F347" i="1"/>
  <c r="I347" i="1" s="1"/>
  <c r="F335" i="1"/>
  <c r="I335" i="1" s="1"/>
  <c r="F323" i="1"/>
  <c r="I323" i="1" s="1"/>
  <c r="F275" i="1"/>
  <c r="I275" i="1" s="1"/>
  <c r="F251" i="1"/>
  <c r="I251" i="1" s="1"/>
  <c r="F239" i="1"/>
  <c r="I239" i="1" s="1"/>
  <c r="F227" i="1"/>
  <c r="I227" i="1" s="1"/>
  <c r="F215" i="1"/>
  <c r="I215" i="1" s="1"/>
  <c r="F203" i="1"/>
  <c r="I203" i="1" s="1"/>
  <c r="F191" i="1"/>
  <c r="I191" i="1" s="1"/>
  <c r="F179" i="1"/>
  <c r="I179" i="1" s="1"/>
  <c r="F131" i="1"/>
  <c r="I131" i="1" s="1"/>
  <c r="F119" i="1"/>
  <c r="I119" i="1" s="1"/>
  <c r="F107" i="1"/>
  <c r="I107" i="1" s="1"/>
  <c r="F95" i="1"/>
  <c r="I95" i="1" s="1"/>
  <c r="F59" i="1"/>
  <c r="I59" i="1" s="1"/>
  <c r="F47" i="1"/>
  <c r="I47" i="1" s="1"/>
  <c r="F35" i="1"/>
  <c r="I35" i="1" s="1"/>
  <c r="F23" i="1"/>
  <c r="I23" i="1" s="1"/>
  <c r="F382" i="1"/>
  <c r="I382" i="1" s="1"/>
  <c r="F370" i="1"/>
  <c r="I370" i="1" s="1"/>
  <c r="F358" i="1"/>
  <c r="I358" i="1" s="1"/>
  <c r="F346" i="1"/>
  <c r="I346" i="1" s="1"/>
  <c r="F334" i="1"/>
  <c r="I334" i="1" s="1"/>
  <c r="F322" i="1"/>
  <c r="I322" i="1" s="1"/>
  <c r="F310" i="1"/>
  <c r="I310" i="1" s="1"/>
  <c r="F262" i="1"/>
  <c r="I262" i="1" s="1"/>
  <c r="F238" i="1"/>
  <c r="I238" i="1" s="1"/>
  <c r="F226" i="1"/>
  <c r="I226" i="1" s="1"/>
  <c r="F214" i="1"/>
  <c r="I214" i="1" s="1"/>
  <c r="F202" i="1"/>
  <c r="I202" i="1" s="1"/>
  <c r="F190" i="1"/>
  <c r="I190" i="1" s="1"/>
  <c r="F178" i="1"/>
  <c r="I178" i="1" s="1"/>
  <c r="F166" i="1"/>
  <c r="I166" i="1" s="1"/>
  <c r="F130" i="1"/>
  <c r="I130" i="1" s="1"/>
  <c r="F118" i="1"/>
  <c r="I118" i="1" s="1"/>
  <c r="F106" i="1"/>
  <c r="I106" i="1" s="1"/>
  <c r="F94" i="1"/>
  <c r="I94" i="1" s="1"/>
  <c r="F82" i="1"/>
  <c r="I82" i="1" s="1"/>
  <c r="F58" i="1"/>
  <c r="I58" i="1" s="1"/>
  <c r="F46" i="1"/>
  <c r="I46" i="1" s="1"/>
  <c r="F34" i="1"/>
  <c r="I34" i="1" s="1"/>
  <c r="F22" i="1"/>
  <c r="I22" i="1" s="1"/>
  <c r="F10" i="1"/>
  <c r="I10" i="1" s="1"/>
  <c r="F633" i="1"/>
  <c r="I633" i="1" s="1"/>
  <c r="F621" i="1"/>
  <c r="I621" i="1" s="1"/>
  <c r="F609" i="1"/>
  <c r="I609" i="1" s="1"/>
  <c r="F597" i="1"/>
  <c r="I597" i="1" s="1"/>
  <c r="F585" i="1"/>
  <c r="I585" i="1" s="1"/>
  <c r="F573" i="1"/>
  <c r="I573" i="1" s="1"/>
  <c r="F561" i="1"/>
  <c r="I561" i="1" s="1"/>
  <c r="F549" i="1"/>
  <c r="I549" i="1" s="1"/>
  <c r="F537" i="1"/>
  <c r="I537" i="1" s="1"/>
  <c r="F525" i="1"/>
  <c r="I525" i="1" s="1"/>
  <c r="F513" i="1"/>
  <c r="I513" i="1" s="1"/>
  <c r="F501" i="1"/>
  <c r="I501" i="1" s="1"/>
  <c r="F489" i="1"/>
  <c r="I489" i="1" s="1"/>
  <c r="F477" i="1"/>
  <c r="I477" i="1" s="1"/>
  <c r="F465" i="1"/>
  <c r="I465" i="1" s="1"/>
  <c r="F453" i="1"/>
  <c r="I453" i="1" s="1"/>
  <c r="F441" i="1"/>
  <c r="I441" i="1" s="1"/>
  <c r="F429" i="1"/>
  <c r="I429" i="1" s="1"/>
  <c r="F417" i="1"/>
  <c r="I417" i="1" s="1"/>
  <c r="F405" i="1"/>
  <c r="I405" i="1" s="1"/>
  <c r="F393" i="1"/>
  <c r="I393" i="1" s="1"/>
  <c r="F369" i="1"/>
  <c r="I369" i="1" s="1"/>
  <c r="F357" i="1"/>
  <c r="I357" i="1" s="1"/>
  <c r="F345" i="1"/>
  <c r="I345" i="1" s="1"/>
  <c r="F333" i="1"/>
  <c r="I333" i="1" s="1"/>
  <c r="F321" i="1"/>
  <c r="I321" i="1" s="1"/>
  <c r="F309" i="1"/>
  <c r="I309" i="1" s="1"/>
  <c r="F297" i="1"/>
  <c r="I297" i="1" s="1"/>
  <c r="F249" i="1"/>
  <c r="I249" i="1" s="1"/>
  <c r="F225" i="1"/>
  <c r="I225" i="1" s="1"/>
  <c r="F213" i="1"/>
  <c r="I213" i="1" s="1"/>
  <c r="F201" i="1"/>
  <c r="I201" i="1" s="1"/>
  <c r="F189" i="1"/>
  <c r="I189" i="1" s="1"/>
  <c r="F177" i="1"/>
  <c r="I177" i="1" s="1"/>
  <c r="F165" i="1"/>
  <c r="I165" i="1" s="1"/>
  <c r="F153" i="1"/>
  <c r="I153" i="1" s="1"/>
  <c r="F117" i="1"/>
  <c r="I117" i="1" s="1"/>
  <c r="F105" i="1"/>
  <c r="I105" i="1" s="1"/>
  <c r="F93" i="1"/>
  <c r="I93" i="1" s="1"/>
  <c r="F81" i="1"/>
  <c r="I81" i="1" s="1"/>
  <c r="F45" i="1"/>
  <c r="I45" i="1" s="1"/>
  <c r="F33" i="1"/>
  <c r="I33" i="1" s="1"/>
  <c r="F21" i="1"/>
  <c r="I21" i="1" s="1"/>
  <c r="F9" i="1"/>
  <c r="I9" i="1" s="1"/>
  <c r="F380" i="1"/>
  <c r="I380" i="1" s="1"/>
  <c r="F356" i="1"/>
  <c r="I356" i="1" s="1"/>
  <c r="F344" i="1"/>
  <c r="I344" i="1" s="1"/>
  <c r="F332" i="1"/>
  <c r="I332" i="1" s="1"/>
  <c r="F320" i="1"/>
  <c r="I320" i="1" s="1"/>
  <c r="F308" i="1"/>
  <c r="I308" i="1" s="1"/>
  <c r="F296" i="1"/>
  <c r="I296" i="1" s="1"/>
  <c r="F284" i="1"/>
  <c r="I284" i="1" s="1"/>
  <c r="F236" i="1"/>
  <c r="I236" i="1" s="1"/>
  <c r="F212" i="1"/>
  <c r="I212" i="1" s="1"/>
  <c r="F200" i="1"/>
  <c r="I200" i="1" s="1"/>
  <c r="F188" i="1"/>
  <c r="I188" i="1" s="1"/>
  <c r="F176" i="1"/>
  <c r="I176" i="1" s="1"/>
  <c r="F164" i="1"/>
  <c r="I164" i="1" s="1"/>
  <c r="F152" i="1"/>
  <c r="I152" i="1" s="1"/>
  <c r="F140" i="1"/>
  <c r="I140" i="1" s="1"/>
  <c r="F116" i="1"/>
  <c r="I116" i="1" s="1"/>
  <c r="F104" i="1"/>
  <c r="I104" i="1" s="1"/>
  <c r="F92" i="1"/>
  <c r="I92" i="1" s="1"/>
  <c r="F80" i="1"/>
  <c r="I80" i="1" s="1"/>
  <c r="F68" i="1"/>
  <c r="I68" i="1" s="1"/>
  <c r="F44" i="1"/>
  <c r="I44" i="1" s="1"/>
  <c r="F32" i="1"/>
  <c r="I32" i="1" s="1"/>
  <c r="F20" i="1"/>
  <c r="I20" i="1" s="1"/>
  <c r="F8" i="1"/>
  <c r="I8" i="1" s="1"/>
  <c r="F367" i="1"/>
  <c r="I367" i="1" s="1"/>
  <c r="F343" i="1"/>
  <c r="I343" i="1" s="1"/>
  <c r="F331" i="1"/>
  <c r="I331" i="1" s="1"/>
  <c r="F319" i="1"/>
  <c r="I319" i="1" s="1"/>
  <c r="F307" i="1"/>
  <c r="I307" i="1" s="1"/>
  <c r="F295" i="1"/>
  <c r="I295" i="1" s="1"/>
  <c r="F283" i="1"/>
  <c r="I283" i="1" s="1"/>
  <c r="F271" i="1"/>
  <c r="I271" i="1" s="1"/>
  <c r="F223" i="1"/>
  <c r="I223" i="1" s="1"/>
  <c r="F199" i="1"/>
  <c r="I199" i="1" s="1"/>
  <c r="F187" i="1"/>
  <c r="I187" i="1" s="1"/>
  <c r="F175" i="1"/>
  <c r="I175" i="1" s="1"/>
  <c r="F163" i="1"/>
  <c r="I163" i="1" s="1"/>
  <c r="F151" i="1"/>
  <c r="I151" i="1" s="1"/>
  <c r="F139" i="1"/>
  <c r="I139" i="1" s="1"/>
  <c r="F127" i="1"/>
  <c r="I127" i="1" s="1"/>
  <c r="F115" i="1"/>
  <c r="I115" i="1" s="1"/>
  <c r="F103" i="1"/>
  <c r="I103" i="1" s="1"/>
  <c r="F91" i="1"/>
  <c r="I91" i="1" s="1"/>
  <c r="F79" i="1"/>
  <c r="I79" i="1" s="1"/>
  <c r="F67" i="1"/>
  <c r="I67" i="1" s="1"/>
  <c r="F55" i="1"/>
  <c r="I55" i="1" s="1"/>
  <c r="F43" i="1"/>
  <c r="I43" i="1" s="1"/>
  <c r="F31" i="1"/>
  <c r="I31" i="1" s="1"/>
  <c r="F19" i="1"/>
  <c r="I19" i="1" s="1"/>
  <c r="F7" i="1"/>
  <c r="I7" i="1" s="1"/>
  <c r="AE308" i="1"/>
  <c r="AE447" i="1"/>
  <c r="AE563" i="1"/>
  <c r="AE224" i="1"/>
  <c r="AE239" i="1"/>
  <c r="AE14" i="1"/>
  <c r="AE454" i="1"/>
  <c r="AE363" i="1"/>
  <c r="AE356" i="1"/>
  <c r="AE163" i="1"/>
  <c r="AE494" i="1"/>
  <c r="AE458" i="1"/>
  <c r="AE533" i="1"/>
  <c r="AE84" i="1"/>
  <c r="AE176" i="1"/>
  <c r="AE74" i="1"/>
  <c r="AE168" i="1"/>
  <c r="AE396" i="1"/>
  <c r="AE507" i="1"/>
  <c r="AE65" i="1"/>
  <c r="AE547" i="1"/>
  <c r="AE411" i="1"/>
  <c r="AE598" i="1"/>
  <c r="AE432" i="1"/>
  <c r="AE4" i="1"/>
  <c r="AE575" i="1"/>
  <c r="AE591" i="1"/>
  <c r="AE50" i="1"/>
  <c r="AE275" i="1"/>
  <c r="AE15" i="1"/>
  <c r="AE306" i="1"/>
  <c r="AE219" i="1"/>
  <c r="AE478" i="1"/>
  <c r="AE161" i="1"/>
  <c r="AE19" i="1"/>
  <c r="AE455" i="1"/>
  <c r="AE153" i="1"/>
  <c r="AE8" i="1"/>
  <c r="AE79" i="1"/>
  <c r="AE629" i="1"/>
  <c r="AE438" i="1"/>
  <c r="AE265" i="1"/>
  <c r="AE549" i="1"/>
  <c r="AE183" i="1"/>
  <c r="AE433" i="1"/>
  <c r="AE332" i="1"/>
  <c r="AE587" i="1"/>
  <c r="AE86" i="1"/>
  <c r="AE170" i="1"/>
  <c r="AE5" i="1"/>
  <c r="AE190" i="1"/>
  <c r="AE207" i="1"/>
  <c r="AE9" i="1"/>
  <c r="AE103" i="1"/>
  <c r="AE361" i="1"/>
  <c r="AE279" i="1"/>
  <c r="AE57" i="1"/>
  <c r="AE486" i="1"/>
  <c r="AE311" i="1"/>
  <c r="AE464" i="1"/>
  <c r="AE570" i="1"/>
  <c r="AE355" i="1"/>
  <c r="AE392" i="1"/>
  <c r="AE259" i="1"/>
  <c r="AE151" i="1"/>
  <c r="AE292" i="1"/>
  <c r="AE320" i="1"/>
  <c r="AE280" i="1"/>
  <c r="AE557" i="1"/>
  <c r="AE3" i="1"/>
  <c r="AE409" i="1"/>
  <c r="AE266" i="1"/>
  <c r="AE471" i="1"/>
  <c r="AE179" i="1"/>
  <c r="AE517" i="1"/>
  <c r="AE77" i="1"/>
  <c r="AE215" i="1"/>
  <c r="AE579" i="1"/>
  <c r="AE395" i="1"/>
  <c r="AE141" i="1"/>
  <c r="AE472" i="1"/>
  <c r="AE319" i="1"/>
  <c r="AE33" i="1"/>
  <c r="AE346" i="1"/>
  <c r="AE144" i="1"/>
  <c r="AE536" i="1"/>
  <c r="AE366" i="1"/>
  <c r="AE96" i="1"/>
  <c r="AE465" i="1"/>
  <c r="AE258" i="1"/>
  <c r="AE391" i="1"/>
  <c r="AE568" i="1"/>
  <c r="AE605" i="1"/>
  <c r="AE589" i="1"/>
  <c r="AE580" i="1"/>
  <c r="AE456" i="1"/>
  <c r="AE147" i="1"/>
  <c r="AE62" i="1"/>
  <c r="AE46" i="1"/>
  <c r="AE528" i="1"/>
  <c r="AE302" i="1"/>
  <c r="AE278" i="1"/>
  <c r="AE554" i="1"/>
  <c r="AE404" i="1"/>
  <c r="AE22" i="1"/>
  <c r="AE569" i="1"/>
  <c r="AE70" i="1"/>
  <c r="AE333" i="1"/>
  <c r="AE136" i="1"/>
  <c r="AE362" i="1"/>
  <c r="AE513" i="1"/>
  <c r="AE483" i="1"/>
  <c r="AE106" i="1"/>
  <c r="AE484" i="1"/>
  <c r="AE312" i="1"/>
  <c r="AE370" i="1"/>
  <c r="AE249" i="1"/>
  <c r="AE534" i="1"/>
  <c r="AE45" i="1"/>
  <c r="AE43" i="1"/>
  <c r="AE375" i="1"/>
  <c r="AE444" i="1"/>
  <c r="AE467" i="1"/>
  <c r="AE95" i="1"/>
  <c r="AE425" i="1"/>
  <c r="AE358" i="1"/>
  <c r="AE166" i="1"/>
  <c r="AE519" i="1"/>
  <c r="AE172" i="1"/>
  <c r="AE236" i="1"/>
  <c r="AE125" i="1"/>
  <c r="AE399" i="1"/>
  <c r="AE543" i="1"/>
  <c r="AE594" i="1"/>
  <c r="AE140" i="1"/>
  <c r="AE271" i="1"/>
  <c r="AE601" i="1"/>
  <c r="AE532" i="1"/>
  <c r="AE334" i="1"/>
  <c r="AE262" i="1"/>
  <c r="AE216" i="1"/>
  <c r="AE632" i="1"/>
  <c r="AE560" i="1"/>
  <c r="AE167" i="1"/>
  <c r="AE500" i="1"/>
  <c r="AE531" i="1"/>
  <c r="AE615" i="1"/>
  <c r="AE420" i="1"/>
  <c r="AE273" i="1"/>
  <c r="AE495" i="1"/>
  <c r="AE155" i="1"/>
  <c r="AE377" i="1"/>
  <c r="AE335" i="1"/>
  <c r="AE573" i="1"/>
  <c r="AE380" i="1"/>
  <c r="AE502" i="1"/>
  <c r="AE421" i="1"/>
  <c r="AE99" i="1"/>
  <c r="AE612" i="1"/>
  <c r="AE544" i="1"/>
  <c r="AE17" i="1"/>
  <c r="AE630" i="1"/>
  <c r="AE117" i="1"/>
  <c r="AE290" i="1"/>
  <c r="AE135" i="1"/>
  <c r="AE341" i="1"/>
  <c r="AE446" i="1"/>
  <c r="AE566" i="1"/>
  <c r="AE499" i="1"/>
  <c r="AE487" i="1"/>
  <c r="AE101" i="1"/>
  <c r="AE614" i="1"/>
  <c r="AE501" i="1"/>
  <c r="AE376" i="1"/>
  <c r="AE330" i="1"/>
  <c r="AE32" i="1"/>
  <c r="AE552" i="1"/>
  <c r="AE251" i="1"/>
  <c r="AE462" i="1"/>
  <c r="AE415" i="1"/>
  <c r="AE493" i="1"/>
  <c r="AE232" i="1"/>
  <c r="AE597" i="1"/>
  <c r="AE260" i="1"/>
  <c r="AE229" i="1"/>
  <c r="AE152" i="1"/>
  <c r="AE204" i="1"/>
  <c r="AE59" i="1"/>
  <c r="AE368" i="1"/>
  <c r="AE300" i="1"/>
  <c r="AE497" i="1"/>
  <c r="AE252" i="1"/>
  <c r="AE317" i="1"/>
  <c r="AE192" i="1"/>
  <c r="AE186" i="1"/>
  <c r="AE360" i="1"/>
  <c r="AE423" i="1"/>
  <c r="AE288" i="1"/>
  <c r="AE185" i="1"/>
  <c r="AE592" i="1"/>
  <c r="AE16" i="1"/>
  <c r="AE196" i="1"/>
  <c r="AE165" i="1"/>
  <c r="AE202" i="1"/>
  <c r="AE571" i="1"/>
  <c r="AE353" i="1"/>
  <c r="AE287" i="1"/>
  <c r="AE430" i="1"/>
  <c r="AE481" i="1"/>
  <c r="AE44" i="1"/>
  <c r="AE110" i="1"/>
  <c r="AE398" i="1"/>
  <c r="AE371" i="1"/>
  <c r="AE261" i="1"/>
  <c r="AE203" i="1"/>
  <c r="AE286" i="1"/>
  <c r="AE556" i="1"/>
  <c r="AE213" i="1"/>
  <c r="AE250" i="1"/>
  <c r="AE365" i="1"/>
  <c r="AE231" i="1"/>
  <c r="AE548" i="1"/>
  <c r="AE374" i="1"/>
  <c r="AE85" i="1"/>
  <c r="AE76" i="1"/>
  <c r="AE60" i="1"/>
  <c r="AE276" i="1"/>
  <c r="AE89" i="1"/>
  <c r="AE506" i="1"/>
  <c r="AE616" i="1"/>
  <c r="AE485" i="1"/>
  <c r="AE293" i="1"/>
  <c r="AE297" i="1"/>
  <c r="AE518" i="1"/>
  <c r="AE270" i="1"/>
  <c r="AE285" i="1"/>
  <c r="AE284" i="1"/>
  <c r="AE235" i="1"/>
  <c r="AE480" i="1"/>
  <c r="AE148" i="1"/>
  <c r="AE323" i="1"/>
  <c r="AE212" i="1"/>
  <c r="AE488" i="1"/>
  <c r="AE413" i="1"/>
  <c r="AE567" i="1"/>
  <c r="AE68" i="1"/>
  <c r="AE313" i="1"/>
  <c r="AE461" i="1"/>
  <c r="AE299" i="1"/>
  <c r="AE403" i="1"/>
  <c r="AE37" i="1"/>
  <c r="AE111" i="1"/>
  <c r="AE545" i="1"/>
  <c r="AE97" i="1"/>
  <c r="AE6" i="1"/>
  <c r="AE51" i="1"/>
  <c r="AE417" i="1"/>
  <c r="AE243" i="1"/>
  <c r="AE349" i="1"/>
  <c r="AE577" i="1"/>
  <c r="AE129" i="1"/>
  <c r="AE626" i="1"/>
  <c r="AE453" i="1"/>
  <c r="AE220" i="1"/>
  <c r="AE326" i="1"/>
  <c r="AE329" i="1"/>
  <c r="AE200" i="1"/>
  <c r="AE469" i="1"/>
  <c r="AE205" i="1"/>
  <c r="AE382" i="1"/>
  <c r="AE408" i="1"/>
  <c r="AE405" i="1"/>
  <c r="AE187" i="1"/>
  <c r="AE64" i="1"/>
  <c r="AE11" i="1"/>
  <c r="AE38" i="1"/>
  <c r="AE550" i="1"/>
  <c r="AE364" i="1"/>
  <c r="AE623" i="1"/>
  <c r="AE578" i="1"/>
  <c r="AE133" i="1"/>
  <c r="AE181" i="1"/>
  <c r="AE428" i="1"/>
  <c r="AE82" i="1"/>
  <c r="AE263" i="1"/>
  <c r="AE572" i="1"/>
  <c r="AE581" i="1"/>
  <c r="AE520" i="1"/>
  <c r="AE93" i="1"/>
  <c r="AE451" i="1"/>
  <c r="AE214" i="1"/>
  <c r="AE496" i="1"/>
  <c r="AE450" i="1"/>
  <c r="AE105" i="1"/>
  <c r="AE75" i="1"/>
  <c r="AE509" i="1"/>
  <c r="AE388" i="1"/>
  <c r="AE269" i="1"/>
  <c r="AE295" i="1"/>
  <c r="AE553" i="1"/>
  <c r="AE159" i="1"/>
  <c r="AE127" i="1"/>
  <c r="AE492" i="1"/>
  <c r="AE245" i="1"/>
  <c r="AE143" i="1"/>
  <c r="AE491" i="1"/>
  <c r="AE378" i="1"/>
  <c r="AE347" i="1"/>
  <c r="AE201" i="1"/>
  <c r="AE211" i="1"/>
  <c r="AE381" i="1"/>
  <c r="AE21" i="1"/>
  <c r="AE244" i="1"/>
  <c r="AE157" i="1"/>
  <c r="AE28" i="1"/>
  <c r="AE397" i="1"/>
  <c r="AE387" i="1"/>
  <c r="AE180" i="1"/>
  <c r="AE189" i="1"/>
  <c r="AE555" i="1"/>
  <c r="AE177" i="1"/>
  <c r="AE42" i="1"/>
  <c r="AE459" i="1"/>
  <c r="AE586" i="1"/>
  <c r="AE56" i="1"/>
  <c r="AE122" i="1"/>
  <c r="AE588" i="1"/>
  <c r="AE184" i="1"/>
  <c r="AE624" i="1"/>
  <c r="AE119" i="1"/>
  <c r="AE150" i="1"/>
  <c r="AE424" i="1"/>
  <c r="AE257" i="1"/>
  <c r="AE389" i="1"/>
  <c r="AE233" i="1"/>
  <c r="AE524" i="1"/>
  <c r="AE55" i="1"/>
  <c r="AE39" i="1"/>
  <c r="AE160" i="1"/>
  <c r="AE340" i="1"/>
  <c r="AE448" i="1"/>
  <c r="AE30" i="1"/>
  <c r="AE622" i="1"/>
  <c r="AE442" i="1"/>
  <c r="AE301" i="1"/>
  <c r="AE431" i="1"/>
  <c r="AE538" i="1"/>
  <c r="AE91" i="1"/>
  <c r="AE296" i="1"/>
  <c r="AE596" i="1"/>
  <c r="AE338" i="1"/>
  <c r="AE226" i="1"/>
  <c r="AE457" i="1"/>
  <c r="AE628" i="1"/>
  <c r="AE489" i="1"/>
  <c r="AE357" i="1"/>
  <c r="AE482" i="1"/>
  <c r="AE78" i="1"/>
  <c r="AE123" i="1"/>
  <c r="AE410" i="1"/>
  <c r="AE94" i="1"/>
  <c r="AE603" i="1"/>
  <c r="AE422" i="1"/>
  <c r="AE407" i="1"/>
  <c r="AE342" i="1"/>
  <c r="AE618" i="1"/>
  <c r="AE134" i="1"/>
  <c r="AE337" i="1"/>
  <c r="AE237" i="1"/>
  <c r="AE139" i="1"/>
  <c r="AE26" i="1"/>
  <c r="AE120" i="1"/>
  <c r="AE314" i="1"/>
  <c r="AE546" i="1"/>
  <c r="AE631" i="1"/>
  <c r="AE384" i="1"/>
  <c r="AE585" i="1"/>
  <c r="AE393" i="1"/>
  <c r="AE223" i="1"/>
  <c r="AE206" i="1"/>
  <c r="AE88" i="1"/>
  <c r="AE620" i="1"/>
  <c r="AE325" i="1"/>
  <c r="AE540" i="1"/>
  <c r="AE307" i="1"/>
  <c r="AE247" i="1"/>
  <c r="AE336" i="1"/>
  <c r="AE490" i="1"/>
  <c r="AE256" i="1"/>
  <c r="AE108" i="1"/>
  <c r="AE49" i="1"/>
  <c r="AE611" i="1"/>
  <c r="AE142" i="1"/>
  <c r="AE221" i="1"/>
  <c r="AE449" i="1"/>
  <c r="AE47" i="1"/>
  <c r="AE383" i="1"/>
  <c r="AE348" i="1"/>
  <c r="AE169" i="1"/>
  <c r="AE418" i="1"/>
  <c r="AE66" i="1"/>
  <c r="AE107" i="1"/>
  <c r="AE80" i="1"/>
  <c r="AE131" i="1"/>
  <c r="AE584" i="1"/>
  <c r="AE264" i="1"/>
  <c r="AE128" i="1"/>
  <c r="AE149" i="1"/>
  <c r="AE352" i="1"/>
  <c r="AE83" i="1"/>
  <c r="AE29" i="1"/>
  <c r="AE115" i="1"/>
  <c r="AE522" i="1"/>
  <c r="AE238" i="1"/>
  <c r="AE48" i="1"/>
  <c r="AE558" i="1"/>
  <c r="AE175" i="1"/>
  <c r="AE67" i="1"/>
  <c r="AE158" i="1"/>
  <c r="AE198" i="1"/>
  <c r="AE369" i="1"/>
  <c r="AE194" i="1"/>
  <c r="AE69" i="1"/>
  <c r="AE255" i="1"/>
  <c r="AE435" i="1"/>
  <c r="AE514" i="1"/>
  <c r="AE71" i="1"/>
  <c r="AE359" i="1"/>
  <c r="AE109" i="1"/>
  <c r="AE414" i="1"/>
  <c r="AE426" i="1"/>
  <c r="AE171" i="1"/>
  <c r="AE608" i="1"/>
  <c r="AE31" i="1"/>
  <c r="AE339" i="1"/>
  <c r="AE427" i="1"/>
  <c r="AE54" i="1"/>
  <c r="AE294" i="1"/>
  <c r="AE602" i="1"/>
  <c r="AE174" i="1"/>
  <c r="AE156" i="1"/>
  <c r="AE401" i="1"/>
  <c r="AE476" i="1"/>
  <c r="AE400" i="1"/>
  <c r="AE537" i="1"/>
  <c r="AE445" i="1"/>
  <c r="AE305" i="1"/>
  <c r="AE81" i="1"/>
  <c r="AE195" i="1"/>
  <c r="AE515" i="1"/>
  <c r="AE576" i="1"/>
  <c r="AE562" i="1"/>
  <c r="AE104" i="1"/>
  <c r="AE130" i="1"/>
  <c r="AE208" i="1"/>
  <c r="AE277" i="1"/>
  <c r="AE272" i="1"/>
  <c r="AE310" i="1"/>
  <c r="AE390" i="1"/>
  <c r="AE316" i="1"/>
  <c r="AE633" i="1"/>
  <c r="AE188" i="1"/>
  <c r="AE516" i="1"/>
  <c r="AE309" i="1"/>
  <c r="AE164" i="1"/>
  <c r="AE542" i="1"/>
  <c r="AE367" i="1"/>
  <c r="AE419" i="1"/>
  <c r="AE73" i="1"/>
  <c r="AE503" i="1"/>
  <c r="AE20" i="1"/>
  <c r="AE385" i="1"/>
  <c r="AE582" i="1"/>
  <c r="AE434" i="1"/>
  <c r="AE621" i="1"/>
  <c r="AE551" i="1"/>
  <c r="AE504" i="1"/>
  <c r="AE146" i="1"/>
  <c r="AE58" i="1"/>
  <c r="AE479" i="1"/>
  <c r="AE452" i="1"/>
  <c r="AE23" i="1"/>
  <c r="AE416" i="1"/>
  <c r="AE617" i="1"/>
  <c r="AE222" i="1"/>
  <c r="AE344" i="1"/>
  <c r="AE138" i="1"/>
  <c r="AE102" i="1"/>
  <c r="AE527" i="1"/>
  <c r="AE331" i="1"/>
  <c r="AE112" i="1"/>
  <c r="AE535" i="1"/>
  <c r="AE429" i="1"/>
  <c r="AE53" i="1"/>
  <c r="AE2" i="1"/>
  <c r="AE234" i="1"/>
  <c r="AE475" i="1"/>
  <c r="AE209" i="1"/>
  <c r="AE350" i="1"/>
  <c r="AE473" i="1"/>
  <c r="AE402" i="1"/>
  <c r="AE113" i="1"/>
  <c r="AE595" i="1"/>
  <c r="AE274" i="1"/>
  <c r="AE505" i="1"/>
  <c r="AE191" i="1"/>
  <c r="AE508" i="1"/>
  <c r="AE372" i="1"/>
  <c r="AE267" i="1"/>
  <c r="AE90" i="1"/>
  <c r="AE604" i="1"/>
  <c r="AE12" i="1"/>
  <c r="AE240" i="1"/>
  <c r="AE510" i="1"/>
  <c r="AE436" i="1"/>
  <c r="AE439" i="1"/>
  <c r="AE379" i="1"/>
  <c r="AE619" i="1"/>
  <c r="AE474" i="1"/>
  <c r="AE345" i="1"/>
  <c r="AE477" i="1"/>
  <c r="AE92" i="1"/>
  <c r="AE218" i="1"/>
  <c r="AE253" i="1"/>
  <c r="AE437" i="1"/>
  <c r="AE564" i="1"/>
  <c r="AE627" i="1"/>
  <c r="AE298" i="1"/>
  <c r="AE521" i="1"/>
  <c r="AE466" i="1"/>
  <c r="AE72" i="1"/>
  <c r="AE303" i="1"/>
  <c r="AE173" i="1"/>
  <c r="AE609" i="1"/>
  <c r="AE327" i="1"/>
  <c r="AE268" i="1"/>
  <c r="AE13" i="1"/>
  <c r="AE34" i="1"/>
  <c r="AE406" i="1"/>
  <c r="AE523" i="1"/>
  <c r="AE248" i="1"/>
  <c r="AE217" i="1"/>
  <c r="AE282" i="1"/>
  <c r="AE230" i="1"/>
  <c r="AE241" i="1"/>
  <c r="AE354" i="1"/>
  <c r="AE246" i="1"/>
  <c r="AE197" i="1"/>
  <c r="AE529" i="1"/>
  <c r="AE498" i="1"/>
  <c r="AE116" i="1"/>
  <c r="AE25" i="1"/>
  <c r="AE145" i="1"/>
  <c r="AE441" i="1"/>
  <c r="AE343" i="1"/>
  <c r="AE511" i="1"/>
  <c r="AE35" i="1"/>
  <c r="AE121" i="1"/>
  <c r="AE178" i="1"/>
  <c r="AE625" i="1"/>
  <c r="AE132" i="1"/>
  <c r="AE210" i="1"/>
  <c r="AE24" i="1"/>
  <c r="AE565" i="1"/>
  <c r="AE559" i="1"/>
  <c r="AE468" i="1"/>
  <c r="AE613" i="1"/>
  <c r="AE539" i="1"/>
  <c r="AE118" i="1"/>
  <c r="AE561" i="1"/>
  <c r="AE137" i="1"/>
  <c r="AE36" i="1"/>
  <c r="AE40" i="1"/>
  <c r="AE394" i="1"/>
  <c r="AE254" i="1"/>
  <c r="AE182" i="1"/>
  <c r="AE124" i="1"/>
  <c r="AE10" i="1"/>
  <c r="AE373" i="1"/>
  <c r="AE541" i="1"/>
  <c r="AE154" i="1"/>
  <c r="AE114" i="1"/>
  <c r="AE18" i="1"/>
  <c r="AE7" i="1"/>
  <c r="AE351" i="1"/>
  <c r="AE225" i="1"/>
  <c r="AE27" i="1"/>
  <c r="AE600" i="1"/>
  <c r="AE242" i="1"/>
  <c r="AE289" i="1"/>
  <c r="AE162" i="1"/>
  <c r="AE599" i="1"/>
  <c r="AE61" i="1"/>
  <c r="AE126" i="1"/>
  <c r="AE304" i="1"/>
  <c r="AE525" i="1"/>
  <c r="AE440" i="1"/>
  <c r="AE583" i="1"/>
  <c r="AE412" i="1"/>
  <c r="AE593" i="1"/>
  <c r="AE574" i="1"/>
  <c r="AE283" i="1"/>
  <c r="AE100" i="1"/>
  <c r="AE607" i="1"/>
  <c r="AE470" i="1"/>
  <c r="AE606" i="1"/>
  <c r="AE193" i="1"/>
  <c r="AE41" i="1"/>
  <c r="AE463" i="1"/>
  <c r="AE227" i="1"/>
  <c r="AE443" i="1"/>
  <c r="AE98" i="1"/>
  <c r="AE52" i="1"/>
  <c r="AE228" i="1"/>
  <c r="AE199" i="1"/>
  <c r="AE324" i="1"/>
  <c r="AE526" i="1"/>
  <c r="AE291" i="1"/>
  <c r="AE386" i="1"/>
  <c r="AE610" i="1"/>
  <c r="AE590" i="1"/>
  <c r="AE318" i="1"/>
  <c r="AE322" i="1"/>
  <c r="AE530" i="1"/>
  <c r="AE328" i="1"/>
  <c r="AE87" i="1"/>
  <c r="AE512" i="1"/>
  <c r="AE321" i="1"/>
  <c r="AE63" i="1"/>
  <c r="AE315" i="1"/>
  <c r="AE460" i="1"/>
  <c r="AB281" i="1"/>
  <c r="AB417" i="1"/>
  <c r="AB30" i="1"/>
  <c r="AB514" i="1"/>
  <c r="AB211" i="1"/>
  <c r="AB2" i="1"/>
  <c r="AB460" i="1"/>
  <c r="AB7" i="1"/>
  <c r="AB308" i="1"/>
  <c r="AB556" i="1"/>
  <c r="AB248" i="1"/>
  <c r="AB466" i="1"/>
  <c r="AB499" i="1"/>
  <c r="AB243" i="1"/>
  <c r="AB622" i="1"/>
  <c r="AB71" i="1"/>
  <c r="AB449" i="1"/>
  <c r="AB624" i="1"/>
  <c r="AB594" i="1"/>
  <c r="AB557" i="1"/>
  <c r="AB361" i="1"/>
  <c r="AB86" i="1"/>
  <c r="AB569" i="1"/>
  <c r="AB315" i="1"/>
  <c r="AB18" i="1"/>
  <c r="AB349" i="1"/>
  <c r="AB442" i="1"/>
  <c r="AB359" i="1"/>
  <c r="AB58" i="1"/>
  <c r="AB522" i="1"/>
  <c r="AB461" i="1"/>
  <c r="AB25" i="1"/>
  <c r="AB599" i="1"/>
  <c r="AB300" i="1"/>
  <c r="AB380" i="1"/>
  <c r="AB46" i="1"/>
  <c r="AB275" i="1"/>
  <c r="AB577" i="1"/>
  <c r="AB301" i="1"/>
  <c r="AB109" i="1"/>
  <c r="AB381" i="1"/>
  <c r="AB234" i="1"/>
  <c r="AB420" i="1"/>
  <c r="AB560" i="1"/>
  <c r="AB319" i="1"/>
  <c r="AB63" i="1"/>
  <c r="AB114" i="1"/>
  <c r="AB313" i="1"/>
  <c r="AB412" i="1"/>
  <c r="AB129" i="1"/>
  <c r="AB431" i="1"/>
  <c r="AB414" i="1"/>
  <c r="AB47" i="1"/>
  <c r="AB475" i="1"/>
  <c r="AB165" i="1"/>
  <c r="AB521" i="1"/>
  <c r="AB487" i="1"/>
  <c r="AB454" i="1"/>
  <c r="AB566" i="1"/>
  <c r="AB543" i="1"/>
  <c r="AB280" i="1"/>
  <c r="AB626" i="1"/>
  <c r="AB538" i="1"/>
  <c r="AB426" i="1"/>
  <c r="AB21" i="1"/>
  <c r="AB209" i="1"/>
  <c r="AB43" i="1"/>
  <c r="AB321" i="1"/>
  <c r="AB154" i="1"/>
  <c r="AB68" i="1"/>
  <c r="AB286" i="1"/>
  <c r="AB523" i="1"/>
  <c r="AB298" i="1"/>
  <c r="AB453" i="1"/>
  <c r="AB91" i="1"/>
  <c r="AB171" i="1"/>
  <c r="AB383" i="1"/>
  <c r="AB350" i="1"/>
  <c r="AB106" i="1"/>
  <c r="AB438" i="1"/>
  <c r="AB19" i="1"/>
  <c r="AB155" i="1"/>
  <c r="AB547" i="1"/>
  <c r="AB536" i="1"/>
  <c r="AB512" i="1"/>
  <c r="AB220" i="1"/>
  <c r="AB296" i="1"/>
  <c r="AB608" i="1"/>
  <c r="AB244" i="1"/>
  <c r="AB119" i="1"/>
  <c r="AB541" i="1"/>
  <c r="AB567" i="1"/>
  <c r="AB116" i="1"/>
  <c r="AB406" i="1"/>
  <c r="AB627" i="1"/>
  <c r="AB51" i="1"/>
  <c r="AB601" i="1"/>
  <c r="AB326" i="1"/>
  <c r="AB596" i="1"/>
  <c r="AB31" i="1"/>
  <c r="AB479" i="1"/>
  <c r="AB238" i="1"/>
  <c r="AB517" i="1"/>
  <c r="AB446" i="1"/>
  <c r="AB399" i="1"/>
  <c r="AB320" i="1"/>
  <c r="AB87" i="1"/>
  <c r="AB373" i="1"/>
  <c r="AB413" i="1"/>
  <c r="AB329" i="1"/>
  <c r="AB338" i="1"/>
  <c r="AB339" i="1"/>
  <c r="AB348" i="1"/>
  <c r="AB473" i="1"/>
  <c r="AB203" i="1"/>
  <c r="AB34" i="1"/>
  <c r="AB564" i="1"/>
  <c r="AB462" i="1"/>
  <c r="AB103" i="1"/>
  <c r="AB587" i="1"/>
  <c r="AB573" i="1"/>
  <c r="AB200" i="1"/>
  <c r="AB226" i="1"/>
  <c r="AB427" i="1"/>
  <c r="AB157" i="1"/>
  <c r="AB150" i="1"/>
  <c r="AB335" i="1"/>
  <c r="AB605" i="1"/>
  <c r="AB328" i="1"/>
  <c r="AB10" i="1"/>
  <c r="AB488" i="1"/>
  <c r="AB498" i="1"/>
  <c r="AB13" i="1"/>
  <c r="AB469" i="1"/>
  <c r="AB457" i="1"/>
  <c r="AB54" i="1"/>
  <c r="AB452" i="1"/>
  <c r="AB48" i="1"/>
  <c r="AB437" i="1"/>
  <c r="AB258" i="1"/>
  <c r="AB74" i="1"/>
  <c r="AB458" i="1"/>
  <c r="AB140" i="1"/>
  <c r="AB341" i="1"/>
  <c r="AB125" i="1"/>
  <c r="AB205" i="1"/>
  <c r="AB628" i="1"/>
  <c r="AB294" i="1"/>
  <c r="AB169" i="1"/>
  <c r="AB402" i="1"/>
  <c r="AB530" i="1"/>
  <c r="AB124" i="1"/>
  <c r="AB212" i="1"/>
  <c r="AB261" i="1"/>
  <c r="AB196" i="1"/>
  <c r="AB368" i="1"/>
  <c r="AB251" i="1"/>
  <c r="AB382" i="1"/>
  <c r="AB489" i="1"/>
  <c r="AB602" i="1"/>
  <c r="AB23" i="1"/>
  <c r="AB424" i="1"/>
  <c r="AB292" i="1"/>
  <c r="AB45" i="1"/>
  <c r="AB332" i="1"/>
  <c r="AB22" i="1"/>
  <c r="AB62" i="1"/>
  <c r="AB322" i="1"/>
  <c r="AB182" i="1"/>
  <c r="AB408" i="1"/>
  <c r="AB357" i="1"/>
  <c r="AB174" i="1"/>
  <c r="AB28" i="1"/>
  <c r="AB558" i="1"/>
  <c r="AB323" i="1"/>
  <c r="AB529" i="1"/>
  <c r="AB162" i="1"/>
  <c r="AB253" i="1"/>
  <c r="AB50" i="1"/>
  <c r="AB615" i="1"/>
  <c r="AB632" i="1"/>
  <c r="AB405" i="1"/>
  <c r="AB482" i="1"/>
  <c r="AB156" i="1"/>
  <c r="AB416" i="1"/>
  <c r="AB113" i="1"/>
  <c r="AB472" i="1"/>
  <c r="AB14" i="1"/>
  <c r="AB135" i="1"/>
  <c r="AB318" i="1"/>
  <c r="AB254" i="1"/>
  <c r="AB148" i="1"/>
  <c r="AB371" i="1"/>
  <c r="AB187" i="1"/>
  <c r="AB78" i="1"/>
  <c r="AB401" i="1"/>
  <c r="AB418" i="1"/>
  <c r="AB257" i="1"/>
  <c r="AB16" i="1"/>
  <c r="AB59" i="1"/>
  <c r="AB6" i="1"/>
  <c r="AB236" i="1"/>
  <c r="AB151" i="1"/>
  <c r="AB9" i="1"/>
  <c r="AB483" i="1"/>
  <c r="AB64" i="1"/>
  <c r="AB123" i="1"/>
  <c r="AB476" i="1"/>
  <c r="AB397" i="1"/>
  <c r="AB595" i="1"/>
  <c r="AB404" i="1"/>
  <c r="AB590" i="1"/>
  <c r="AB394" i="1"/>
  <c r="AB480" i="1"/>
  <c r="AB197" i="1"/>
  <c r="AB268" i="1"/>
  <c r="AB218" i="1"/>
  <c r="AB11" i="1"/>
  <c r="AB410" i="1"/>
  <c r="AB400" i="1"/>
  <c r="AB617" i="1"/>
  <c r="AB175" i="1"/>
  <c r="AB161" i="1"/>
  <c r="AB591" i="1"/>
  <c r="AB65" i="1"/>
  <c r="AB216" i="1"/>
  <c r="AB141" i="1"/>
  <c r="AB179" i="1"/>
  <c r="AB610" i="1"/>
  <c r="AB38" i="1"/>
  <c r="AB94" i="1"/>
  <c r="AB537" i="1"/>
  <c r="AB387" i="1"/>
  <c r="AB389" i="1"/>
  <c r="AB40" i="1"/>
  <c r="AB235" i="1"/>
  <c r="AB398" i="1"/>
  <c r="AB592" i="1"/>
  <c r="AB204" i="1"/>
  <c r="AB290" i="1"/>
  <c r="AB172" i="1"/>
  <c r="AB550" i="1"/>
  <c r="AB603" i="1"/>
  <c r="AB445" i="1"/>
  <c r="AB66" i="1"/>
  <c r="AB274" i="1"/>
  <c r="AB259" i="1"/>
  <c r="AB534" i="1"/>
  <c r="AB433" i="1"/>
  <c r="AB629" i="1"/>
  <c r="AB386" i="1"/>
  <c r="AB36" i="1"/>
  <c r="AB284" i="1"/>
  <c r="AB364" i="1"/>
  <c r="AB422" i="1"/>
  <c r="AB305" i="1"/>
  <c r="AB180" i="1"/>
  <c r="AB67" i="1"/>
  <c r="AB583" i="1"/>
  <c r="AB185" i="1"/>
  <c r="AB92" i="1"/>
  <c r="AB97" i="1"/>
  <c r="AB147" i="1"/>
  <c r="AB575" i="1"/>
  <c r="AB531" i="1"/>
  <c r="AB623" i="1"/>
  <c r="AB407" i="1"/>
  <c r="AB81" i="1"/>
  <c r="AB222" i="1"/>
  <c r="AB233" i="1"/>
  <c r="AB144" i="1"/>
  <c r="AB494" i="1"/>
  <c r="AB291" i="1"/>
  <c r="AB137" i="1"/>
  <c r="AB285" i="1"/>
  <c r="AB246" i="1"/>
  <c r="AB289" i="1"/>
  <c r="AB578" i="1"/>
  <c r="AB342" i="1"/>
  <c r="AB195" i="1"/>
  <c r="AB107" i="1"/>
  <c r="AB505" i="1"/>
  <c r="AB152" i="1"/>
  <c r="AB552" i="1"/>
  <c r="AB239" i="1"/>
  <c r="AB117" i="1"/>
  <c r="AB519" i="1"/>
  <c r="AB392" i="1"/>
  <c r="AB249" i="1"/>
  <c r="AB133" i="1"/>
  <c r="AB618" i="1"/>
  <c r="AB515" i="1"/>
  <c r="AB189" i="1"/>
  <c r="AB158" i="1"/>
  <c r="AB526" i="1"/>
  <c r="AB561" i="1"/>
  <c r="AB270" i="1"/>
  <c r="AB110" i="1"/>
  <c r="AB288" i="1"/>
  <c r="AB477" i="1"/>
  <c r="AB545" i="1"/>
  <c r="AB181" i="1"/>
  <c r="AB134" i="1"/>
  <c r="AB576" i="1"/>
  <c r="AB344" i="1"/>
  <c r="AB524" i="1"/>
  <c r="AB513" i="1"/>
  <c r="AB554" i="1"/>
  <c r="AB478" i="1"/>
  <c r="AB4" i="1"/>
  <c r="AB465" i="1"/>
  <c r="AB324" i="1"/>
  <c r="AB118" i="1"/>
  <c r="AB428" i="1"/>
  <c r="AB337" i="1"/>
  <c r="AB562" i="1"/>
  <c r="AB80" i="1"/>
  <c r="AB198" i="1"/>
  <c r="AB518" i="1"/>
  <c r="AB44" i="1"/>
  <c r="AB327" i="1"/>
  <c r="AB229" i="1"/>
  <c r="AB32" i="1"/>
  <c r="AB262" i="1"/>
  <c r="AB395" i="1"/>
  <c r="AB82" i="1"/>
  <c r="AB237" i="1"/>
  <c r="AB104" i="1"/>
  <c r="AB555" i="1"/>
  <c r="AB191" i="1"/>
  <c r="AB471" i="1"/>
  <c r="AB630" i="1"/>
  <c r="AB166" i="1"/>
  <c r="AB199" i="1"/>
  <c r="AB539" i="1"/>
  <c r="AB297" i="1"/>
  <c r="AB354" i="1"/>
  <c r="AB263" i="1"/>
  <c r="AB139" i="1"/>
  <c r="AB130" i="1"/>
  <c r="AB138" i="1"/>
  <c r="AB55" i="1"/>
  <c r="AB423" i="1"/>
  <c r="AB260" i="1"/>
  <c r="AB355" i="1"/>
  <c r="AB207" i="1"/>
  <c r="AB362" i="1"/>
  <c r="AB79" i="1"/>
  <c r="AB219" i="1"/>
  <c r="AB572" i="1"/>
  <c r="AB26" i="1"/>
  <c r="AB208" i="1"/>
  <c r="AB131" i="1"/>
  <c r="AB369" i="1"/>
  <c r="AB432" i="1"/>
  <c r="AB228" i="1"/>
  <c r="AB613" i="1"/>
  <c r="AB293" i="1"/>
  <c r="AB440" i="1"/>
  <c r="AB242" i="1"/>
  <c r="AB345" i="1"/>
  <c r="AB581" i="1"/>
  <c r="AB120" i="1"/>
  <c r="AB277" i="1"/>
  <c r="AB102" i="1"/>
  <c r="AB508" i="1"/>
  <c r="AB330" i="1"/>
  <c r="AB507" i="1"/>
  <c r="AB176" i="1"/>
  <c r="AB579" i="1"/>
  <c r="AB224" i="1"/>
  <c r="AB17" i="1"/>
  <c r="AB52" i="1"/>
  <c r="AB520" i="1"/>
  <c r="AB314" i="1"/>
  <c r="AB272" i="1"/>
  <c r="AB584" i="1"/>
  <c r="AB39" i="1"/>
  <c r="AB468" i="1"/>
  <c r="AB485" i="1"/>
  <c r="AB481" i="1"/>
  <c r="AB609" i="1"/>
  <c r="AB597" i="1"/>
  <c r="AB111" i="1"/>
  <c r="AB358" i="1"/>
  <c r="AB93" i="1"/>
  <c r="AB546" i="1"/>
  <c r="AB310" i="1"/>
  <c r="AB177" i="1"/>
  <c r="AB194" i="1"/>
  <c r="AB570" i="1"/>
  <c r="AB370" i="1"/>
  <c r="AB183" i="1"/>
  <c r="AB278" i="1"/>
  <c r="AB98" i="1"/>
  <c r="AB559" i="1"/>
  <c r="AB616" i="1"/>
  <c r="AB451" i="1"/>
  <c r="AB631" i="1"/>
  <c r="AB390" i="1"/>
  <c r="AB527" i="1"/>
  <c r="AB372" i="1"/>
  <c r="AB430" i="1"/>
  <c r="AB360" i="1"/>
  <c r="AB474" i="1"/>
  <c r="AB37" i="1"/>
  <c r="AB456" i="1"/>
  <c r="AB495" i="1"/>
  <c r="AB500" i="1"/>
  <c r="AB214" i="1"/>
  <c r="AB384" i="1"/>
  <c r="AB316" i="1"/>
  <c r="AB42" i="1"/>
  <c r="AB160" i="1"/>
  <c r="AB334" i="1"/>
  <c r="AB163" i="1"/>
  <c r="AB443" i="1"/>
  <c r="AB565" i="1"/>
  <c r="AB506" i="1"/>
  <c r="AB241" i="1"/>
  <c r="AB186" i="1"/>
  <c r="AB496" i="1"/>
  <c r="AB585" i="1"/>
  <c r="AB633" i="1"/>
  <c r="AB264" i="1"/>
  <c r="AB267" i="1"/>
  <c r="AB619" i="1"/>
  <c r="AB376" i="1"/>
  <c r="AB266" i="1"/>
  <c r="AB544" i="1"/>
  <c r="AB425" i="1"/>
  <c r="AB464" i="1"/>
  <c r="AB190" i="1"/>
  <c r="AB450" i="1"/>
  <c r="AB393" i="1"/>
  <c r="AB188" i="1"/>
  <c r="AB459" i="1"/>
  <c r="AB69" i="1"/>
  <c r="AB227" i="1"/>
  <c r="AB24" i="1"/>
  <c r="AB89" i="1"/>
  <c r="AB287" i="1"/>
  <c r="AB173" i="1"/>
  <c r="AB379" i="1"/>
  <c r="AB403" i="1"/>
  <c r="AB105" i="1"/>
  <c r="AB223" i="1"/>
  <c r="AB516" i="1"/>
  <c r="AB331" i="1"/>
  <c r="AB340" i="1"/>
  <c r="AB136" i="1"/>
  <c r="AB8" i="1"/>
  <c r="AB306" i="1"/>
  <c r="AB568" i="1"/>
  <c r="AB96" i="1"/>
  <c r="AB463" i="1"/>
  <c r="AB210" i="1"/>
  <c r="AB75" i="1"/>
  <c r="AB206" i="1"/>
  <c r="AB309" i="1"/>
  <c r="AB128" i="1"/>
  <c r="AB90" i="1"/>
  <c r="AB276" i="1"/>
  <c r="AB525" i="1"/>
  <c r="AB600" i="1"/>
  <c r="AB439" i="1"/>
  <c r="AB346" i="1"/>
  <c r="AB215" i="1"/>
  <c r="AB563" i="1"/>
  <c r="AB509" i="1"/>
  <c r="AB88" i="1"/>
  <c r="AB164" i="1"/>
  <c r="AB586" i="1"/>
  <c r="AB255" i="1"/>
  <c r="AB612" i="1"/>
  <c r="AB95" i="1"/>
  <c r="AB311" i="1"/>
  <c r="AB41" i="1"/>
  <c r="AB132" i="1"/>
  <c r="AB60" i="1"/>
  <c r="AB230" i="1"/>
  <c r="AB388" i="1"/>
  <c r="AB620" i="1"/>
  <c r="AB542" i="1"/>
  <c r="AB149" i="1"/>
  <c r="AB448" i="1"/>
  <c r="AB192" i="1"/>
  <c r="AB436" i="1"/>
  <c r="AB312" i="1"/>
  <c r="AB549" i="1"/>
  <c r="AB302" i="1"/>
  <c r="AB377" i="1"/>
  <c r="AB598" i="1"/>
  <c r="AB269" i="1"/>
  <c r="AB325" i="1"/>
  <c r="AB367" i="1"/>
  <c r="AB112" i="1"/>
  <c r="AB396" i="1"/>
  <c r="AB193" i="1"/>
  <c r="AB625" i="1"/>
  <c r="AB76" i="1"/>
  <c r="AB304" i="1"/>
  <c r="AB27" i="1"/>
  <c r="AB510" i="1"/>
  <c r="AB501" i="1"/>
  <c r="AB295" i="1"/>
  <c r="AB540" i="1"/>
  <c r="AB419" i="1"/>
  <c r="AB56" i="1"/>
  <c r="AB435" i="1"/>
  <c r="AB84" i="1"/>
  <c r="AB271" i="1"/>
  <c r="AB409" i="1"/>
  <c r="AB99" i="1"/>
  <c r="AB467" i="1"/>
  <c r="AB606" i="1"/>
  <c r="AB178" i="1"/>
  <c r="AB553" i="1"/>
  <c r="AB307" i="1"/>
  <c r="AB73" i="1"/>
  <c r="AB352" i="1"/>
  <c r="AB85" i="1"/>
  <c r="AB353" i="1"/>
  <c r="AB303" i="1"/>
  <c r="AB240" i="1"/>
  <c r="AB299" i="1"/>
  <c r="AB486" i="1"/>
  <c r="AB5" i="1"/>
  <c r="AB333" i="1"/>
  <c r="AB159" i="1"/>
  <c r="AB247" i="1"/>
  <c r="AB503" i="1"/>
  <c r="AB535" i="1"/>
  <c r="AB153" i="1"/>
  <c r="AB580" i="1"/>
  <c r="AB470" i="1"/>
  <c r="AB121" i="1"/>
  <c r="AB374" i="1"/>
  <c r="AB126" i="1"/>
  <c r="AB225" i="1"/>
  <c r="AB12" i="1"/>
  <c r="AB127" i="1"/>
  <c r="AB336" i="1"/>
  <c r="AB20" i="1"/>
  <c r="AB122" i="1"/>
  <c r="AB614" i="1"/>
  <c r="AB273" i="1"/>
  <c r="AB167" i="1"/>
  <c r="AB33" i="1"/>
  <c r="AB356" i="1"/>
  <c r="AB447" i="1"/>
  <c r="AB607" i="1"/>
  <c r="AB35" i="1"/>
  <c r="AB492" i="1"/>
  <c r="AB490" i="1"/>
  <c r="AB385" i="1"/>
  <c r="AB83" i="1"/>
  <c r="AB548" i="1"/>
  <c r="AB282" i="1"/>
  <c r="AB317" i="1"/>
  <c r="AB232" i="1"/>
  <c r="AB421" i="1"/>
  <c r="AB444" i="1"/>
  <c r="AB57" i="1"/>
  <c r="AB484" i="1"/>
  <c r="AB245" i="1"/>
  <c r="AB256" i="1"/>
  <c r="AB582" i="1"/>
  <c r="AB429" i="1"/>
  <c r="AB265" i="1"/>
  <c r="AB528" i="1"/>
  <c r="AB100" i="1"/>
  <c r="AB511" i="1"/>
  <c r="AB231" i="1"/>
  <c r="AB217" i="1"/>
  <c r="AB72" i="1"/>
  <c r="AB604" i="1"/>
  <c r="AB143" i="1"/>
  <c r="AB108" i="1"/>
  <c r="AB434" i="1"/>
  <c r="AB588" i="1"/>
  <c r="AB101" i="1"/>
  <c r="AB15" i="1"/>
  <c r="AB391" i="1"/>
  <c r="AB366" i="1"/>
  <c r="AB532" i="1"/>
  <c r="AB77" i="1"/>
  <c r="AB283" i="1"/>
  <c r="AB343" i="1"/>
  <c r="AB491" i="1"/>
  <c r="AB49" i="1"/>
  <c r="AB621" i="1"/>
  <c r="AB29" i="1"/>
  <c r="AB365" i="1"/>
  <c r="AB571" i="1"/>
  <c r="AB351" i="1"/>
  <c r="AB493" i="1"/>
  <c r="AB3" i="1"/>
  <c r="AB502" i="1"/>
  <c r="AB375" i="1"/>
  <c r="AB279" i="1"/>
  <c r="AB378" i="1"/>
  <c r="AB611" i="1"/>
  <c r="AB551" i="1"/>
  <c r="AB53" i="1"/>
  <c r="AB170" i="1"/>
  <c r="AB70" i="1"/>
  <c r="AB574" i="1"/>
  <c r="AB441" i="1"/>
  <c r="AB250" i="1"/>
  <c r="AB61" i="1"/>
  <c r="AB252" i="1"/>
  <c r="AB415" i="1"/>
  <c r="AB347" i="1"/>
  <c r="AB142" i="1"/>
  <c r="AB504" i="1"/>
  <c r="AB184" i="1"/>
  <c r="AB455" i="1"/>
  <c r="AB589" i="1"/>
  <c r="AB411" i="1"/>
  <c r="AB168" i="1"/>
  <c r="AB533" i="1"/>
  <c r="AB363" i="1"/>
  <c r="AB593" i="1"/>
  <c r="AB145" i="1"/>
  <c r="AB201" i="1"/>
  <c r="AB221" i="1"/>
  <c r="AB146" i="1"/>
  <c r="AB115" i="1"/>
  <c r="AB213" i="1"/>
  <c r="AB202" i="1"/>
  <c r="AB497" i="1"/>
  <c r="Y417" i="1"/>
  <c r="Y30" i="1"/>
  <c r="Y514" i="1"/>
  <c r="Y211" i="1"/>
  <c r="Y2" i="1"/>
  <c r="Y460" i="1"/>
  <c r="Y7" i="1"/>
  <c r="Y308" i="1"/>
  <c r="Y556" i="1"/>
  <c r="Y248" i="1"/>
  <c r="Y466" i="1"/>
  <c r="Y499" i="1"/>
  <c r="Y243" i="1"/>
  <c r="Y622" i="1"/>
  <c r="Y71" i="1"/>
  <c r="Y449" i="1"/>
  <c r="Y624" i="1"/>
  <c r="Y594" i="1"/>
  <c r="Y557" i="1"/>
  <c r="Y361" i="1"/>
  <c r="Y86" i="1"/>
  <c r="Y569" i="1"/>
  <c r="Y315" i="1"/>
  <c r="Y18" i="1"/>
  <c r="Y349" i="1"/>
  <c r="Y442" i="1"/>
  <c r="Y359" i="1"/>
  <c r="Y58" i="1"/>
  <c r="Y522" i="1"/>
  <c r="Y461" i="1"/>
  <c r="Y25" i="1"/>
  <c r="Y599" i="1"/>
  <c r="Y300" i="1"/>
  <c r="Y380" i="1"/>
  <c r="Y46" i="1"/>
  <c r="Y275" i="1"/>
  <c r="Y577" i="1"/>
  <c r="Y301" i="1"/>
  <c r="Y109" i="1"/>
  <c r="Y381" i="1"/>
  <c r="Y234" i="1"/>
  <c r="Y420" i="1"/>
  <c r="Y560" i="1"/>
  <c r="Y319" i="1"/>
  <c r="Y63" i="1"/>
  <c r="Y114" i="1"/>
  <c r="Y313" i="1"/>
  <c r="Y412" i="1"/>
  <c r="Y129" i="1"/>
  <c r="Y431" i="1"/>
  <c r="Y414" i="1"/>
  <c r="Y47" i="1"/>
  <c r="Y475" i="1"/>
  <c r="Y165" i="1"/>
  <c r="Y521" i="1"/>
  <c r="Y487" i="1"/>
  <c r="Y454" i="1"/>
  <c r="Y566" i="1"/>
  <c r="Y543" i="1"/>
  <c r="Y280" i="1"/>
  <c r="Y626" i="1"/>
  <c r="Y538" i="1"/>
  <c r="Y426" i="1"/>
  <c r="Y21" i="1"/>
  <c r="Y209" i="1"/>
  <c r="Y43" i="1"/>
  <c r="Y321" i="1"/>
  <c r="Y154" i="1"/>
  <c r="Y68" i="1"/>
  <c r="Y286" i="1"/>
  <c r="Y523" i="1"/>
  <c r="Y298" i="1"/>
  <c r="Y453" i="1"/>
  <c r="Y91" i="1"/>
  <c r="Y171" i="1"/>
  <c r="Y383" i="1"/>
  <c r="Y350" i="1"/>
  <c r="Y106" i="1"/>
  <c r="Y438" i="1"/>
  <c r="Y19" i="1"/>
  <c r="Y155" i="1"/>
  <c r="Y547" i="1"/>
  <c r="Y536" i="1"/>
  <c r="Y512" i="1"/>
  <c r="Y220" i="1"/>
  <c r="Y296" i="1"/>
  <c r="Y608" i="1"/>
  <c r="Y244" i="1"/>
  <c r="Y119" i="1"/>
  <c r="Y541" i="1"/>
  <c r="Y567" i="1"/>
  <c r="Y116" i="1"/>
  <c r="Y406" i="1"/>
  <c r="Y627" i="1"/>
  <c r="Y51" i="1"/>
  <c r="Y601" i="1"/>
  <c r="Y326" i="1"/>
  <c r="Y596" i="1"/>
  <c r="Y31" i="1"/>
  <c r="Y479" i="1"/>
  <c r="Y238" i="1"/>
  <c r="Y517" i="1"/>
  <c r="Y446" i="1"/>
  <c r="Y399" i="1"/>
  <c r="Y320" i="1"/>
  <c r="Y87" i="1"/>
  <c r="Y373" i="1"/>
  <c r="Y413" i="1"/>
  <c r="Y329" i="1"/>
  <c r="Y338" i="1"/>
  <c r="Y339" i="1"/>
  <c r="Y348" i="1"/>
  <c r="Y473" i="1"/>
  <c r="Y203" i="1"/>
  <c r="Y34" i="1"/>
  <c r="Y564" i="1"/>
  <c r="Y462" i="1"/>
  <c r="Y103" i="1"/>
  <c r="Y587" i="1"/>
  <c r="Y573" i="1"/>
  <c r="Y200" i="1"/>
  <c r="Y226" i="1"/>
  <c r="Y427" i="1"/>
  <c r="Y157" i="1"/>
  <c r="Y150" i="1"/>
  <c r="Y335" i="1"/>
  <c r="Y605" i="1"/>
  <c r="Y328" i="1"/>
  <c r="Y10" i="1"/>
  <c r="Y488" i="1"/>
  <c r="Y498" i="1"/>
  <c r="Y13" i="1"/>
  <c r="Y469" i="1"/>
  <c r="Y457" i="1"/>
  <c r="Y54" i="1"/>
  <c r="Y452" i="1"/>
  <c r="Y48" i="1"/>
  <c r="Y437" i="1"/>
  <c r="Y258" i="1"/>
  <c r="Y74" i="1"/>
  <c r="Y458" i="1"/>
  <c r="Y140" i="1"/>
  <c r="Y341" i="1"/>
  <c r="Y125" i="1"/>
  <c r="Y205" i="1"/>
  <c r="Y628" i="1"/>
  <c r="Y294" i="1"/>
  <c r="Y169" i="1"/>
  <c r="Y402" i="1"/>
  <c r="Y530" i="1"/>
  <c r="Y124" i="1"/>
  <c r="Y212" i="1"/>
  <c r="Y261" i="1"/>
  <c r="Y196" i="1"/>
  <c r="Y368" i="1"/>
  <c r="Y251" i="1"/>
  <c r="Y382" i="1"/>
  <c r="Y489" i="1"/>
  <c r="Y602" i="1"/>
  <c r="Y23" i="1"/>
  <c r="Y424" i="1"/>
  <c r="Y292" i="1"/>
  <c r="Y45" i="1"/>
  <c r="Y332" i="1"/>
  <c r="Y22" i="1"/>
  <c r="Y62" i="1"/>
  <c r="Y322" i="1"/>
  <c r="Y182" i="1"/>
  <c r="Y408" i="1"/>
  <c r="Y357" i="1"/>
  <c r="Y174" i="1"/>
  <c r="Y28" i="1"/>
  <c r="Y558" i="1"/>
  <c r="Y323" i="1"/>
  <c r="Y529" i="1"/>
  <c r="Y162" i="1"/>
  <c r="Y253" i="1"/>
  <c r="Y50" i="1"/>
  <c r="Y615" i="1"/>
  <c r="Y632" i="1"/>
  <c r="Y405" i="1"/>
  <c r="Y482" i="1"/>
  <c r="Y156" i="1"/>
  <c r="Y416" i="1"/>
  <c r="Y113" i="1"/>
  <c r="Y472" i="1"/>
  <c r="Y14" i="1"/>
  <c r="Y135" i="1"/>
  <c r="Y318" i="1"/>
  <c r="Y254" i="1"/>
  <c r="Y148" i="1"/>
  <c r="Y371" i="1"/>
  <c r="Y187" i="1"/>
  <c r="Y78" i="1"/>
  <c r="Y401" i="1"/>
  <c r="Y418" i="1"/>
  <c r="Y257" i="1"/>
  <c r="Y16" i="1"/>
  <c r="Y59" i="1"/>
  <c r="Y6" i="1"/>
  <c r="Y236" i="1"/>
  <c r="Y151" i="1"/>
  <c r="Y9" i="1"/>
  <c r="Y483" i="1"/>
  <c r="Y64" i="1"/>
  <c r="Y123" i="1"/>
  <c r="Y476" i="1"/>
  <c r="Y397" i="1"/>
  <c r="Y595" i="1"/>
  <c r="Y404" i="1"/>
  <c r="Y590" i="1"/>
  <c r="Y394" i="1"/>
  <c r="Y480" i="1"/>
  <c r="Y197" i="1"/>
  <c r="Y268" i="1"/>
  <c r="Y218" i="1"/>
  <c r="Y11" i="1"/>
  <c r="Y410" i="1"/>
  <c r="Y400" i="1"/>
  <c r="Y617" i="1"/>
  <c r="Y175" i="1"/>
  <c r="Y161" i="1"/>
  <c r="Y591" i="1"/>
  <c r="Y65" i="1"/>
  <c r="Y216" i="1"/>
  <c r="Y141" i="1"/>
  <c r="Y179" i="1"/>
  <c r="Y610" i="1"/>
  <c r="Y38" i="1"/>
  <c r="Y94" i="1"/>
  <c r="Y537" i="1"/>
  <c r="Y387" i="1"/>
  <c r="Y389" i="1"/>
  <c r="Y40" i="1"/>
  <c r="Y235" i="1"/>
  <c r="Y398" i="1"/>
  <c r="Y592" i="1"/>
  <c r="Y204" i="1"/>
  <c r="Y290" i="1"/>
  <c r="Y172" i="1"/>
  <c r="Y550" i="1"/>
  <c r="Y603" i="1"/>
  <c r="Y445" i="1"/>
  <c r="Y66" i="1"/>
  <c r="Y274" i="1"/>
  <c r="Y259" i="1"/>
  <c r="Y534" i="1"/>
  <c r="Y433" i="1"/>
  <c r="Y629" i="1"/>
  <c r="Y386" i="1"/>
  <c r="Y36" i="1"/>
  <c r="Y284" i="1"/>
  <c r="Y364" i="1"/>
  <c r="Y422" i="1"/>
  <c r="Y305" i="1"/>
  <c r="Y180" i="1"/>
  <c r="Y67" i="1"/>
  <c r="Y583" i="1"/>
  <c r="Y185" i="1"/>
  <c r="Y92" i="1"/>
  <c r="Y97" i="1"/>
  <c r="Y147" i="1"/>
  <c r="Y575" i="1"/>
  <c r="Y531" i="1"/>
  <c r="Y623" i="1"/>
  <c r="Y407" i="1"/>
  <c r="Y81" i="1"/>
  <c r="Y222" i="1"/>
  <c r="Y233" i="1"/>
  <c r="Y144" i="1"/>
  <c r="Y494" i="1"/>
  <c r="Y291" i="1"/>
  <c r="Y137" i="1"/>
  <c r="Y285" i="1"/>
  <c r="Y246" i="1"/>
  <c r="Y289" i="1"/>
  <c r="Y578" i="1"/>
  <c r="Y342" i="1"/>
  <c r="Y195" i="1"/>
  <c r="Y107" i="1"/>
  <c r="Y505" i="1"/>
  <c r="Y152" i="1"/>
  <c r="Y552" i="1"/>
  <c r="Y239" i="1"/>
  <c r="Y117" i="1"/>
  <c r="Y519" i="1"/>
  <c r="Y392" i="1"/>
  <c r="Y249" i="1"/>
  <c r="Y133" i="1"/>
  <c r="Y618" i="1"/>
  <c r="Y515" i="1"/>
  <c r="Y189" i="1"/>
  <c r="Y158" i="1"/>
  <c r="Y526" i="1"/>
  <c r="Y561" i="1"/>
  <c r="Y270" i="1"/>
  <c r="Y110" i="1"/>
  <c r="Y288" i="1"/>
  <c r="Y477" i="1"/>
  <c r="Y545" i="1"/>
  <c r="Y181" i="1"/>
  <c r="Y134" i="1"/>
  <c r="Y576" i="1"/>
  <c r="Y344" i="1"/>
  <c r="Y524" i="1"/>
  <c r="Y513" i="1"/>
  <c r="Y554" i="1"/>
  <c r="Y478" i="1"/>
  <c r="Y4" i="1"/>
  <c r="Y465" i="1"/>
  <c r="Y324" i="1"/>
  <c r="Y118" i="1"/>
  <c r="Y428" i="1"/>
  <c r="Y337" i="1"/>
  <c r="Y562" i="1"/>
  <c r="Y80" i="1"/>
  <c r="Y198" i="1"/>
  <c r="Y518" i="1"/>
  <c r="Y44" i="1"/>
  <c r="Y327" i="1"/>
  <c r="Y229" i="1"/>
  <c r="Y32" i="1"/>
  <c r="Y262" i="1"/>
  <c r="Y395" i="1"/>
  <c r="Y82" i="1"/>
  <c r="Y237" i="1"/>
  <c r="Y104" i="1"/>
  <c r="Y555" i="1"/>
  <c r="Y191" i="1"/>
  <c r="Y471" i="1"/>
  <c r="Y630" i="1"/>
  <c r="Y166" i="1"/>
  <c r="Y199" i="1"/>
  <c r="Y539" i="1"/>
  <c r="Y297" i="1"/>
  <c r="Y354" i="1"/>
  <c r="Y263" i="1"/>
  <c r="Y139" i="1"/>
  <c r="Y130" i="1"/>
  <c r="Y138" i="1"/>
  <c r="Y55" i="1"/>
  <c r="Y423" i="1"/>
  <c r="Y260" i="1"/>
  <c r="Y355" i="1"/>
  <c r="Y207" i="1"/>
  <c r="Y362" i="1"/>
  <c r="Y79" i="1"/>
  <c r="Y219" i="1"/>
  <c r="Y572" i="1"/>
  <c r="Y26" i="1"/>
  <c r="Y208" i="1"/>
  <c r="Y131" i="1"/>
  <c r="Y369" i="1"/>
  <c r="Y432" i="1"/>
  <c r="Y228" i="1"/>
  <c r="Y613" i="1"/>
  <c r="Y293" i="1"/>
  <c r="Y440" i="1"/>
  <c r="Y242" i="1"/>
  <c r="Y345" i="1"/>
  <c r="Y581" i="1"/>
  <c r="Y120" i="1"/>
  <c r="Y277" i="1"/>
  <c r="Y102" i="1"/>
  <c r="Y508" i="1"/>
  <c r="Y330" i="1"/>
  <c r="Y507" i="1"/>
  <c r="Y176" i="1"/>
  <c r="Y579" i="1"/>
  <c r="Y224" i="1"/>
  <c r="Y17" i="1"/>
  <c r="Y52" i="1"/>
  <c r="Y520" i="1"/>
  <c r="Y314" i="1"/>
  <c r="Y272" i="1"/>
  <c r="Y584" i="1"/>
  <c r="Y39" i="1"/>
  <c r="Y468" i="1"/>
  <c r="Y485" i="1"/>
  <c r="Y481" i="1"/>
  <c r="Y609" i="1"/>
  <c r="Y597" i="1"/>
  <c r="Y111" i="1"/>
  <c r="Y358" i="1"/>
  <c r="Y93" i="1"/>
  <c r="Y546" i="1"/>
  <c r="Y310" i="1"/>
  <c r="Y177" i="1"/>
  <c r="Y194" i="1"/>
  <c r="Y570" i="1"/>
  <c r="Y370" i="1"/>
  <c r="Y183" i="1"/>
  <c r="Y278" i="1"/>
  <c r="Y98" i="1"/>
  <c r="Y559" i="1"/>
  <c r="Y616" i="1"/>
  <c r="Y451" i="1"/>
  <c r="Y631" i="1"/>
  <c r="Y390" i="1"/>
  <c r="Y527" i="1"/>
  <c r="Y372" i="1"/>
  <c r="Y430" i="1"/>
  <c r="Y360" i="1"/>
  <c r="Y474" i="1"/>
  <c r="Y37" i="1"/>
  <c r="Y456" i="1"/>
  <c r="Y495" i="1"/>
  <c r="Y500" i="1"/>
  <c r="Y214" i="1"/>
  <c r="Y384" i="1"/>
  <c r="Y316" i="1"/>
  <c r="Y42" i="1"/>
  <c r="Y160" i="1"/>
  <c r="Y334" i="1"/>
  <c r="Y163" i="1"/>
  <c r="Y443" i="1"/>
  <c r="Y565" i="1"/>
  <c r="Y506" i="1"/>
  <c r="Y241" i="1"/>
  <c r="Y186" i="1"/>
  <c r="Y496" i="1"/>
  <c r="Y585" i="1"/>
  <c r="Y633" i="1"/>
  <c r="Y264" i="1"/>
  <c r="Y267" i="1"/>
  <c r="Y619" i="1"/>
  <c r="Y376" i="1"/>
  <c r="Y266" i="1"/>
  <c r="Y544" i="1"/>
  <c r="Y425" i="1"/>
  <c r="Y464" i="1"/>
  <c r="Y190" i="1"/>
  <c r="Y450" i="1"/>
  <c r="Y393" i="1"/>
  <c r="Y188" i="1"/>
  <c r="Y459" i="1"/>
  <c r="Y69" i="1"/>
  <c r="Y227" i="1"/>
  <c r="Y24" i="1"/>
  <c r="Y89" i="1"/>
  <c r="Y287" i="1"/>
  <c r="Y173" i="1"/>
  <c r="Y379" i="1"/>
  <c r="Y403" i="1"/>
  <c r="Y105" i="1"/>
  <c r="Y223" i="1"/>
  <c r="Y516" i="1"/>
  <c r="Y331" i="1"/>
  <c r="Y340" i="1"/>
  <c r="Y136" i="1"/>
  <c r="Y8" i="1"/>
  <c r="Y306" i="1"/>
  <c r="Y568" i="1"/>
  <c r="Y96" i="1"/>
  <c r="Y463" i="1"/>
  <c r="Y210" i="1"/>
  <c r="Y75" i="1"/>
  <c r="Y206" i="1"/>
  <c r="Y309" i="1"/>
  <c r="Y128" i="1"/>
  <c r="Y90" i="1"/>
  <c r="Y276" i="1"/>
  <c r="Y525" i="1"/>
  <c r="Y600" i="1"/>
  <c r="Y439" i="1"/>
  <c r="Y346" i="1"/>
  <c r="Y215" i="1"/>
  <c r="Y563" i="1"/>
  <c r="Y509" i="1"/>
  <c r="Y88" i="1"/>
  <c r="Y164" i="1"/>
  <c r="Y586" i="1"/>
  <c r="Y255" i="1"/>
  <c r="Y612" i="1"/>
  <c r="Y95" i="1"/>
  <c r="Y311" i="1"/>
  <c r="Y41" i="1"/>
  <c r="Y132" i="1"/>
  <c r="Y60" i="1"/>
  <c r="Y230" i="1"/>
  <c r="Y388" i="1"/>
  <c r="Y620" i="1"/>
  <c r="Y542" i="1"/>
  <c r="Y149" i="1"/>
  <c r="Y448" i="1"/>
  <c r="Y192" i="1"/>
  <c r="Y436" i="1"/>
  <c r="Y312" i="1"/>
  <c r="Y549" i="1"/>
  <c r="Y302" i="1"/>
  <c r="Y377" i="1"/>
  <c r="Y598" i="1"/>
  <c r="Y269" i="1"/>
  <c r="Y325" i="1"/>
  <c r="Y367" i="1"/>
  <c r="Y112" i="1"/>
  <c r="Y396" i="1"/>
  <c r="Y193" i="1"/>
  <c r="Y625" i="1"/>
  <c r="Y76" i="1"/>
  <c r="Y304" i="1"/>
  <c r="Y27" i="1"/>
  <c r="Y510" i="1"/>
  <c r="Y501" i="1"/>
  <c r="Y295" i="1"/>
  <c r="Y540" i="1"/>
  <c r="Y419" i="1"/>
  <c r="Y56" i="1"/>
  <c r="Y435" i="1"/>
  <c r="Y84" i="1"/>
  <c r="Y271" i="1"/>
  <c r="Y409" i="1"/>
  <c r="Y99" i="1"/>
  <c r="Y467" i="1"/>
  <c r="Y606" i="1"/>
  <c r="Y178" i="1"/>
  <c r="Y553" i="1"/>
  <c r="Y307" i="1"/>
  <c r="Y73" i="1"/>
  <c r="Y352" i="1"/>
  <c r="Y85" i="1"/>
  <c r="Y353" i="1"/>
  <c r="Y303" i="1"/>
  <c r="Y240" i="1"/>
  <c r="Y299" i="1"/>
  <c r="Y486" i="1"/>
  <c r="Y5" i="1"/>
  <c r="Y333" i="1"/>
  <c r="Y159" i="1"/>
  <c r="Y247" i="1"/>
  <c r="Y503" i="1"/>
  <c r="Y535" i="1"/>
  <c r="Y153" i="1"/>
  <c r="Y580" i="1"/>
  <c r="Y470" i="1"/>
  <c r="Y121" i="1"/>
  <c r="Y374" i="1"/>
  <c r="Y126" i="1"/>
  <c r="Y225" i="1"/>
  <c r="Y12" i="1"/>
  <c r="Y127" i="1"/>
  <c r="Y336" i="1"/>
  <c r="Y20" i="1"/>
  <c r="Y122" i="1"/>
  <c r="Y614" i="1"/>
  <c r="Y273" i="1"/>
  <c r="Y167" i="1"/>
  <c r="Y33" i="1"/>
  <c r="Y356" i="1"/>
  <c r="Y447" i="1"/>
  <c r="Y607" i="1"/>
  <c r="Y35" i="1"/>
  <c r="Y492" i="1"/>
  <c r="Y490" i="1"/>
  <c r="Y385" i="1"/>
  <c r="Y83" i="1"/>
  <c r="Y548" i="1"/>
  <c r="Y282" i="1"/>
  <c r="Y317" i="1"/>
  <c r="Y232" i="1"/>
  <c r="Y421" i="1"/>
  <c r="Y444" i="1"/>
  <c r="Y57" i="1"/>
  <c r="Y484" i="1"/>
  <c r="Y245" i="1"/>
  <c r="Y256" i="1"/>
  <c r="Y582" i="1"/>
  <c r="Y429" i="1"/>
  <c r="Y265" i="1"/>
  <c r="Y528" i="1"/>
  <c r="Y100" i="1"/>
  <c r="Y511" i="1"/>
  <c r="Y231" i="1"/>
  <c r="Y217" i="1"/>
  <c r="Y72" i="1"/>
  <c r="Y604" i="1"/>
  <c r="Y143" i="1"/>
  <c r="Y108" i="1"/>
  <c r="Y434" i="1"/>
  <c r="Y588" i="1"/>
  <c r="Y101" i="1"/>
  <c r="Y15" i="1"/>
  <c r="Y391" i="1"/>
  <c r="Y366" i="1"/>
  <c r="Y532" i="1"/>
  <c r="Y77" i="1"/>
  <c r="Y283" i="1"/>
  <c r="Y343" i="1"/>
  <c r="Y491" i="1"/>
  <c r="Y49" i="1"/>
  <c r="Y621" i="1"/>
  <c r="Y29" i="1"/>
  <c r="Y365" i="1"/>
  <c r="Y571" i="1"/>
  <c r="Y351" i="1"/>
  <c r="Y493" i="1"/>
  <c r="Y3" i="1"/>
  <c r="Y502" i="1"/>
  <c r="Y375" i="1"/>
  <c r="Y279" i="1"/>
  <c r="Y378" i="1"/>
  <c r="Y611" i="1"/>
  <c r="Y551" i="1"/>
  <c r="Y53" i="1"/>
  <c r="Y170" i="1"/>
  <c r="Y70" i="1"/>
  <c r="Y574" i="1"/>
  <c r="Y441" i="1"/>
  <c r="Y250" i="1"/>
  <c r="Y61" i="1"/>
  <c r="Y252" i="1"/>
  <c r="Y415" i="1"/>
  <c r="Y347" i="1"/>
  <c r="Y142" i="1"/>
  <c r="Y504" i="1"/>
  <c r="Y184" i="1"/>
  <c r="Y455" i="1"/>
  <c r="Y589" i="1"/>
  <c r="Y411" i="1"/>
  <c r="Y168" i="1"/>
  <c r="Y533" i="1"/>
  <c r="Y363" i="1"/>
  <c r="Y593" i="1"/>
  <c r="Y145" i="1"/>
  <c r="Y201" i="1"/>
  <c r="Y221" i="1"/>
  <c r="Y146" i="1"/>
  <c r="Y115" i="1"/>
  <c r="Y213" i="1"/>
  <c r="Y202" i="1"/>
  <c r="Y497" i="1"/>
  <c r="Y281" i="1"/>
  <c r="U417" i="1"/>
  <c r="X417" i="1" s="1"/>
  <c r="U30" i="1"/>
  <c r="X30" i="1" s="1"/>
  <c r="U514" i="1"/>
  <c r="X514" i="1" s="1"/>
  <c r="U211" i="1"/>
  <c r="X211" i="1" s="1"/>
  <c r="U2" i="1"/>
  <c r="X2" i="1" s="1"/>
  <c r="U460" i="1"/>
  <c r="X460" i="1" s="1"/>
  <c r="U7" i="1"/>
  <c r="X7" i="1" s="1"/>
  <c r="U308" i="1"/>
  <c r="X308" i="1" s="1"/>
  <c r="U556" i="1"/>
  <c r="X556" i="1" s="1"/>
  <c r="U248" i="1"/>
  <c r="X248" i="1" s="1"/>
  <c r="U466" i="1"/>
  <c r="X466" i="1" s="1"/>
  <c r="U499" i="1"/>
  <c r="X499" i="1" s="1"/>
  <c r="U243" i="1"/>
  <c r="X243" i="1" s="1"/>
  <c r="U622" i="1"/>
  <c r="X622" i="1" s="1"/>
  <c r="U71" i="1"/>
  <c r="X71" i="1" s="1"/>
  <c r="U449" i="1"/>
  <c r="X449" i="1" s="1"/>
  <c r="U624" i="1"/>
  <c r="X624" i="1" s="1"/>
  <c r="U594" i="1"/>
  <c r="X594" i="1" s="1"/>
  <c r="U557" i="1"/>
  <c r="X557" i="1" s="1"/>
  <c r="U361" i="1"/>
  <c r="X361" i="1" s="1"/>
  <c r="U86" i="1"/>
  <c r="X86" i="1" s="1"/>
  <c r="U569" i="1"/>
  <c r="X569" i="1" s="1"/>
  <c r="U315" i="1"/>
  <c r="X315" i="1" s="1"/>
  <c r="U18" i="1"/>
  <c r="X18" i="1" s="1"/>
  <c r="U349" i="1"/>
  <c r="X349" i="1" s="1"/>
  <c r="U442" i="1"/>
  <c r="X442" i="1" s="1"/>
  <c r="U359" i="1"/>
  <c r="X359" i="1" s="1"/>
  <c r="U58" i="1"/>
  <c r="X58" i="1" s="1"/>
  <c r="U522" i="1"/>
  <c r="X522" i="1" s="1"/>
  <c r="U461" i="1"/>
  <c r="X461" i="1" s="1"/>
  <c r="U25" i="1"/>
  <c r="X25" i="1" s="1"/>
  <c r="U599" i="1"/>
  <c r="X599" i="1" s="1"/>
  <c r="U300" i="1"/>
  <c r="X300" i="1" s="1"/>
  <c r="U380" i="1"/>
  <c r="X380" i="1" s="1"/>
  <c r="U46" i="1"/>
  <c r="X46" i="1" s="1"/>
  <c r="U275" i="1"/>
  <c r="X275" i="1" s="1"/>
  <c r="U577" i="1"/>
  <c r="X577" i="1" s="1"/>
  <c r="U301" i="1"/>
  <c r="X301" i="1" s="1"/>
  <c r="U109" i="1"/>
  <c r="X109" i="1" s="1"/>
  <c r="U381" i="1"/>
  <c r="X381" i="1" s="1"/>
  <c r="U234" i="1"/>
  <c r="X234" i="1" s="1"/>
  <c r="U420" i="1"/>
  <c r="X420" i="1" s="1"/>
  <c r="U560" i="1"/>
  <c r="X560" i="1" s="1"/>
  <c r="U319" i="1"/>
  <c r="X319" i="1" s="1"/>
  <c r="U63" i="1"/>
  <c r="X63" i="1" s="1"/>
  <c r="U114" i="1"/>
  <c r="X114" i="1" s="1"/>
  <c r="U313" i="1"/>
  <c r="X313" i="1" s="1"/>
  <c r="U412" i="1"/>
  <c r="X412" i="1" s="1"/>
  <c r="U129" i="1"/>
  <c r="X129" i="1" s="1"/>
  <c r="U431" i="1"/>
  <c r="X431" i="1" s="1"/>
  <c r="U414" i="1"/>
  <c r="X414" i="1" s="1"/>
  <c r="U47" i="1"/>
  <c r="X47" i="1" s="1"/>
  <c r="U475" i="1"/>
  <c r="X475" i="1" s="1"/>
  <c r="U165" i="1"/>
  <c r="X165" i="1" s="1"/>
  <c r="U521" i="1"/>
  <c r="X521" i="1" s="1"/>
  <c r="U487" i="1"/>
  <c r="X487" i="1" s="1"/>
  <c r="U454" i="1"/>
  <c r="X454" i="1" s="1"/>
  <c r="U566" i="1"/>
  <c r="X566" i="1" s="1"/>
  <c r="U543" i="1"/>
  <c r="X543" i="1" s="1"/>
  <c r="U280" i="1"/>
  <c r="X280" i="1" s="1"/>
  <c r="U626" i="1"/>
  <c r="X626" i="1" s="1"/>
  <c r="U538" i="1"/>
  <c r="X538" i="1" s="1"/>
  <c r="U426" i="1"/>
  <c r="X426" i="1" s="1"/>
  <c r="U21" i="1"/>
  <c r="X21" i="1" s="1"/>
  <c r="U209" i="1"/>
  <c r="X209" i="1" s="1"/>
  <c r="U43" i="1"/>
  <c r="X43" i="1" s="1"/>
  <c r="U321" i="1"/>
  <c r="X321" i="1" s="1"/>
  <c r="U154" i="1"/>
  <c r="X154" i="1" s="1"/>
  <c r="U68" i="1"/>
  <c r="X68" i="1" s="1"/>
  <c r="U286" i="1"/>
  <c r="X286" i="1" s="1"/>
  <c r="U523" i="1"/>
  <c r="X523" i="1" s="1"/>
  <c r="U298" i="1"/>
  <c r="X298" i="1" s="1"/>
  <c r="U453" i="1"/>
  <c r="X453" i="1" s="1"/>
  <c r="U91" i="1"/>
  <c r="X91" i="1" s="1"/>
  <c r="U171" i="1"/>
  <c r="X171" i="1" s="1"/>
  <c r="U383" i="1"/>
  <c r="X383" i="1" s="1"/>
  <c r="U350" i="1"/>
  <c r="X350" i="1" s="1"/>
  <c r="U106" i="1"/>
  <c r="X106" i="1" s="1"/>
  <c r="U438" i="1"/>
  <c r="X438" i="1" s="1"/>
  <c r="U19" i="1"/>
  <c r="X19" i="1" s="1"/>
  <c r="U155" i="1"/>
  <c r="X155" i="1" s="1"/>
  <c r="U547" i="1"/>
  <c r="X547" i="1" s="1"/>
  <c r="U536" i="1"/>
  <c r="X536" i="1" s="1"/>
  <c r="U512" i="1"/>
  <c r="X512" i="1" s="1"/>
  <c r="U220" i="1"/>
  <c r="X220" i="1" s="1"/>
  <c r="U296" i="1"/>
  <c r="X296" i="1" s="1"/>
  <c r="U608" i="1"/>
  <c r="X608" i="1" s="1"/>
  <c r="U244" i="1"/>
  <c r="X244" i="1" s="1"/>
  <c r="U119" i="1"/>
  <c r="X119" i="1" s="1"/>
  <c r="U541" i="1"/>
  <c r="X541" i="1" s="1"/>
  <c r="U567" i="1"/>
  <c r="X567" i="1" s="1"/>
  <c r="U116" i="1"/>
  <c r="X116" i="1" s="1"/>
  <c r="U406" i="1"/>
  <c r="X406" i="1" s="1"/>
  <c r="U627" i="1"/>
  <c r="X627" i="1" s="1"/>
  <c r="U51" i="1"/>
  <c r="X51" i="1" s="1"/>
  <c r="U601" i="1"/>
  <c r="X601" i="1" s="1"/>
  <c r="U326" i="1"/>
  <c r="X326" i="1" s="1"/>
  <c r="U596" i="1"/>
  <c r="X596" i="1" s="1"/>
  <c r="U31" i="1"/>
  <c r="X31" i="1" s="1"/>
  <c r="U479" i="1"/>
  <c r="X479" i="1" s="1"/>
  <c r="U238" i="1"/>
  <c r="X238" i="1" s="1"/>
  <c r="U517" i="1"/>
  <c r="X517" i="1" s="1"/>
  <c r="U446" i="1"/>
  <c r="X446" i="1" s="1"/>
  <c r="U399" i="1"/>
  <c r="X399" i="1" s="1"/>
  <c r="U320" i="1"/>
  <c r="X320" i="1" s="1"/>
  <c r="U87" i="1"/>
  <c r="X87" i="1" s="1"/>
  <c r="U373" i="1"/>
  <c r="X373" i="1" s="1"/>
  <c r="U413" i="1"/>
  <c r="X413" i="1" s="1"/>
  <c r="U329" i="1"/>
  <c r="X329" i="1" s="1"/>
  <c r="U338" i="1"/>
  <c r="X338" i="1" s="1"/>
  <c r="U339" i="1"/>
  <c r="X339" i="1" s="1"/>
  <c r="U348" i="1"/>
  <c r="X348" i="1" s="1"/>
  <c r="U473" i="1"/>
  <c r="X473" i="1" s="1"/>
  <c r="U203" i="1"/>
  <c r="X203" i="1" s="1"/>
  <c r="U34" i="1"/>
  <c r="X34" i="1" s="1"/>
  <c r="U564" i="1"/>
  <c r="X564" i="1" s="1"/>
  <c r="U462" i="1"/>
  <c r="X462" i="1" s="1"/>
  <c r="U103" i="1"/>
  <c r="X103" i="1" s="1"/>
  <c r="U587" i="1"/>
  <c r="X587" i="1" s="1"/>
  <c r="U573" i="1"/>
  <c r="X573" i="1" s="1"/>
  <c r="U200" i="1"/>
  <c r="X200" i="1" s="1"/>
  <c r="U226" i="1"/>
  <c r="X226" i="1" s="1"/>
  <c r="U427" i="1"/>
  <c r="X427" i="1" s="1"/>
  <c r="U157" i="1"/>
  <c r="X157" i="1" s="1"/>
  <c r="U150" i="1"/>
  <c r="X150" i="1" s="1"/>
  <c r="U335" i="1"/>
  <c r="X335" i="1" s="1"/>
  <c r="U605" i="1"/>
  <c r="X605" i="1" s="1"/>
  <c r="U328" i="1"/>
  <c r="X328" i="1" s="1"/>
  <c r="U10" i="1"/>
  <c r="X10" i="1" s="1"/>
  <c r="U488" i="1"/>
  <c r="X488" i="1" s="1"/>
  <c r="U498" i="1"/>
  <c r="X498" i="1" s="1"/>
  <c r="U13" i="1"/>
  <c r="X13" i="1" s="1"/>
  <c r="U469" i="1"/>
  <c r="X469" i="1" s="1"/>
  <c r="U457" i="1"/>
  <c r="X457" i="1" s="1"/>
  <c r="U54" i="1"/>
  <c r="X54" i="1" s="1"/>
  <c r="U452" i="1"/>
  <c r="X452" i="1" s="1"/>
  <c r="U48" i="1"/>
  <c r="X48" i="1" s="1"/>
  <c r="U437" i="1"/>
  <c r="X437" i="1" s="1"/>
  <c r="U258" i="1"/>
  <c r="X258" i="1" s="1"/>
  <c r="U74" i="1"/>
  <c r="X74" i="1" s="1"/>
  <c r="U458" i="1"/>
  <c r="X458" i="1" s="1"/>
  <c r="U140" i="1"/>
  <c r="X140" i="1" s="1"/>
  <c r="U341" i="1"/>
  <c r="X341" i="1" s="1"/>
  <c r="U125" i="1"/>
  <c r="X125" i="1" s="1"/>
  <c r="U205" i="1"/>
  <c r="X205" i="1" s="1"/>
  <c r="U628" i="1"/>
  <c r="X628" i="1" s="1"/>
  <c r="U294" i="1"/>
  <c r="X294" i="1" s="1"/>
  <c r="U169" i="1"/>
  <c r="X169" i="1" s="1"/>
  <c r="U402" i="1"/>
  <c r="X402" i="1" s="1"/>
  <c r="U530" i="1"/>
  <c r="X530" i="1" s="1"/>
  <c r="U124" i="1"/>
  <c r="X124" i="1" s="1"/>
  <c r="U212" i="1"/>
  <c r="X212" i="1" s="1"/>
  <c r="U261" i="1"/>
  <c r="X261" i="1" s="1"/>
  <c r="U196" i="1"/>
  <c r="X196" i="1" s="1"/>
  <c r="U368" i="1"/>
  <c r="X368" i="1" s="1"/>
  <c r="U251" i="1"/>
  <c r="X251" i="1" s="1"/>
  <c r="U382" i="1"/>
  <c r="X382" i="1" s="1"/>
  <c r="U489" i="1"/>
  <c r="X489" i="1" s="1"/>
  <c r="U602" i="1"/>
  <c r="X602" i="1" s="1"/>
  <c r="U23" i="1"/>
  <c r="X23" i="1" s="1"/>
  <c r="U424" i="1"/>
  <c r="X424" i="1" s="1"/>
  <c r="U292" i="1"/>
  <c r="X292" i="1" s="1"/>
  <c r="U45" i="1"/>
  <c r="X45" i="1" s="1"/>
  <c r="U332" i="1"/>
  <c r="X332" i="1" s="1"/>
  <c r="U22" i="1"/>
  <c r="X22" i="1" s="1"/>
  <c r="U62" i="1"/>
  <c r="X62" i="1" s="1"/>
  <c r="U322" i="1"/>
  <c r="X322" i="1" s="1"/>
  <c r="U182" i="1"/>
  <c r="X182" i="1" s="1"/>
  <c r="U408" i="1"/>
  <c r="X408" i="1" s="1"/>
  <c r="U357" i="1"/>
  <c r="X357" i="1" s="1"/>
  <c r="U174" i="1"/>
  <c r="X174" i="1" s="1"/>
  <c r="U28" i="1"/>
  <c r="X28" i="1" s="1"/>
  <c r="U558" i="1"/>
  <c r="X558" i="1" s="1"/>
  <c r="U323" i="1"/>
  <c r="X323" i="1" s="1"/>
  <c r="U529" i="1"/>
  <c r="X529" i="1" s="1"/>
  <c r="U162" i="1"/>
  <c r="X162" i="1" s="1"/>
  <c r="U253" i="1"/>
  <c r="X253" i="1" s="1"/>
  <c r="U50" i="1"/>
  <c r="X50" i="1" s="1"/>
  <c r="U615" i="1"/>
  <c r="X615" i="1" s="1"/>
  <c r="U632" i="1"/>
  <c r="X632" i="1" s="1"/>
  <c r="U405" i="1"/>
  <c r="X405" i="1" s="1"/>
  <c r="U482" i="1"/>
  <c r="X482" i="1" s="1"/>
  <c r="U156" i="1"/>
  <c r="X156" i="1" s="1"/>
  <c r="U416" i="1"/>
  <c r="X416" i="1" s="1"/>
  <c r="U113" i="1"/>
  <c r="X113" i="1" s="1"/>
  <c r="U472" i="1"/>
  <c r="X472" i="1" s="1"/>
  <c r="U14" i="1"/>
  <c r="X14" i="1" s="1"/>
  <c r="U135" i="1"/>
  <c r="X135" i="1" s="1"/>
  <c r="U318" i="1"/>
  <c r="X318" i="1" s="1"/>
  <c r="U254" i="1"/>
  <c r="X254" i="1" s="1"/>
  <c r="U148" i="1"/>
  <c r="X148" i="1" s="1"/>
  <c r="U371" i="1"/>
  <c r="X371" i="1" s="1"/>
  <c r="U187" i="1"/>
  <c r="X187" i="1" s="1"/>
  <c r="U78" i="1"/>
  <c r="X78" i="1" s="1"/>
  <c r="U401" i="1"/>
  <c r="X401" i="1" s="1"/>
  <c r="U418" i="1"/>
  <c r="X418" i="1" s="1"/>
  <c r="U257" i="1"/>
  <c r="X257" i="1" s="1"/>
  <c r="U16" i="1"/>
  <c r="X16" i="1" s="1"/>
  <c r="U59" i="1"/>
  <c r="X59" i="1" s="1"/>
  <c r="U6" i="1"/>
  <c r="X6" i="1" s="1"/>
  <c r="U236" i="1"/>
  <c r="X236" i="1" s="1"/>
  <c r="U151" i="1"/>
  <c r="X151" i="1" s="1"/>
  <c r="U9" i="1"/>
  <c r="X9" i="1" s="1"/>
  <c r="U483" i="1"/>
  <c r="X483" i="1" s="1"/>
  <c r="U64" i="1"/>
  <c r="X64" i="1" s="1"/>
  <c r="U123" i="1"/>
  <c r="X123" i="1" s="1"/>
  <c r="U476" i="1"/>
  <c r="X476" i="1" s="1"/>
  <c r="U397" i="1"/>
  <c r="X397" i="1" s="1"/>
  <c r="U595" i="1"/>
  <c r="X595" i="1" s="1"/>
  <c r="U404" i="1"/>
  <c r="X404" i="1" s="1"/>
  <c r="U590" i="1"/>
  <c r="X590" i="1" s="1"/>
  <c r="U394" i="1"/>
  <c r="X394" i="1" s="1"/>
  <c r="U480" i="1"/>
  <c r="X480" i="1" s="1"/>
  <c r="U197" i="1"/>
  <c r="X197" i="1" s="1"/>
  <c r="U268" i="1"/>
  <c r="X268" i="1" s="1"/>
  <c r="U218" i="1"/>
  <c r="X218" i="1" s="1"/>
  <c r="U11" i="1"/>
  <c r="X11" i="1" s="1"/>
  <c r="U410" i="1"/>
  <c r="X410" i="1" s="1"/>
  <c r="U400" i="1"/>
  <c r="X400" i="1" s="1"/>
  <c r="U617" i="1"/>
  <c r="X617" i="1" s="1"/>
  <c r="U175" i="1"/>
  <c r="X175" i="1" s="1"/>
  <c r="U161" i="1"/>
  <c r="X161" i="1" s="1"/>
  <c r="U591" i="1"/>
  <c r="X591" i="1" s="1"/>
  <c r="U65" i="1"/>
  <c r="X65" i="1" s="1"/>
  <c r="U216" i="1"/>
  <c r="X216" i="1" s="1"/>
  <c r="U141" i="1"/>
  <c r="X141" i="1" s="1"/>
  <c r="U179" i="1"/>
  <c r="X179" i="1" s="1"/>
  <c r="U610" i="1"/>
  <c r="X610" i="1" s="1"/>
  <c r="U38" i="1"/>
  <c r="X38" i="1" s="1"/>
  <c r="U94" i="1"/>
  <c r="X94" i="1" s="1"/>
  <c r="U537" i="1"/>
  <c r="X537" i="1" s="1"/>
  <c r="U387" i="1"/>
  <c r="X387" i="1" s="1"/>
  <c r="U389" i="1"/>
  <c r="X389" i="1" s="1"/>
  <c r="U40" i="1"/>
  <c r="X40" i="1" s="1"/>
  <c r="U235" i="1"/>
  <c r="X235" i="1" s="1"/>
  <c r="U398" i="1"/>
  <c r="X398" i="1" s="1"/>
  <c r="U592" i="1"/>
  <c r="X592" i="1" s="1"/>
  <c r="U204" i="1"/>
  <c r="X204" i="1" s="1"/>
  <c r="U290" i="1"/>
  <c r="X290" i="1" s="1"/>
  <c r="U172" i="1"/>
  <c r="X172" i="1" s="1"/>
  <c r="U550" i="1"/>
  <c r="X550" i="1" s="1"/>
  <c r="U603" i="1"/>
  <c r="X603" i="1" s="1"/>
  <c r="U445" i="1"/>
  <c r="X445" i="1" s="1"/>
  <c r="U66" i="1"/>
  <c r="X66" i="1" s="1"/>
  <c r="U274" i="1"/>
  <c r="X274" i="1" s="1"/>
  <c r="U259" i="1"/>
  <c r="X259" i="1" s="1"/>
  <c r="U534" i="1"/>
  <c r="X534" i="1" s="1"/>
  <c r="U433" i="1"/>
  <c r="X433" i="1" s="1"/>
  <c r="U629" i="1"/>
  <c r="X629" i="1" s="1"/>
  <c r="U386" i="1"/>
  <c r="X386" i="1" s="1"/>
  <c r="U36" i="1"/>
  <c r="X36" i="1" s="1"/>
  <c r="U284" i="1"/>
  <c r="X284" i="1" s="1"/>
  <c r="U364" i="1"/>
  <c r="X364" i="1" s="1"/>
  <c r="U422" i="1"/>
  <c r="X422" i="1" s="1"/>
  <c r="U305" i="1"/>
  <c r="X305" i="1" s="1"/>
  <c r="U180" i="1"/>
  <c r="X180" i="1" s="1"/>
  <c r="U67" i="1"/>
  <c r="X67" i="1" s="1"/>
  <c r="U583" i="1"/>
  <c r="X583" i="1" s="1"/>
  <c r="U185" i="1"/>
  <c r="X185" i="1" s="1"/>
  <c r="U92" i="1"/>
  <c r="X92" i="1" s="1"/>
  <c r="U97" i="1"/>
  <c r="X97" i="1" s="1"/>
  <c r="U147" i="1"/>
  <c r="X147" i="1" s="1"/>
  <c r="U575" i="1"/>
  <c r="X575" i="1" s="1"/>
  <c r="U531" i="1"/>
  <c r="X531" i="1" s="1"/>
  <c r="U623" i="1"/>
  <c r="X623" i="1" s="1"/>
  <c r="U407" i="1"/>
  <c r="X407" i="1" s="1"/>
  <c r="U81" i="1"/>
  <c r="X81" i="1" s="1"/>
  <c r="U222" i="1"/>
  <c r="X222" i="1" s="1"/>
  <c r="U233" i="1"/>
  <c r="X233" i="1" s="1"/>
  <c r="U144" i="1"/>
  <c r="X144" i="1" s="1"/>
  <c r="U494" i="1"/>
  <c r="X494" i="1" s="1"/>
  <c r="U291" i="1"/>
  <c r="X291" i="1" s="1"/>
  <c r="U137" i="1"/>
  <c r="X137" i="1" s="1"/>
  <c r="U285" i="1"/>
  <c r="X285" i="1" s="1"/>
  <c r="U246" i="1"/>
  <c r="X246" i="1" s="1"/>
  <c r="U289" i="1"/>
  <c r="X289" i="1" s="1"/>
  <c r="U578" i="1"/>
  <c r="X578" i="1" s="1"/>
  <c r="U342" i="1"/>
  <c r="X342" i="1" s="1"/>
  <c r="U195" i="1"/>
  <c r="X195" i="1" s="1"/>
  <c r="U107" i="1"/>
  <c r="X107" i="1" s="1"/>
  <c r="U505" i="1"/>
  <c r="X505" i="1" s="1"/>
  <c r="U152" i="1"/>
  <c r="X152" i="1" s="1"/>
  <c r="U552" i="1"/>
  <c r="X552" i="1" s="1"/>
  <c r="U239" i="1"/>
  <c r="X239" i="1" s="1"/>
  <c r="U117" i="1"/>
  <c r="X117" i="1" s="1"/>
  <c r="U519" i="1"/>
  <c r="X519" i="1" s="1"/>
  <c r="U392" i="1"/>
  <c r="X392" i="1" s="1"/>
  <c r="U249" i="1"/>
  <c r="X249" i="1" s="1"/>
  <c r="U133" i="1"/>
  <c r="X133" i="1" s="1"/>
  <c r="U618" i="1"/>
  <c r="X618" i="1" s="1"/>
  <c r="U515" i="1"/>
  <c r="X515" i="1" s="1"/>
  <c r="U189" i="1"/>
  <c r="X189" i="1" s="1"/>
  <c r="U158" i="1"/>
  <c r="X158" i="1" s="1"/>
  <c r="U526" i="1"/>
  <c r="X526" i="1" s="1"/>
  <c r="U561" i="1"/>
  <c r="X561" i="1" s="1"/>
  <c r="U270" i="1"/>
  <c r="X270" i="1" s="1"/>
  <c r="U110" i="1"/>
  <c r="X110" i="1" s="1"/>
  <c r="U288" i="1"/>
  <c r="X288" i="1" s="1"/>
  <c r="U477" i="1"/>
  <c r="X477" i="1" s="1"/>
  <c r="U545" i="1"/>
  <c r="X545" i="1" s="1"/>
  <c r="U181" i="1"/>
  <c r="X181" i="1" s="1"/>
  <c r="U134" i="1"/>
  <c r="X134" i="1" s="1"/>
  <c r="U576" i="1"/>
  <c r="X576" i="1" s="1"/>
  <c r="U344" i="1"/>
  <c r="X344" i="1" s="1"/>
  <c r="U524" i="1"/>
  <c r="X524" i="1" s="1"/>
  <c r="U513" i="1"/>
  <c r="X513" i="1" s="1"/>
  <c r="U554" i="1"/>
  <c r="X554" i="1" s="1"/>
  <c r="U478" i="1"/>
  <c r="X478" i="1" s="1"/>
  <c r="U4" i="1"/>
  <c r="X4" i="1" s="1"/>
  <c r="U465" i="1"/>
  <c r="X465" i="1" s="1"/>
  <c r="U324" i="1"/>
  <c r="X324" i="1" s="1"/>
  <c r="U118" i="1"/>
  <c r="X118" i="1" s="1"/>
  <c r="U428" i="1"/>
  <c r="X428" i="1" s="1"/>
  <c r="U337" i="1"/>
  <c r="X337" i="1" s="1"/>
  <c r="U562" i="1"/>
  <c r="X562" i="1" s="1"/>
  <c r="U80" i="1"/>
  <c r="X80" i="1" s="1"/>
  <c r="U198" i="1"/>
  <c r="X198" i="1" s="1"/>
  <c r="U518" i="1"/>
  <c r="X518" i="1" s="1"/>
  <c r="U44" i="1"/>
  <c r="X44" i="1" s="1"/>
  <c r="U327" i="1"/>
  <c r="X327" i="1" s="1"/>
  <c r="U229" i="1"/>
  <c r="X229" i="1" s="1"/>
  <c r="U32" i="1"/>
  <c r="X32" i="1" s="1"/>
  <c r="U262" i="1"/>
  <c r="X262" i="1" s="1"/>
  <c r="U395" i="1"/>
  <c r="X395" i="1" s="1"/>
  <c r="U82" i="1"/>
  <c r="X82" i="1" s="1"/>
  <c r="U237" i="1"/>
  <c r="X237" i="1" s="1"/>
  <c r="U104" i="1"/>
  <c r="X104" i="1" s="1"/>
  <c r="U555" i="1"/>
  <c r="X555" i="1" s="1"/>
  <c r="U191" i="1"/>
  <c r="X191" i="1" s="1"/>
  <c r="U471" i="1"/>
  <c r="X471" i="1" s="1"/>
  <c r="U630" i="1"/>
  <c r="X630" i="1" s="1"/>
  <c r="U166" i="1"/>
  <c r="X166" i="1" s="1"/>
  <c r="U199" i="1"/>
  <c r="X199" i="1" s="1"/>
  <c r="U539" i="1"/>
  <c r="X539" i="1" s="1"/>
  <c r="U297" i="1"/>
  <c r="X297" i="1" s="1"/>
  <c r="U354" i="1"/>
  <c r="X354" i="1" s="1"/>
  <c r="U263" i="1"/>
  <c r="X263" i="1" s="1"/>
  <c r="U139" i="1"/>
  <c r="X139" i="1" s="1"/>
  <c r="U130" i="1"/>
  <c r="X130" i="1" s="1"/>
  <c r="U138" i="1"/>
  <c r="X138" i="1" s="1"/>
  <c r="U55" i="1"/>
  <c r="X55" i="1" s="1"/>
  <c r="U423" i="1"/>
  <c r="X423" i="1" s="1"/>
  <c r="U260" i="1"/>
  <c r="X260" i="1" s="1"/>
  <c r="U355" i="1"/>
  <c r="X355" i="1" s="1"/>
  <c r="U207" i="1"/>
  <c r="X207" i="1" s="1"/>
  <c r="U362" i="1"/>
  <c r="X362" i="1" s="1"/>
  <c r="U79" i="1"/>
  <c r="X79" i="1" s="1"/>
  <c r="U219" i="1"/>
  <c r="X219" i="1" s="1"/>
  <c r="U572" i="1"/>
  <c r="X572" i="1" s="1"/>
  <c r="U26" i="1"/>
  <c r="X26" i="1" s="1"/>
  <c r="U208" i="1"/>
  <c r="X208" i="1" s="1"/>
  <c r="U131" i="1"/>
  <c r="X131" i="1" s="1"/>
  <c r="U369" i="1"/>
  <c r="X369" i="1" s="1"/>
  <c r="U432" i="1"/>
  <c r="X432" i="1" s="1"/>
  <c r="U228" i="1"/>
  <c r="X228" i="1" s="1"/>
  <c r="U613" i="1"/>
  <c r="X613" i="1" s="1"/>
  <c r="U293" i="1"/>
  <c r="X293" i="1" s="1"/>
  <c r="U440" i="1"/>
  <c r="X440" i="1" s="1"/>
  <c r="U242" i="1"/>
  <c r="X242" i="1" s="1"/>
  <c r="U345" i="1"/>
  <c r="X345" i="1" s="1"/>
  <c r="U581" i="1"/>
  <c r="X581" i="1" s="1"/>
  <c r="U120" i="1"/>
  <c r="X120" i="1" s="1"/>
  <c r="U277" i="1"/>
  <c r="X277" i="1" s="1"/>
  <c r="U102" i="1"/>
  <c r="X102" i="1" s="1"/>
  <c r="U508" i="1"/>
  <c r="X508" i="1" s="1"/>
  <c r="U330" i="1"/>
  <c r="X330" i="1" s="1"/>
  <c r="U507" i="1"/>
  <c r="X507" i="1" s="1"/>
  <c r="U176" i="1"/>
  <c r="X176" i="1" s="1"/>
  <c r="U579" i="1"/>
  <c r="X579" i="1" s="1"/>
  <c r="U224" i="1"/>
  <c r="X224" i="1" s="1"/>
  <c r="U17" i="1"/>
  <c r="X17" i="1" s="1"/>
  <c r="U52" i="1"/>
  <c r="X52" i="1" s="1"/>
  <c r="U520" i="1"/>
  <c r="X520" i="1" s="1"/>
  <c r="U314" i="1"/>
  <c r="X314" i="1" s="1"/>
  <c r="U272" i="1"/>
  <c r="X272" i="1" s="1"/>
  <c r="U584" i="1"/>
  <c r="X584" i="1" s="1"/>
  <c r="U39" i="1"/>
  <c r="X39" i="1" s="1"/>
  <c r="U468" i="1"/>
  <c r="X468" i="1" s="1"/>
  <c r="U485" i="1"/>
  <c r="X485" i="1" s="1"/>
  <c r="U481" i="1"/>
  <c r="X481" i="1" s="1"/>
  <c r="U609" i="1"/>
  <c r="X609" i="1" s="1"/>
  <c r="U597" i="1"/>
  <c r="X597" i="1" s="1"/>
  <c r="U111" i="1"/>
  <c r="X111" i="1" s="1"/>
  <c r="U358" i="1"/>
  <c r="X358" i="1" s="1"/>
  <c r="U93" i="1"/>
  <c r="X93" i="1" s="1"/>
  <c r="U546" i="1"/>
  <c r="X546" i="1" s="1"/>
  <c r="U310" i="1"/>
  <c r="X310" i="1" s="1"/>
  <c r="U177" i="1"/>
  <c r="X177" i="1" s="1"/>
  <c r="U194" i="1"/>
  <c r="X194" i="1" s="1"/>
  <c r="U570" i="1"/>
  <c r="X570" i="1" s="1"/>
  <c r="U370" i="1"/>
  <c r="X370" i="1" s="1"/>
  <c r="U183" i="1"/>
  <c r="X183" i="1" s="1"/>
  <c r="U278" i="1"/>
  <c r="X278" i="1" s="1"/>
  <c r="U98" i="1"/>
  <c r="X98" i="1" s="1"/>
  <c r="U559" i="1"/>
  <c r="X559" i="1" s="1"/>
  <c r="U616" i="1"/>
  <c r="X616" i="1" s="1"/>
  <c r="U451" i="1"/>
  <c r="X451" i="1" s="1"/>
  <c r="U631" i="1"/>
  <c r="X631" i="1" s="1"/>
  <c r="U390" i="1"/>
  <c r="X390" i="1" s="1"/>
  <c r="U527" i="1"/>
  <c r="X527" i="1" s="1"/>
  <c r="U372" i="1"/>
  <c r="X372" i="1" s="1"/>
  <c r="U430" i="1"/>
  <c r="X430" i="1" s="1"/>
  <c r="U360" i="1"/>
  <c r="X360" i="1" s="1"/>
  <c r="U474" i="1"/>
  <c r="X474" i="1" s="1"/>
  <c r="U37" i="1"/>
  <c r="X37" i="1" s="1"/>
  <c r="U456" i="1"/>
  <c r="X456" i="1" s="1"/>
  <c r="U495" i="1"/>
  <c r="X495" i="1" s="1"/>
  <c r="U500" i="1"/>
  <c r="X500" i="1" s="1"/>
  <c r="U214" i="1"/>
  <c r="X214" i="1" s="1"/>
  <c r="U384" i="1"/>
  <c r="X384" i="1" s="1"/>
  <c r="U316" i="1"/>
  <c r="X316" i="1" s="1"/>
  <c r="U42" i="1"/>
  <c r="X42" i="1" s="1"/>
  <c r="U160" i="1"/>
  <c r="X160" i="1" s="1"/>
  <c r="U334" i="1"/>
  <c r="X334" i="1" s="1"/>
  <c r="U163" i="1"/>
  <c r="X163" i="1" s="1"/>
  <c r="U443" i="1"/>
  <c r="X443" i="1" s="1"/>
  <c r="U565" i="1"/>
  <c r="X565" i="1" s="1"/>
  <c r="U506" i="1"/>
  <c r="X506" i="1" s="1"/>
  <c r="U241" i="1"/>
  <c r="X241" i="1" s="1"/>
  <c r="U186" i="1"/>
  <c r="X186" i="1" s="1"/>
  <c r="U496" i="1"/>
  <c r="X496" i="1" s="1"/>
  <c r="U585" i="1"/>
  <c r="X585" i="1" s="1"/>
  <c r="U633" i="1"/>
  <c r="X633" i="1" s="1"/>
  <c r="U264" i="1"/>
  <c r="X264" i="1" s="1"/>
  <c r="U267" i="1"/>
  <c r="X267" i="1" s="1"/>
  <c r="U619" i="1"/>
  <c r="X619" i="1" s="1"/>
  <c r="U376" i="1"/>
  <c r="X376" i="1" s="1"/>
  <c r="U266" i="1"/>
  <c r="X266" i="1" s="1"/>
  <c r="U544" i="1"/>
  <c r="X544" i="1" s="1"/>
  <c r="U425" i="1"/>
  <c r="X425" i="1" s="1"/>
  <c r="U464" i="1"/>
  <c r="X464" i="1" s="1"/>
  <c r="U190" i="1"/>
  <c r="X190" i="1" s="1"/>
  <c r="U450" i="1"/>
  <c r="X450" i="1" s="1"/>
  <c r="U393" i="1"/>
  <c r="X393" i="1" s="1"/>
  <c r="U188" i="1"/>
  <c r="X188" i="1" s="1"/>
  <c r="U459" i="1"/>
  <c r="X459" i="1" s="1"/>
  <c r="U69" i="1"/>
  <c r="X69" i="1" s="1"/>
  <c r="U227" i="1"/>
  <c r="X227" i="1" s="1"/>
  <c r="U24" i="1"/>
  <c r="X24" i="1" s="1"/>
  <c r="U89" i="1"/>
  <c r="X89" i="1" s="1"/>
  <c r="U287" i="1"/>
  <c r="X287" i="1" s="1"/>
  <c r="U173" i="1"/>
  <c r="X173" i="1" s="1"/>
  <c r="U379" i="1"/>
  <c r="X379" i="1" s="1"/>
  <c r="U403" i="1"/>
  <c r="X403" i="1" s="1"/>
  <c r="U105" i="1"/>
  <c r="X105" i="1" s="1"/>
  <c r="U223" i="1"/>
  <c r="X223" i="1" s="1"/>
  <c r="U516" i="1"/>
  <c r="X516" i="1" s="1"/>
  <c r="U331" i="1"/>
  <c r="X331" i="1" s="1"/>
  <c r="U340" i="1"/>
  <c r="X340" i="1" s="1"/>
  <c r="U136" i="1"/>
  <c r="X136" i="1" s="1"/>
  <c r="U8" i="1"/>
  <c r="X8" i="1" s="1"/>
  <c r="U306" i="1"/>
  <c r="X306" i="1" s="1"/>
  <c r="U568" i="1"/>
  <c r="X568" i="1" s="1"/>
  <c r="U96" i="1"/>
  <c r="X96" i="1" s="1"/>
  <c r="U463" i="1"/>
  <c r="X463" i="1" s="1"/>
  <c r="U210" i="1"/>
  <c r="X210" i="1" s="1"/>
  <c r="U75" i="1"/>
  <c r="X75" i="1" s="1"/>
  <c r="U206" i="1"/>
  <c r="X206" i="1" s="1"/>
  <c r="U309" i="1"/>
  <c r="X309" i="1" s="1"/>
  <c r="U128" i="1"/>
  <c r="X128" i="1" s="1"/>
  <c r="U90" i="1"/>
  <c r="X90" i="1" s="1"/>
  <c r="U276" i="1"/>
  <c r="X276" i="1" s="1"/>
  <c r="U525" i="1"/>
  <c r="X525" i="1" s="1"/>
  <c r="U600" i="1"/>
  <c r="X600" i="1" s="1"/>
  <c r="U439" i="1"/>
  <c r="X439" i="1" s="1"/>
  <c r="U346" i="1"/>
  <c r="X346" i="1" s="1"/>
  <c r="U215" i="1"/>
  <c r="X215" i="1" s="1"/>
  <c r="U563" i="1"/>
  <c r="X563" i="1" s="1"/>
  <c r="U509" i="1"/>
  <c r="X509" i="1" s="1"/>
  <c r="U88" i="1"/>
  <c r="X88" i="1" s="1"/>
  <c r="U164" i="1"/>
  <c r="X164" i="1" s="1"/>
  <c r="U586" i="1"/>
  <c r="X586" i="1" s="1"/>
  <c r="U255" i="1"/>
  <c r="X255" i="1" s="1"/>
  <c r="U612" i="1"/>
  <c r="X612" i="1" s="1"/>
  <c r="U95" i="1"/>
  <c r="X95" i="1" s="1"/>
  <c r="U311" i="1"/>
  <c r="X311" i="1" s="1"/>
  <c r="U41" i="1"/>
  <c r="X41" i="1" s="1"/>
  <c r="U132" i="1"/>
  <c r="X132" i="1" s="1"/>
  <c r="U60" i="1"/>
  <c r="X60" i="1" s="1"/>
  <c r="U230" i="1"/>
  <c r="X230" i="1" s="1"/>
  <c r="U388" i="1"/>
  <c r="X388" i="1" s="1"/>
  <c r="U620" i="1"/>
  <c r="X620" i="1" s="1"/>
  <c r="U542" i="1"/>
  <c r="X542" i="1" s="1"/>
  <c r="U149" i="1"/>
  <c r="X149" i="1" s="1"/>
  <c r="U448" i="1"/>
  <c r="X448" i="1" s="1"/>
  <c r="U192" i="1"/>
  <c r="X192" i="1" s="1"/>
  <c r="U436" i="1"/>
  <c r="X436" i="1" s="1"/>
  <c r="U312" i="1"/>
  <c r="X312" i="1" s="1"/>
  <c r="U549" i="1"/>
  <c r="X549" i="1" s="1"/>
  <c r="U302" i="1"/>
  <c r="X302" i="1" s="1"/>
  <c r="U377" i="1"/>
  <c r="X377" i="1" s="1"/>
  <c r="U598" i="1"/>
  <c r="X598" i="1" s="1"/>
  <c r="U269" i="1"/>
  <c r="X269" i="1" s="1"/>
  <c r="U325" i="1"/>
  <c r="X325" i="1" s="1"/>
  <c r="U367" i="1"/>
  <c r="X367" i="1" s="1"/>
  <c r="U112" i="1"/>
  <c r="X112" i="1" s="1"/>
  <c r="U396" i="1"/>
  <c r="X396" i="1" s="1"/>
  <c r="U193" i="1"/>
  <c r="X193" i="1" s="1"/>
  <c r="U625" i="1"/>
  <c r="X625" i="1" s="1"/>
  <c r="U76" i="1"/>
  <c r="X76" i="1" s="1"/>
  <c r="U304" i="1"/>
  <c r="X304" i="1" s="1"/>
  <c r="U27" i="1"/>
  <c r="X27" i="1" s="1"/>
  <c r="U510" i="1"/>
  <c r="X510" i="1" s="1"/>
  <c r="U501" i="1"/>
  <c r="X501" i="1" s="1"/>
  <c r="U295" i="1"/>
  <c r="X295" i="1" s="1"/>
  <c r="U540" i="1"/>
  <c r="X540" i="1" s="1"/>
  <c r="U419" i="1"/>
  <c r="X419" i="1" s="1"/>
  <c r="U56" i="1"/>
  <c r="X56" i="1" s="1"/>
  <c r="U435" i="1"/>
  <c r="X435" i="1" s="1"/>
  <c r="U84" i="1"/>
  <c r="X84" i="1" s="1"/>
  <c r="U271" i="1"/>
  <c r="X271" i="1" s="1"/>
  <c r="U409" i="1"/>
  <c r="X409" i="1" s="1"/>
  <c r="U99" i="1"/>
  <c r="X99" i="1" s="1"/>
  <c r="U467" i="1"/>
  <c r="X467" i="1" s="1"/>
  <c r="U606" i="1"/>
  <c r="X606" i="1" s="1"/>
  <c r="U178" i="1"/>
  <c r="X178" i="1" s="1"/>
  <c r="U553" i="1"/>
  <c r="X553" i="1" s="1"/>
  <c r="U307" i="1"/>
  <c r="X307" i="1" s="1"/>
  <c r="U73" i="1"/>
  <c r="X73" i="1" s="1"/>
  <c r="U352" i="1"/>
  <c r="X352" i="1" s="1"/>
  <c r="U85" i="1"/>
  <c r="X85" i="1" s="1"/>
  <c r="U353" i="1"/>
  <c r="X353" i="1" s="1"/>
  <c r="U303" i="1"/>
  <c r="X303" i="1" s="1"/>
  <c r="U240" i="1"/>
  <c r="X240" i="1" s="1"/>
  <c r="U299" i="1"/>
  <c r="X299" i="1" s="1"/>
  <c r="U486" i="1"/>
  <c r="X486" i="1" s="1"/>
  <c r="U5" i="1"/>
  <c r="X5" i="1" s="1"/>
  <c r="U333" i="1"/>
  <c r="X333" i="1" s="1"/>
  <c r="U159" i="1"/>
  <c r="X159" i="1" s="1"/>
  <c r="U247" i="1"/>
  <c r="X247" i="1" s="1"/>
  <c r="U503" i="1"/>
  <c r="X503" i="1" s="1"/>
  <c r="U535" i="1"/>
  <c r="X535" i="1" s="1"/>
  <c r="U153" i="1"/>
  <c r="X153" i="1" s="1"/>
  <c r="U580" i="1"/>
  <c r="X580" i="1" s="1"/>
  <c r="U470" i="1"/>
  <c r="X470" i="1" s="1"/>
  <c r="U121" i="1"/>
  <c r="X121" i="1" s="1"/>
  <c r="U374" i="1"/>
  <c r="X374" i="1" s="1"/>
  <c r="U126" i="1"/>
  <c r="X126" i="1" s="1"/>
  <c r="U225" i="1"/>
  <c r="X225" i="1" s="1"/>
  <c r="U12" i="1"/>
  <c r="X12" i="1" s="1"/>
  <c r="U127" i="1"/>
  <c r="X127" i="1" s="1"/>
  <c r="U336" i="1"/>
  <c r="X336" i="1" s="1"/>
  <c r="U20" i="1"/>
  <c r="X20" i="1" s="1"/>
  <c r="U122" i="1"/>
  <c r="X122" i="1" s="1"/>
  <c r="U614" i="1"/>
  <c r="X614" i="1" s="1"/>
  <c r="U273" i="1"/>
  <c r="X273" i="1" s="1"/>
  <c r="U167" i="1"/>
  <c r="X167" i="1" s="1"/>
  <c r="U33" i="1"/>
  <c r="X33" i="1" s="1"/>
  <c r="U356" i="1"/>
  <c r="X356" i="1" s="1"/>
  <c r="U447" i="1"/>
  <c r="X447" i="1" s="1"/>
  <c r="U607" i="1"/>
  <c r="X607" i="1" s="1"/>
  <c r="U35" i="1"/>
  <c r="X35" i="1" s="1"/>
  <c r="U492" i="1"/>
  <c r="X492" i="1" s="1"/>
  <c r="U490" i="1"/>
  <c r="X490" i="1" s="1"/>
  <c r="U385" i="1"/>
  <c r="X385" i="1" s="1"/>
  <c r="U83" i="1"/>
  <c r="X83" i="1" s="1"/>
  <c r="U548" i="1"/>
  <c r="X548" i="1" s="1"/>
  <c r="U282" i="1"/>
  <c r="X282" i="1" s="1"/>
  <c r="U317" i="1"/>
  <c r="X317" i="1" s="1"/>
  <c r="U232" i="1"/>
  <c r="X232" i="1" s="1"/>
  <c r="U421" i="1"/>
  <c r="X421" i="1" s="1"/>
  <c r="U444" i="1"/>
  <c r="X444" i="1" s="1"/>
  <c r="U57" i="1"/>
  <c r="X57" i="1" s="1"/>
  <c r="U484" i="1"/>
  <c r="X484" i="1" s="1"/>
  <c r="U245" i="1"/>
  <c r="X245" i="1" s="1"/>
  <c r="U256" i="1"/>
  <c r="X256" i="1" s="1"/>
  <c r="U582" i="1"/>
  <c r="X582" i="1" s="1"/>
  <c r="U429" i="1"/>
  <c r="X429" i="1" s="1"/>
  <c r="U265" i="1"/>
  <c r="X265" i="1" s="1"/>
  <c r="U528" i="1"/>
  <c r="X528" i="1" s="1"/>
  <c r="U100" i="1"/>
  <c r="X100" i="1" s="1"/>
  <c r="U511" i="1"/>
  <c r="X511" i="1" s="1"/>
  <c r="U231" i="1"/>
  <c r="X231" i="1" s="1"/>
  <c r="U217" i="1"/>
  <c r="X217" i="1" s="1"/>
  <c r="U72" i="1"/>
  <c r="X72" i="1" s="1"/>
  <c r="U604" i="1"/>
  <c r="X604" i="1" s="1"/>
  <c r="U143" i="1"/>
  <c r="X143" i="1" s="1"/>
  <c r="U108" i="1"/>
  <c r="X108" i="1" s="1"/>
  <c r="U434" i="1"/>
  <c r="X434" i="1" s="1"/>
  <c r="U588" i="1"/>
  <c r="X588" i="1" s="1"/>
  <c r="U101" i="1"/>
  <c r="X101" i="1" s="1"/>
  <c r="U15" i="1"/>
  <c r="X15" i="1" s="1"/>
  <c r="U391" i="1"/>
  <c r="X391" i="1" s="1"/>
  <c r="U366" i="1"/>
  <c r="X366" i="1" s="1"/>
  <c r="U532" i="1"/>
  <c r="X532" i="1" s="1"/>
  <c r="U77" i="1"/>
  <c r="X77" i="1" s="1"/>
  <c r="U283" i="1"/>
  <c r="X283" i="1" s="1"/>
  <c r="U343" i="1"/>
  <c r="X343" i="1" s="1"/>
  <c r="U491" i="1"/>
  <c r="X491" i="1" s="1"/>
  <c r="U49" i="1"/>
  <c r="X49" i="1" s="1"/>
  <c r="U621" i="1"/>
  <c r="X621" i="1" s="1"/>
  <c r="U29" i="1"/>
  <c r="X29" i="1" s="1"/>
  <c r="U365" i="1"/>
  <c r="X365" i="1" s="1"/>
  <c r="U571" i="1"/>
  <c r="X571" i="1" s="1"/>
  <c r="U351" i="1"/>
  <c r="X351" i="1" s="1"/>
  <c r="U493" i="1"/>
  <c r="X493" i="1" s="1"/>
  <c r="U3" i="1"/>
  <c r="X3" i="1" s="1"/>
  <c r="U502" i="1"/>
  <c r="X502" i="1" s="1"/>
  <c r="U375" i="1"/>
  <c r="X375" i="1" s="1"/>
  <c r="U279" i="1"/>
  <c r="X279" i="1" s="1"/>
  <c r="U378" i="1"/>
  <c r="X378" i="1" s="1"/>
  <c r="U611" i="1"/>
  <c r="X611" i="1" s="1"/>
  <c r="U551" i="1"/>
  <c r="X551" i="1" s="1"/>
  <c r="U53" i="1"/>
  <c r="X53" i="1" s="1"/>
  <c r="U170" i="1"/>
  <c r="X170" i="1" s="1"/>
  <c r="U70" i="1"/>
  <c r="X70" i="1" s="1"/>
  <c r="U574" i="1"/>
  <c r="X574" i="1" s="1"/>
  <c r="U441" i="1"/>
  <c r="X441" i="1" s="1"/>
  <c r="U250" i="1"/>
  <c r="X250" i="1" s="1"/>
  <c r="U61" i="1"/>
  <c r="X61" i="1" s="1"/>
  <c r="U252" i="1"/>
  <c r="X252" i="1" s="1"/>
  <c r="U415" i="1"/>
  <c r="X415" i="1" s="1"/>
  <c r="U347" i="1"/>
  <c r="X347" i="1" s="1"/>
  <c r="U142" i="1"/>
  <c r="X142" i="1" s="1"/>
  <c r="U504" i="1"/>
  <c r="X504" i="1" s="1"/>
  <c r="U184" i="1"/>
  <c r="X184" i="1" s="1"/>
  <c r="U455" i="1"/>
  <c r="X455" i="1" s="1"/>
  <c r="U589" i="1"/>
  <c r="X589" i="1" s="1"/>
  <c r="U411" i="1"/>
  <c r="X411" i="1" s="1"/>
  <c r="U168" i="1"/>
  <c r="X168" i="1" s="1"/>
  <c r="U533" i="1"/>
  <c r="X533" i="1" s="1"/>
  <c r="U363" i="1"/>
  <c r="X363" i="1" s="1"/>
  <c r="U593" i="1"/>
  <c r="X593" i="1" s="1"/>
  <c r="U145" i="1"/>
  <c r="X145" i="1" s="1"/>
  <c r="U201" i="1"/>
  <c r="X201" i="1" s="1"/>
  <c r="U221" i="1"/>
  <c r="X221" i="1" s="1"/>
  <c r="U146" i="1"/>
  <c r="X146" i="1" s="1"/>
  <c r="U115" i="1"/>
  <c r="X115" i="1" s="1"/>
  <c r="U213" i="1"/>
  <c r="X213" i="1" s="1"/>
  <c r="U202" i="1"/>
  <c r="X202" i="1" s="1"/>
  <c r="U497" i="1"/>
  <c r="X497" i="1" s="1"/>
  <c r="U281" i="1"/>
  <c r="X281" i="1" s="1"/>
  <c r="I3" i="1" l="1"/>
  <c r="AP2" i="1"/>
  <c r="U12" i="11" s="1"/>
  <c r="Z410" i="1"/>
  <c r="Z338" i="1"/>
  <c r="Z30" i="1"/>
  <c r="Z337" i="1"/>
  <c r="AA337" i="1" s="1"/>
  <c r="Z65" i="1"/>
  <c r="AA65" i="1" s="1"/>
  <c r="Z212" i="1"/>
  <c r="AA212" i="1" s="1"/>
  <c r="Z611" i="1"/>
  <c r="AA611" i="1" s="1"/>
  <c r="Z366" i="1"/>
  <c r="AA366" i="1" s="1"/>
  <c r="Z92" i="1"/>
  <c r="AA92" i="1" s="1"/>
  <c r="Z564" i="1"/>
  <c r="AA564" i="1" s="1"/>
  <c r="Z319" i="1"/>
  <c r="AA319" i="1" s="1"/>
  <c r="Z455" i="1"/>
  <c r="AA455" i="1" s="1"/>
  <c r="Z153" i="1"/>
  <c r="AA153" i="1" s="1"/>
  <c r="Z198" i="1"/>
  <c r="AA198" i="1" s="1"/>
  <c r="Z113" i="1"/>
  <c r="AA113" i="1" s="1"/>
  <c r="Z350" i="1"/>
  <c r="AA350" i="1" s="1"/>
  <c r="Z184" i="1"/>
  <c r="AA184" i="1" s="1"/>
  <c r="Z83" i="1"/>
  <c r="AA83" i="1" s="1"/>
  <c r="Z535" i="1"/>
  <c r="AA535" i="1" s="1"/>
  <c r="Z264" i="1"/>
  <c r="AA264" i="1" s="1"/>
  <c r="Z138" i="1"/>
  <c r="AA138" i="1" s="1"/>
  <c r="Z80" i="1"/>
  <c r="AA80" i="1" s="1"/>
  <c r="Z387" i="1"/>
  <c r="AA387" i="1" s="1"/>
  <c r="Z397" i="1"/>
  <c r="AA397" i="1" s="1"/>
  <c r="Z479" i="1"/>
  <c r="AA479" i="1" s="1"/>
  <c r="Z582" i="1"/>
  <c r="AA582" i="1" s="1"/>
  <c r="Z503" i="1"/>
  <c r="AA503" i="1" s="1"/>
  <c r="Z164" i="1"/>
  <c r="AA164" i="1" s="1"/>
  <c r="Z130" i="1"/>
  <c r="AA130" i="1" s="1"/>
  <c r="Z562" i="1"/>
  <c r="AA562" i="1" s="1"/>
  <c r="Z537" i="1"/>
  <c r="AA537" i="1" s="1"/>
  <c r="Z476" i="1"/>
  <c r="AA476" i="1" s="1"/>
  <c r="Z31" i="1"/>
  <c r="AA31" i="1" s="1"/>
  <c r="Z256" i="1"/>
  <c r="AA256" i="1" s="1"/>
  <c r="Z88" i="1"/>
  <c r="AA88" i="1" s="1"/>
  <c r="Z384" i="1"/>
  <c r="AA384" i="1" s="1"/>
  <c r="Z442" i="1"/>
  <c r="AA442" i="1" s="1"/>
  <c r="Z626" i="1"/>
  <c r="AA626" i="1" s="1"/>
  <c r="Z265" i="1"/>
  <c r="AA265" i="1" s="1"/>
  <c r="Z435" i="1"/>
  <c r="Z255" i="1"/>
  <c r="Z372" i="1"/>
  <c r="AA372" i="1" s="1"/>
  <c r="Z158" i="1"/>
  <c r="AA158" i="1" s="1"/>
  <c r="Z595" i="1"/>
  <c r="AA595" i="1" s="1"/>
  <c r="Z238" i="1"/>
  <c r="AA238" i="1" s="1"/>
  <c r="Z115" i="1"/>
  <c r="AA115" i="1" s="1"/>
  <c r="Z588" i="1"/>
  <c r="AA588" i="1" s="1"/>
  <c r="Z429" i="1"/>
  <c r="AA429" i="1" s="1"/>
  <c r="Z352" i="1"/>
  <c r="AA352" i="1" s="1"/>
  <c r="Z586" i="1"/>
  <c r="AA586" i="1" s="1"/>
  <c r="Z331" i="1"/>
  <c r="AA331" i="1" s="1"/>
  <c r="Z157" i="1"/>
  <c r="AA157" i="1" s="1"/>
  <c r="Z504" i="1"/>
  <c r="AA504" i="1" s="1"/>
  <c r="Z516" i="1"/>
  <c r="Z427" i="1"/>
  <c r="AA427" i="1" s="1"/>
  <c r="Z490" i="1"/>
  <c r="AA490" i="1" s="1"/>
  <c r="Z540" i="1"/>
  <c r="AA540" i="1" s="1"/>
  <c r="Z585" i="1"/>
  <c r="AA585" i="1" s="1"/>
  <c r="Z120" i="1"/>
  <c r="AA120" i="1" s="1"/>
  <c r="Z301" i="1"/>
  <c r="AA301" i="1" s="1"/>
  <c r="Z295" i="1"/>
  <c r="AA295" i="1" s="1"/>
  <c r="Z11" i="1"/>
  <c r="AA11" i="1" s="1"/>
  <c r="Z408" i="1"/>
  <c r="AA408" i="1" s="1"/>
  <c r="Z444" i="1"/>
  <c r="AA444" i="1" s="1"/>
  <c r="Z126" i="1"/>
  <c r="AA126" i="1" s="1"/>
  <c r="Z98" i="1"/>
  <c r="AA98" i="1" s="1"/>
  <c r="Z288" i="1"/>
  <c r="AA288" i="1" s="1"/>
  <c r="Z141" i="1"/>
  <c r="AA141" i="1" s="1"/>
  <c r="Z196" i="1"/>
  <c r="AA196" i="1" s="1"/>
  <c r="Z103" i="1"/>
  <c r="AA103" i="1" s="1"/>
  <c r="Z579" i="1"/>
  <c r="AA579" i="1" s="1"/>
  <c r="Z110" i="1"/>
  <c r="AA110" i="1" s="1"/>
  <c r="Z261" i="1"/>
  <c r="AA261" i="1" s="1"/>
  <c r="Z10" i="1"/>
  <c r="AA10" i="1" s="1"/>
  <c r="Z176" i="1"/>
  <c r="AA176" i="1" s="1"/>
  <c r="Z327" i="1"/>
  <c r="AA327" i="1" s="1"/>
  <c r="Z154" i="1"/>
  <c r="AA154" i="1" s="1"/>
  <c r="Z308" i="1"/>
  <c r="AA308" i="1" s="1"/>
  <c r="Z560" i="1"/>
  <c r="AA560" i="1" s="1"/>
  <c r="AA516" i="1"/>
  <c r="Z35" i="1"/>
  <c r="AA35" i="1" s="1"/>
  <c r="Z501" i="1"/>
  <c r="AA501" i="1" s="1"/>
  <c r="Z598" i="1"/>
  <c r="AA598" i="1" s="1"/>
  <c r="Z210" i="1"/>
  <c r="AA210" i="1" s="1"/>
  <c r="Z500" i="1"/>
  <c r="AA500" i="1" s="1"/>
  <c r="Z358" i="1"/>
  <c r="AA358" i="1" s="1"/>
  <c r="Z219" i="1"/>
  <c r="AA219" i="1" s="1"/>
  <c r="Z531" i="1"/>
  <c r="AA531" i="1" s="1"/>
  <c r="Z182" i="1"/>
  <c r="AA182" i="1" s="1"/>
  <c r="Z311" i="1"/>
  <c r="AA311" i="1" s="1"/>
  <c r="Z262" i="1"/>
  <c r="AA262" i="1" s="1"/>
  <c r="Z36" i="1"/>
  <c r="AA36" i="1" s="1"/>
  <c r="Z148" i="1"/>
  <c r="AA148" i="1" s="1"/>
  <c r="Z77" i="1"/>
  <c r="AA77" i="1" s="1"/>
  <c r="Z447" i="1"/>
  <c r="AA447" i="1" s="1"/>
  <c r="Z506" i="1"/>
  <c r="AA506" i="1" s="1"/>
  <c r="Z224" i="1"/>
  <c r="AA224" i="1" s="1"/>
  <c r="Z362" i="1"/>
  <c r="AA362" i="1" s="1"/>
  <c r="Z488" i="1"/>
  <c r="AA488" i="1" s="1"/>
  <c r="Z248" i="1"/>
  <c r="AA248" i="1" s="1"/>
  <c r="Z532" i="1"/>
  <c r="AA532" i="1" s="1"/>
  <c r="Z421" i="1"/>
  <c r="AA421" i="1" s="1"/>
  <c r="Z216" i="1"/>
  <c r="AA216" i="1" s="1"/>
  <c r="Z462" i="1"/>
  <c r="AA462" i="1" s="1"/>
  <c r="Z441" i="1"/>
  <c r="AA441" i="1" s="1"/>
  <c r="Z74" i="1"/>
  <c r="AA74" i="1" s="1"/>
  <c r="Z321" i="1"/>
  <c r="AA321" i="1" s="1"/>
  <c r="Z25" i="1"/>
  <c r="AA25" i="1" s="1"/>
  <c r="Z7" i="1"/>
  <c r="AA7" i="1" s="1"/>
  <c r="Z43" i="1"/>
  <c r="AA43" i="1" s="1"/>
  <c r="Z420" i="1"/>
  <c r="AA420" i="1" s="1"/>
  <c r="Z378" i="1"/>
  <c r="AA378" i="1" s="1"/>
  <c r="Z245" i="1"/>
  <c r="AA245" i="1" s="1"/>
  <c r="Z509" i="1"/>
  <c r="AA509" i="1" s="1"/>
  <c r="Z214" i="1"/>
  <c r="AA214" i="1" s="1"/>
  <c r="Z428" i="1"/>
  <c r="AA428" i="1" s="1"/>
  <c r="Z364" i="1"/>
  <c r="AA364" i="1" s="1"/>
  <c r="Z329" i="1"/>
  <c r="AA329" i="1" s="1"/>
  <c r="Z577" i="1"/>
  <c r="AA577" i="1" s="1"/>
  <c r="Z76" i="1"/>
  <c r="AA76" i="1" s="1"/>
  <c r="Z239" i="1"/>
  <c r="AA239" i="1" s="1"/>
  <c r="Z162" i="1"/>
  <c r="AA162" i="1" s="1"/>
  <c r="Z173" i="1"/>
  <c r="AA173" i="1" s="1"/>
  <c r="Z456" i="1"/>
  <c r="AA456" i="1" s="1"/>
  <c r="Z62" i="1"/>
  <c r="AA62" i="1" s="1"/>
  <c r="Z627" i="1"/>
  <c r="AA627" i="1" s="1"/>
  <c r="Z454" i="1"/>
  <c r="AA454" i="1" s="1"/>
  <c r="Z343" i="1"/>
  <c r="AA343" i="1" s="1"/>
  <c r="Z322" i="1"/>
  <c r="AA322" i="1" s="1"/>
  <c r="Z27" i="1"/>
  <c r="AA27" i="1" s="1"/>
  <c r="Z22" i="1"/>
  <c r="AA22" i="1" s="1"/>
  <c r="Z279" i="1"/>
  <c r="AA279" i="1" s="1"/>
  <c r="Z502" i="1"/>
  <c r="AA502" i="1" s="1"/>
  <c r="Z566" i="1"/>
  <c r="AA566" i="1" s="1"/>
  <c r="Z406" i="1"/>
  <c r="AA406" i="1" s="1"/>
  <c r="Z75" i="1"/>
  <c r="AA75" i="1" s="1"/>
  <c r="Z550" i="1"/>
  <c r="AA550" i="1" s="1"/>
  <c r="Z205" i="1"/>
  <c r="AA205" i="1" s="1"/>
  <c r="Z469" i="1"/>
  <c r="AA469" i="1" s="1"/>
  <c r="Z349" i="1"/>
  <c r="AA349" i="1" s="1"/>
  <c r="AA435" i="1"/>
  <c r="Z411" i="1"/>
  <c r="AA411" i="1" s="1"/>
  <c r="Z100" i="1"/>
  <c r="AA100" i="1" s="1"/>
  <c r="Z303" i="1"/>
  <c r="AA303" i="1" s="1"/>
  <c r="Z95" i="1"/>
  <c r="AA95" i="1" s="1"/>
  <c r="Z376" i="1"/>
  <c r="AA376" i="1" s="1"/>
  <c r="Z485" i="1"/>
  <c r="AA485" i="1" s="1"/>
  <c r="Z260" i="1"/>
  <c r="AA260" i="1" s="1"/>
  <c r="Z554" i="1"/>
  <c r="AA554" i="1" s="1"/>
  <c r="Z185" i="1"/>
  <c r="AA185" i="1"/>
  <c r="Z590" i="1"/>
  <c r="AA590" i="1" s="1"/>
  <c r="Z45" i="1"/>
  <c r="AA45" i="1" s="1"/>
  <c r="Z446" i="1"/>
  <c r="AA446" i="1" s="1"/>
  <c r="Z589" i="1"/>
  <c r="AA589" i="1" s="1"/>
  <c r="Z528" i="1"/>
  <c r="AA528" i="1" s="1"/>
  <c r="Z353" i="1"/>
  <c r="AA353" i="1" s="1"/>
  <c r="Z612" i="1"/>
  <c r="AA612" i="1" s="1"/>
  <c r="Z619" i="1"/>
  <c r="AA619" i="1" s="1"/>
  <c r="Z468" i="1"/>
  <c r="AA468" i="1" s="1"/>
  <c r="Z471" i="1"/>
  <c r="AA471" i="1" s="1"/>
  <c r="Z152" i="1"/>
  <c r="AA152" i="1" s="1"/>
  <c r="Z40" i="1"/>
  <c r="AA40" i="1"/>
  <c r="Z16" i="1"/>
  <c r="AA16" i="1" s="1"/>
  <c r="Z437" i="1"/>
  <c r="AA437" i="1" s="1"/>
  <c r="Z541" i="1"/>
  <c r="AA541" i="1" s="1"/>
  <c r="Z244" i="1"/>
  <c r="AA244" i="1" s="1"/>
  <c r="Z21" i="1"/>
  <c r="AA21" i="1" s="1"/>
  <c r="Z449" i="1"/>
  <c r="AA449" i="1" s="1"/>
  <c r="Z351" i="1"/>
  <c r="AA351" i="1" s="1"/>
  <c r="Z167" i="1"/>
  <c r="AA167" i="1" s="1"/>
  <c r="Z625" i="1"/>
  <c r="AA625" i="1" s="1"/>
  <c r="Z525" i="1"/>
  <c r="AA525" i="1" s="1"/>
  <c r="Z163" i="1"/>
  <c r="AA163" i="1" s="1"/>
  <c r="Z507" i="1"/>
  <c r="AA507" i="1" s="1"/>
  <c r="Z44" i="1"/>
  <c r="AA44" i="1" s="1"/>
  <c r="Z494" i="1"/>
  <c r="AA494" i="1" s="1"/>
  <c r="Z591" i="1"/>
  <c r="AA591" i="1" s="1"/>
  <c r="Z529" i="1"/>
  <c r="AA529" i="1" s="1"/>
  <c r="Z605" i="1"/>
  <c r="AA605" i="1" s="1"/>
  <c r="Z202" i="1"/>
  <c r="AA202" i="1" s="1"/>
  <c r="Z15" i="1"/>
  <c r="AA15" i="1" s="1"/>
  <c r="Z580" i="1"/>
  <c r="AA580" i="1" s="1"/>
  <c r="Z192" i="1"/>
  <c r="AA192" i="1" s="1"/>
  <c r="Z227" i="1"/>
  <c r="AA227" i="1" s="1"/>
  <c r="Z570" i="1"/>
  <c r="AA570" i="1" s="1"/>
  <c r="Z423" i="1"/>
  <c r="AA423" i="1" s="1"/>
  <c r="Z526" i="1"/>
  <c r="AA526" i="1" s="1"/>
  <c r="Z259" i="1"/>
  <c r="AA259" i="1" s="1"/>
  <c r="Z323" i="1"/>
  <c r="AA323" i="1" s="1"/>
  <c r="Z335" i="1"/>
  <c r="AA335" i="1" s="1"/>
  <c r="Z106" i="1"/>
  <c r="AA106" i="1" s="1"/>
  <c r="Z594" i="1"/>
  <c r="AA594" i="1" s="1"/>
  <c r="Z608" i="1"/>
  <c r="AA608" i="1" s="1"/>
  <c r="Z426" i="1"/>
  <c r="AA426" i="1" s="1"/>
  <c r="Z71" i="1"/>
  <c r="AA71" i="1" s="1"/>
  <c r="Z574" i="1"/>
  <c r="AA574" i="1" s="1"/>
  <c r="Z317" i="1"/>
  <c r="AA317" i="1" s="1"/>
  <c r="Z271" i="1"/>
  <c r="AA271" i="1" s="1"/>
  <c r="Z8" i="1"/>
  <c r="AA8" i="1" s="1"/>
  <c r="Z370" i="1"/>
  <c r="AA370" i="1" s="1"/>
  <c r="Z630" i="1"/>
  <c r="AA630" i="1" s="1"/>
  <c r="Z552" i="1"/>
  <c r="AA552" i="1" s="1"/>
  <c r="Z235" i="1"/>
  <c r="AA235" i="1" s="1"/>
  <c r="Z14" i="1"/>
  <c r="AA14" i="1" s="1"/>
  <c r="Z258" i="1"/>
  <c r="AA258" i="1" s="1"/>
  <c r="Z571" i="1"/>
  <c r="AA571" i="1" s="1"/>
  <c r="Z273" i="1"/>
  <c r="AA273" i="1" s="1"/>
  <c r="Z193" i="1"/>
  <c r="AA193" i="1" s="1"/>
  <c r="Z276" i="1"/>
  <c r="AA276" i="1" s="1"/>
  <c r="Z430" i="1"/>
  <c r="AA430" i="1" s="1"/>
  <c r="Z432" i="1"/>
  <c r="AA432" i="1" s="1"/>
  <c r="Z513" i="1"/>
  <c r="AA513" i="1" s="1"/>
  <c r="Z583" i="1"/>
  <c r="AA583" i="1" s="1"/>
  <c r="Z404" i="1"/>
  <c r="AA404" i="1" s="1"/>
  <c r="Z292" i="1"/>
  <c r="AA292" i="1" s="1"/>
  <c r="Z203" i="1"/>
  <c r="AA203" i="1" s="1"/>
  <c r="Z461" i="1"/>
  <c r="AA461" i="1" s="1"/>
  <c r="Z497" i="1"/>
  <c r="AA497" i="1" s="1"/>
  <c r="Z391" i="1"/>
  <c r="AA391" i="1" s="1"/>
  <c r="Z470" i="1"/>
  <c r="AA470" i="1" s="1"/>
  <c r="Z436" i="1"/>
  <c r="AA436" i="1" s="1"/>
  <c r="Z24" i="1"/>
  <c r="AA24" i="1" s="1"/>
  <c r="Z360" i="1"/>
  <c r="AA360" i="1" s="1"/>
  <c r="Z228" i="1"/>
  <c r="AA228" i="1" s="1"/>
  <c r="Z561" i="1"/>
  <c r="AA561" i="1" s="1"/>
  <c r="Z534" i="1"/>
  <c r="AA534" i="1" s="1"/>
  <c r="Z59" i="1"/>
  <c r="AA59" i="1" s="1"/>
  <c r="Z124" i="1"/>
  <c r="AA124" i="1" s="1"/>
  <c r="Z34" i="1"/>
  <c r="AA34" i="1" s="1"/>
  <c r="Z70" i="1"/>
  <c r="AA70" i="1" s="1"/>
  <c r="Z282" i="1"/>
  <c r="AA282" i="1" s="1"/>
  <c r="Z84" i="1"/>
  <c r="AA84" i="1" s="1"/>
  <c r="Z136" i="1"/>
  <c r="AA136" i="1" s="1"/>
  <c r="Z334" i="1"/>
  <c r="AA334" i="1" s="1"/>
  <c r="Z330" i="1"/>
  <c r="AA330" i="1" s="1"/>
  <c r="Z518" i="1"/>
  <c r="AA518" i="1" s="1"/>
  <c r="Z144" i="1"/>
  <c r="AA144" i="1" s="1"/>
  <c r="Z161" i="1"/>
  <c r="AA161" i="1" s="1"/>
  <c r="Z472" i="1"/>
  <c r="AA472" i="1" s="1"/>
  <c r="Z530" i="1"/>
  <c r="AA530" i="1" s="1"/>
  <c r="Z517" i="1"/>
  <c r="AA517" i="1" s="1"/>
  <c r="Z538" i="1"/>
  <c r="AA538" i="1" s="1"/>
  <c r="Z567" i="1"/>
  <c r="AA567" i="1" s="1"/>
  <c r="Z438" i="1"/>
  <c r="AA438" i="1" s="1"/>
  <c r="Z521" i="1"/>
  <c r="AA521" i="1" s="1"/>
  <c r="Z557" i="1"/>
  <c r="AA557" i="1" s="1"/>
  <c r="Z252" i="1"/>
  <c r="AA252" i="1" s="1"/>
  <c r="Z225" i="1"/>
  <c r="AA225" i="1" s="1"/>
  <c r="Z379" i="1"/>
  <c r="AA379" i="1" s="1"/>
  <c r="Z559" i="1"/>
  <c r="AA559" i="1" s="1"/>
  <c r="Z9" i="1"/>
  <c r="AA9" i="1" s="1"/>
  <c r="Z498" i="1"/>
  <c r="AA498" i="1" s="1"/>
  <c r="Z19" i="1"/>
  <c r="AA19" i="1" s="1"/>
  <c r="Z32" i="1"/>
  <c r="AA32" i="1" s="1"/>
  <c r="AA255" i="1"/>
  <c r="Z508" i="1"/>
  <c r="AA508" i="1" s="1"/>
  <c r="Z233" i="1"/>
  <c r="AA233" i="1" s="1"/>
  <c r="Z424" i="1"/>
  <c r="AA424" i="1" s="1"/>
  <c r="Z150" i="1"/>
  <c r="AA150" i="1" s="1"/>
  <c r="Z119" i="1"/>
  <c r="AA119" i="1" s="1"/>
  <c r="Z234" i="1"/>
  <c r="AA234" i="1" s="1"/>
  <c r="Z565" i="1"/>
  <c r="AA565" i="1"/>
  <c r="Z543" i="1"/>
  <c r="AA543" i="1" s="1"/>
  <c r="Z53" i="1"/>
  <c r="AA53" i="1"/>
  <c r="Z527" i="1"/>
  <c r="AA527" i="1" s="1"/>
  <c r="Z131" i="1"/>
  <c r="AA131" i="1" s="1"/>
  <c r="Z344" i="1"/>
  <c r="AA344" i="1" s="1"/>
  <c r="Z66" i="1"/>
  <c r="AA66" i="1" s="1"/>
  <c r="Z418" i="1"/>
  <c r="AA418" i="1" s="1"/>
  <c r="Z169" i="1"/>
  <c r="AA169" i="1" s="1"/>
  <c r="Z348" i="1"/>
  <c r="AA348" i="1" s="1"/>
  <c r="Z409" i="1"/>
  <c r="AA409" i="1" s="1"/>
  <c r="Z443" i="1"/>
  <c r="AA443" i="1" s="1"/>
  <c r="Z146" i="1"/>
  <c r="AA146" i="1" s="1"/>
  <c r="Z542" i="1"/>
  <c r="AA542" i="1" s="1"/>
  <c r="Z277" i="1"/>
  <c r="AA277" i="1" s="1"/>
  <c r="Z195" i="1"/>
  <c r="AA195" i="1" s="1"/>
  <c r="Z156" i="1"/>
  <c r="AA156" i="1" s="1"/>
  <c r="Z109" i="1"/>
  <c r="AA109" i="1" s="1"/>
  <c r="Z91" i="1"/>
  <c r="AA91" i="1" s="1"/>
  <c r="Z393" i="1"/>
  <c r="AA393" i="1" s="1"/>
  <c r="Z631" i="1"/>
  <c r="AA631" i="1" s="1"/>
  <c r="Z26" i="1"/>
  <c r="AA26" i="1" s="1"/>
  <c r="Z422" i="1"/>
  <c r="AA422" i="1" s="1"/>
  <c r="Z123" i="1"/>
  <c r="AA123" i="1" s="1"/>
  <c r="Z596" i="1"/>
  <c r="AA596" i="1" s="1"/>
  <c r="Z129" i="1"/>
  <c r="AA129" i="1" s="1"/>
  <c r="Z385" i="1"/>
  <c r="AA385" i="1" s="1"/>
  <c r="Z477" i="1"/>
  <c r="AA477" i="1" s="1"/>
  <c r="Z201" i="1"/>
  <c r="AA201" i="1" s="1"/>
  <c r="Z159" i="1"/>
  <c r="AA159" i="1" s="1"/>
  <c r="Z269" i="1"/>
  <c r="AA269" i="1" s="1"/>
  <c r="Z450" i="1"/>
  <c r="AA450" i="1" s="1"/>
  <c r="Z64" i="1"/>
  <c r="AA64" i="1" s="1"/>
  <c r="Z405" i="1"/>
  <c r="AA405" i="1" s="1"/>
  <c r="Z382" i="1"/>
  <c r="AA382" i="1" s="1"/>
  <c r="Z200" i="1"/>
  <c r="AA200" i="1" s="1"/>
  <c r="Z220" i="1"/>
  <c r="AA220" i="1" s="1"/>
  <c r="Z243" i="1"/>
  <c r="AA243" i="1" s="1"/>
  <c r="Z607" i="1"/>
  <c r="AA607" i="1" s="1"/>
  <c r="Z463" i="1"/>
  <c r="AA463" i="1" s="1"/>
  <c r="Z242" i="1"/>
  <c r="AA242" i="1" s="1"/>
  <c r="Z324" i="1"/>
  <c r="AA324" i="1" s="1"/>
  <c r="Z290" i="1"/>
  <c r="AA290" i="1" s="1"/>
  <c r="Z341" i="1"/>
  <c r="AA341" i="1" s="1"/>
  <c r="Z412" i="1"/>
  <c r="AA412" i="1" s="1"/>
  <c r="Z85" i="1"/>
  <c r="AA85" i="1" s="1"/>
  <c r="Z267" i="1"/>
  <c r="AA267" i="1" s="1"/>
  <c r="Z145" i="1"/>
  <c r="AA145" i="1" s="1"/>
  <c r="Z616" i="1"/>
  <c r="AA616" i="1" s="1"/>
  <c r="Z172" i="1"/>
  <c r="AA172" i="1" s="1"/>
  <c r="Z483" i="1"/>
  <c r="AA483" i="1" s="1"/>
  <c r="Z251" i="1"/>
  <c r="AA251" i="1" s="1"/>
  <c r="Z18" i="1"/>
  <c r="AA18" i="1" s="1"/>
  <c r="Z363" i="1"/>
  <c r="AA363" i="1" s="1"/>
  <c r="Z440" i="1"/>
  <c r="AA440" i="1" s="1"/>
  <c r="Z519" i="1"/>
  <c r="AA519" i="1" s="1"/>
  <c r="Z197" i="1"/>
  <c r="AA197" i="1" s="1"/>
  <c r="Z51" i="1"/>
  <c r="AA51" i="1" s="1"/>
  <c r="Z315" i="1"/>
  <c r="AA315" i="1" s="1"/>
  <c r="Z466" i="1"/>
  <c r="AA466" i="1" s="1"/>
  <c r="Z533" i="1"/>
  <c r="AA533" i="1" s="1"/>
  <c r="Z3" i="1"/>
  <c r="AA3" i="1" s="1"/>
  <c r="Z231" i="1"/>
  <c r="AA231" i="1" s="1"/>
  <c r="Z356" i="1"/>
  <c r="AA356" i="1" s="1"/>
  <c r="Z299" i="1"/>
  <c r="AA299" i="1" s="1"/>
  <c r="Z304" i="1"/>
  <c r="AA304" i="1" s="1"/>
  <c r="Z41" i="1"/>
  <c r="AA41" i="1" s="1"/>
  <c r="Z568" i="1"/>
  <c r="AA568" i="1" s="1"/>
  <c r="Z544" i="1"/>
  <c r="AA544" i="1" s="1"/>
  <c r="Z37" i="1"/>
  <c r="AA37" i="1" s="1"/>
  <c r="Z609" i="1"/>
  <c r="AA609" i="1" s="1"/>
  <c r="Z293" i="1"/>
  <c r="AA293" i="1" s="1"/>
  <c r="Z199" i="1"/>
  <c r="AA199" i="1" s="1"/>
  <c r="Z4" i="1"/>
  <c r="AA4" i="1" s="1"/>
  <c r="Z117" i="1"/>
  <c r="AA117" i="1" s="1"/>
  <c r="Z97" i="1"/>
  <c r="AA97" i="1" s="1"/>
  <c r="Z592" i="1"/>
  <c r="AA592" i="1" s="1"/>
  <c r="Z480" i="1"/>
  <c r="AA480" i="1" s="1"/>
  <c r="Z458" i="1"/>
  <c r="AA458" i="1" s="1"/>
  <c r="Z116" i="1"/>
  <c r="AA116" i="1" s="1"/>
  <c r="Z114" i="1"/>
  <c r="AA114" i="1" s="1"/>
  <c r="Z73" i="1"/>
  <c r="AA73" i="1" s="1"/>
  <c r="Z633" i="1"/>
  <c r="AA633" i="1" s="1"/>
  <c r="Z93" i="1"/>
  <c r="AA93" i="1" s="1"/>
  <c r="Z207" i="1"/>
  <c r="AA207" i="1" s="1"/>
  <c r="Z270" i="1"/>
  <c r="AA270" i="1" s="1"/>
  <c r="Z536" i="1"/>
  <c r="AA536" i="1" s="1"/>
  <c r="Z57" i="1"/>
  <c r="AA57" i="1" s="1"/>
  <c r="Z377" i="1"/>
  <c r="AA377" i="1" s="1"/>
  <c r="Z241" i="1"/>
  <c r="AA241" i="1" s="1"/>
  <c r="Z17" i="1"/>
  <c r="AA17" i="1" s="1"/>
  <c r="Z615" i="1"/>
  <c r="AA615" i="1" s="1"/>
  <c r="Z346" i="1"/>
  <c r="AA346" i="1" s="1"/>
  <c r="Z211" i="1"/>
  <c r="AA211" i="1" s="1"/>
  <c r="Z170" i="1"/>
  <c r="AA170" i="1" s="1"/>
  <c r="Z614" i="1"/>
  <c r="AA614" i="1" s="1"/>
  <c r="Z340" i="1"/>
  <c r="AA340" i="1" s="1"/>
  <c r="Z160" i="1"/>
  <c r="AA160" i="1" s="1"/>
  <c r="Z194" i="1"/>
  <c r="AA194" i="1" s="1"/>
  <c r="Z369" i="1"/>
  <c r="AA369" i="1" s="1"/>
  <c r="Z524" i="1"/>
  <c r="AA524" i="1" s="1"/>
  <c r="Z67" i="1"/>
  <c r="AA67" i="1" s="1"/>
  <c r="Z175" i="1"/>
  <c r="AA175" i="1" s="1"/>
  <c r="Z558" i="1"/>
  <c r="AA558" i="1" s="1"/>
  <c r="Z475" i="1"/>
  <c r="AA475" i="1" s="1"/>
  <c r="Z2" i="1"/>
  <c r="AA2" i="1" s="1"/>
  <c r="Z374" i="1"/>
  <c r="AA374" i="1" s="1"/>
  <c r="Z439" i="1"/>
  <c r="AA439" i="1" s="1"/>
  <c r="Z629" i="1"/>
  <c r="AA629" i="1" s="1"/>
  <c r="Z253" i="1"/>
  <c r="AA253" i="1" s="1"/>
  <c r="Z320" i="1"/>
  <c r="AA320" i="1" s="1"/>
  <c r="Z300" i="1"/>
  <c r="AA300" i="1" s="1"/>
  <c r="Z137" i="1"/>
  <c r="AA137" i="1" s="1"/>
  <c r="Z112" i="1"/>
  <c r="AA112" i="1" s="1"/>
  <c r="Z128" i="1"/>
  <c r="AA128" i="1" s="1"/>
  <c r="Z42" i="1"/>
  <c r="AA42" i="1" s="1"/>
  <c r="Z102" i="1"/>
  <c r="AA102" i="1"/>
  <c r="Z555" i="1"/>
  <c r="AA555" i="1" s="1"/>
  <c r="Z189" i="1"/>
  <c r="AA189" i="1" s="1"/>
  <c r="Z180" i="1"/>
  <c r="AA180" i="1" s="1"/>
  <c r="Z617" i="1"/>
  <c r="AA617" i="1" s="1"/>
  <c r="Z28" i="1"/>
  <c r="AA28" i="1" s="1"/>
  <c r="Z381" i="1"/>
  <c r="AA381" i="1" s="1"/>
  <c r="Z232" i="1"/>
  <c r="AA232" i="1" s="1"/>
  <c r="Z89" i="1"/>
  <c r="AA89" i="1" s="1"/>
  <c r="Z6" i="1"/>
  <c r="AA6" i="1" s="1"/>
  <c r="Z399" i="1"/>
  <c r="AA399" i="1" s="1"/>
  <c r="Z272" i="1"/>
  <c r="AA272" i="1" s="1"/>
  <c r="Z104" i="1"/>
  <c r="AA104" i="1" s="1"/>
  <c r="Z81" i="1"/>
  <c r="AA81" i="1" s="1"/>
  <c r="Z602" i="1"/>
  <c r="AA602" i="1" s="1"/>
  <c r="Z414" i="1"/>
  <c r="AA414" i="1" s="1"/>
  <c r="Z459" i="1"/>
  <c r="AA459" i="1" s="1"/>
  <c r="Z108" i="1"/>
  <c r="AA108" i="1" s="1"/>
  <c r="Z325" i="1"/>
  <c r="AA325" i="1" s="1"/>
  <c r="Z223" i="1"/>
  <c r="AA223" i="1" s="1"/>
  <c r="Z139" i="1"/>
  <c r="AA139" i="1" s="1"/>
  <c r="Z134" i="1"/>
  <c r="AA134" i="1" s="1"/>
  <c r="Z482" i="1"/>
  <c r="AA482" i="1" s="1"/>
  <c r="Z296" i="1"/>
  <c r="AA296" i="1" s="1"/>
  <c r="Z569" i="1"/>
  <c r="AA569" i="1" s="1"/>
  <c r="Z491" i="1"/>
  <c r="AA491" i="1" s="1"/>
  <c r="Z520" i="1"/>
  <c r="AA520" i="1" s="1"/>
  <c r="Z572" i="1"/>
  <c r="AA572" i="1" s="1"/>
  <c r="Z181" i="1"/>
  <c r="AA181" i="1" s="1"/>
  <c r="Z623" i="1"/>
  <c r="AA623" i="1" s="1"/>
  <c r="Z38" i="1"/>
  <c r="AA38" i="1" s="1"/>
  <c r="Z375" i="1"/>
  <c r="AA375" i="1" s="1"/>
  <c r="Z510" i="1"/>
  <c r="AA510" i="1" s="1"/>
  <c r="Z464" i="1"/>
  <c r="AA464" i="1" s="1"/>
  <c r="Z297" i="1"/>
  <c r="AA297" i="1" s="1"/>
  <c r="Z183" i="1"/>
  <c r="AA183" i="1" s="1"/>
  <c r="Z178" i="1"/>
  <c r="AA178" i="1" s="1"/>
  <c r="Z563" i="1"/>
  <c r="AA563" i="1" s="1"/>
  <c r="Z545" i="1"/>
  <c r="AA545" i="1" s="1"/>
  <c r="Z284" i="1"/>
  <c r="AA284" i="1" s="1"/>
  <c r="Z13" i="1"/>
  <c r="AA13" i="1" s="1"/>
  <c r="Z601" i="1"/>
  <c r="AA601" i="1" s="1"/>
  <c r="Z217" i="1"/>
  <c r="AA217" i="1" s="1"/>
  <c r="Z132" i="1"/>
  <c r="AA132" i="1" s="1"/>
  <c r="Z425" i="1"/>
  <c r="AA425" i="1" s="1"/>
  <c r="Z597" i="1"/>
  <c r="AA597" i="1" s="1"/>
  <c r="Z147" i="1"/>
  <c r="AA147" i="1" s="1"/>
  <c r="Z140" i="1"/>
  <c r="AA140" i="1" s="1"/>
  <c r="Z361" i="1"/>
  <c r="AA361" i="1" s="1"/>
  <c r="Z493" i="1"/>
  <c r="AA493" i="1" s="1"/>
  <c r="Z511" i="1"/>
  <c r="AA511" i="1" s="1"/>
  <c r="Z240" i="1"/>
  <c r="AA240" i="1" s="1"/>
  <c r="Z306" i="1"/>
  <c r="AA306" i="1" s="1"/>
  <c r="Z266" i="1"/>
  <c r="AA266" i="1" s="1"/>
  <c r="Z481" i="1"/>
  <c r="AA481" i="1" s="1"/>
  <c r="Z613" i="1"/>
  <c r="AA613" i="1" s="1"/>
  <c r="Z166" i="1"/>
  <c r="AA166" i="1" s="1"/>
  <c r="Z478" i="1"/>
  <c r="AA478" i="1" s="1"/>
  <c r="Z398" i="1"/>
  <c r="AA398" i="1" s="1"/>
  <c r="Z394" i="1"/>
  <c r="AA394" i="1" s="1"/>
  <c r="Z135" i="1"/>
  <c r="AA135" i="1" s="1"/>
  <c r="Z332" i="1"/>
  <c r="AA332" i="1" s="1"/>
  <c r="Z63" i="1"/>
  <c r="AA63" i="1" s="1"/>
  <c r="Z142" i="1"/>
  <c r="AA142" i="1" s="1"/>
  <c r="Z101" i="1"/>
  <c r="AA101" i="1" s="1"/>
  <c r="Z307" i="1"/>
  <c r="AA307" i="1" s="1"/>
  <c r="Z448" i="1"/>
  <c r="AA448" i="1" s="1"/>
  <c r="Z96" i="1"/>
  <c r="AA96" i="1" s="1"/>
  <c r="Z603" i="1"/>
  <c r="AA603" i="1" s="1"/>
  <c r="Z254" i="1"/>
  <c r="AA254" i="1" s="1"/>
  <c r="Z457" i="1"/>
  <c r="AA457" i="1" s="1"/>
  <c r="Z547" i="1"/>
  <c r="AA547" i="1" s="1"/>
  <c r="Z606" i="1"/>
  <c r="AA606" i="1" s="1"/>
  <c r="Z46" i="1"/>
  <c r="AA46" i="1" s="1"/>
  <c r="Z246" i="1"/>
  <c r="AA246" i="1" s="1"/>
  <c r="Z165" i="1"/>
  <c r="AA165" i="1" s="1"/>
  <c r="Z61" i="1"/>
  <c r="AA61" i="1" s="1"/>
  <c r="Z467" i="1"/>
  <c r="AA467" i="1" s="1"/>
  <c r="Z50" i="1"/>
  <c r="AA50" i="1" s="1"/>
  <c r="Z87" i="1"/>
  <c r="AA87" i="1" s="1"/>
  <c r="Z380" i="1"/>
  <c r="AA380" i="1" s="1"/>
  <c r="Z396" i="1"/>
  <c r="AA396" i="1" s="1"/>
  <c r="Z39" i="1"/>
  <c r="AA39" i="1" s="1"/>
  <c r="Z191" i="1"/>
  <c r="AA191" i="1" s="1"/>
  <c r="Z505" i="1"/>
  <c r="AA505" i="1" s="1"/>
  <c r="Z389" i="1"/>
  <c r="AA389" i="1" s="1"/>
  <c r="Z48" i="1"/>
  <c r="AA48" i="1" s="1"/>
  <c r="Z522" i="1"/>
  <c r="AA522" i="1" s="1"/>
  <c r="Z549" i="1"/>
  <c r="AA549" i="1" s="1"/>
  <c r="Z278" i="1"/>
  <c r="AA278" i="1" s="1"/>
  <c r="Z383" i="1"/>
  <c r="AA383" i="1" s="1"/>
  <c r="Z514" i="1"/>
  <c r="AA514" i="1" s="1"/>
  <c r="Z29" i="1"/>
  <c r="AA29" i="1" s="1"/>
  <c r="Z122" i="1"/>
  <c r="AA122" i="1" s="1"/>
  <c r="Z56" i="1"/>
  <c r="AA56" i="1" s="1"/>
  <c r="Z177" i="1"/>
  <c r="AA177" i="1" s="1"/>
  <c r="Z107" i="1"/>
  <c r="AA107" i="1" s="1"/>
  <c r="Z416" i="1"/>
  <c r="AA416" i="1" s="1"/>
  <c r="Z452" i="1"/>
  <c r="AA452" i="1" s="1"/>
  <c r="Z58" i="1"/>
  <c r="AA58" i="1" s="1"/>
  <c r="Z312" i="1"/>
  <c r="AA312" i="1" s="1"/>
  <c r="Z355" i="1"/>
  <c r="AA355" i="1" s="1"/>
  <c r="Z291" i="1"/>
  <c r="AA291" i="1" s="1"/>
  <c r="Z171" i="1"/>
  <c r="AA171" i="1" s="1"/>
  <c r="Z213" i="1"/>
  <c r="AA213" i="1" s="1"/>
  <c r="Z69" i="1"/>
  <c r="AA69" i="1" s="1"/>
  <c r="Z621" i="1"/>
  <c r="AA621" i="1" s="1"/>
  <c r="Z188" i="1"/>
  <c r="AA188" i="1" s="1"/>
  <c r="Z310" i="1"/>
  <c r="AA310" i="1" s="1"/>
  <c r="Z208" i="1"/>
  <c r="AA208" i="1" s="1"/>
  <c r="Z576" i="1"/>
  <c r="AA576" i="1" s="1"/>
  <c r="Z305" i="1"/>
  <c r="AA305" i="1" s="1"/>
  <c r="Z401" i="1"/>
  <c r="AA401" i="1" s="1"/>
  <c r="Z294" i="1"/>
  <c r="AA294" i="1" s="1"/>
  <c r="Z339" i="1"/>
  <c r="AA339" i="1" s="1"/>
  <c r="Z417" i="1"/>
  <c r="AA417" i="1" s="1"/>
  <c r="Z221" i="1"/>
  <c r="AA221" i="1" s="1"/>
  <c r="Z49" i="1"/>
  <c r="AA49" i="1" s="1"/>
  <c r="Z336" i="1"/>
  <c r="AA336" i="1" s="1"/>
  <c r="Z314" i="1"/>
  <c r="AA314" i="1" s="1"/>
  <c r="Z407" i="1"/>
  <c r="AA407" i="1" s="1"/>
  <c r="Z94" i="1"/>
  <c r="AA94" i="1" s="1"/>
  <c r="Z78" i="1"/>
  <c r="AA78" i="1" s="1"/>
  <c r="Z489" i="1"/>
  <c r="AA489" i="1" s="1"/>
  <c r="Z226" i="1"/>
  <c r="AA226" i="1" s="1"/>
  <c r="Z309" i="1"/>
  <c r="AA309" i="1" s="1"/>
  <c r="Z151" i="1"/>
  <c r="AA151" i="1" s="1"/>
  <c r="Z143" i="1"/>
  <c r="AA143" i="1" s="1"/>
  <c r="Z127" i="1"/>
  <c r="AA127" i="1" s="1"/>
  <c r="Z388" i="1"/>
  <c r="AA388" i="1" s="1"/>
  <c r="Z105" i="1"/>
  <c r="AA105" i="1" s="1"/>
  <c r="Z451" i="1"/>
  <c r="AA451" i="1" s="1"/>
  <c r="Z578" i="1"/>
  <c r="AA578" i="1" s="1"/>
  <c r="Z593" i="1"/>
  <c r="AA593" i="1" s="1"/>
  <c r="Z5" i="1"/>
  <c r="AA5" i="1" s="1"/>
  <c r="Z392" i="1"/>
  <c r="AA392" i="1" s="1"/>
  <c r="Z268" i="1"/>
  <c r="AA268" i="1" s="1"/>
  <c r="Z587" i="1"/>
  <c r="AA587" i="1" s="1"/>
  <c r="Z206" i="1"/>
  <c r="AA206" i="1" s="1"/>
  <c r="Z415" i="1"/>
  <c r="AA415" i="1" s="1"/>
  <c r="Z604" i="1"/>
  <c r="AA604" i="1" s="1"/>
  <c r="Z333" i="1"/>
  <c r="AA333" i="1" s="1"/>
  <c r="Z230" i="1"/>
  <c r="AA230" i="1" s="1"/>
  <c r="Z190" i="1"/>
  <c r="AA190" i="1" s="1"/>
  <c r="Z345" i="1"/>
  <c r="AA345" i="1" s="1"/>
  <c r="Z118" i="1"/>
  <c r="AA118" i="1" s="1"/>
  <c r="Z249" i="1"/>
  <c r="AA249" i="1" s="1"/>
  <c r="Z610" i="1"/>
  <c r="AA610" i="1" s="1"/>
  <c r="Z573" i="1"/>
  <c r="AA573" i="1" s="1"/>
  <c r="Z539" i="1"/>
  <c r="AA539" i="1" s="1"/>
  <c r="Z204" i="1"/>
  <c r="AA204" i="1" s="1"/>
  <c r="Z313" i="1"/>
  <c r="AA313" i="1" s="1"/>
  <c r="Z492" i="1"/>
  <c r="AA492" i="1" s="1"/>
  <c r="Z546" i="1"/>
  <c r="AA546" i="1" s="1"/>
  <c r="Z433" i="1"/>
  <c r="AA433" i="1" s="1"/>
  <c r="Z371" i="1"/>
  <c r="AA371" i="1" s="1"/>
  <c r="Z512" i="1"/>
  <c r="AA512" i="1" s="1"/>
  <c r="Z286" i="1"/>
  <c r="AA286" i="1" s="1"/>
  <c r="Z168" i="1"/>
  <c r="AA168" i="1" s="1"/>
  <c r="Z33" i="1"/>
  <c r="AA33" i="1" s="1"/>
  <c r="Z474" i="1"/>
  <c r="AA474" i="1" s="1"/>
  <c r="Z68" i="1"/>
  <c r="AA68" i="1" s="1"/>
  <c r="Z347" i="1"/>
  <c r="AA347" i="1" s="1"/>
  <c r="Z553" i="1"/>
  <c r="AA553" i="1" s="1"/>
  <c r="Z149" i="1"/>
  <c r="AA149" i="1" s="1"/>
  <c r="Z496" i="1"/>
  <c r="AA496" i="1" s="1"/>
  <c r="Z111" i="1"/>
  <c r="AA111" i="1" s="1"/>
  <c r="Z354" i="1"/>
  <c r="AA354" i="1" s="1"/>
  <c r="Z618" i="1"/>
  <c r="AA618" i="1" s="1"/>
  <c r="Z318" i="1"/>
  <c r="AA318" i="1" s="1"/>
  <c r="Z155" i="1"/>
  <c r="AA155" i="1" s="1"/>
  <c r="Z283" i="1"/>
  <c r="AA283" i="1" s="1"/>
  <c r="Z215" i="1"/>
  <c r="AA215" i="1" s="1"/>
  <c r="Z179" i="1"/>
  <c r="AA179" i="1" s="1"/>
  <c r="Z368" i="1"/>
  <c r="AA368" i="1" s="1"/>
  <c r="Z373" i="1"/>
  <c r="AA373" i="1" s="1"/>
  <c r="Z460" i="1"/>
  <c r="AA460" i="1" s="1"/>
  <c r="Z386" i="1"/>
  <c r="AA386" i="1" s="1"/>
  <c r="Z285" i="1"/>
  <c r="AA285" i="1" s="1"/>
  <c r="Z280" i="1"/>
  <c r="AA280" i="1" s="1"/>
  <c r="Z365" i="1"/>
  <c r="AA365" i="1" s="1"/>
  <c r="Z548" i="1"/>
  <c r="AA548" i="1" s="1"/>
  <c r="Z90" i="1"/>
  <c r="AA90" i="1" s="1"/>
  <c r="Z55" i="1"/>
  <c r="AA55" i="1" s="1"/>
  <c r="Z274" i="1"/>
  <c r="AA274" i="1" s="1"/>
  <c r="Z257" i="1"/>
  <c r="AA257" i="1" s="1"/>
  <c r="Z402" i="1"/>
  <c r="AA402" i="1" s="1"/>
  <c r="Z473" i="1"/>
  <c r="AA473" i="1" s="1"/>
  <c r="Z209" i="1"/>
  <c r="AA209" i="1" s="1"/>
  <c r="Z624" i="1"/>
  <c r="AA624" i="1" s="1"/>
  <c r="Z250" i="1"/>
  <c r="AA250" i="1" s="1"/>
  <c r="Z99" i="1"/>
  <c r="AA99" i="1" s="1"/>
  <c r="Z287" i="1"/>
  <c r="AA287" i="1" s="1"/>
  <c r="Z229" i="1"/>
  <c r="AA229" i="1" s="1"/>
  <c r="Z584" i="1"/>
  <c r="AA584" i="1" s="1"/>
  <c r="Z222" i="1"/>
  <c r="AA222" i="1" s="1"/>
  <c r="Z23" i="1"/>
  <c r="AA23" i="1" s="1"/>
  <c r="Z47" i="1"/>
  <c r="AA47" i="1" s="1"/>
  <c r="Z281" i="1"/>
  <c r="AA281" i="1" s="1"/>
  <c r="Z121" i="1"/>
  <c r="AA121" i="1" s="1"/>
  <c r="Z600" i="1"/>
  <c r="AA600" i="1" s="1"/>
  <c r="Z328" i="1"/>
  <c r="AA328" i="1" s="1"/>
  <c r="AA30" i="1"/>
  <c r="Z434" i="1"/>
  <c r="AA434" i="1" s="1"/>
  <c r="Z20" i="1"/>
  <c r="AA20" i="1" s="1"/>
  <c r="Z367" i="1"/>
  <c r="AA367" i="1" s="1"/>
  <c r="Z390" i="1"/>
  <c r="AA390" i="1" s="1"/>
  <c r="Z515" i="1"/>
  <c r="AA515" i="1" s="1"/>
  <c r="Z445" i="1"/>
  <c r="AA445" i="1" s="1"/>
  <c r="Z400" i="1"/>
  <c r="AA400" i="1" s="1"/>
  <c r="Z174" i="1"/>
  <c r="AA174" i="1" s="1"/>
  <c r="Z54" i="1"/>
  <c r="AA54" i="1" s="1"/>
  <c r="Z359" i="1"/>
  <c r="AA359" i="1" s="1"/>
  <c r="Z431" i="1"/>
  <c r="AA431" i="1" s="1"/>
  <c r="Z247" i="1"/>
  <c r="AA247" i="1" s="1"/>
  <c r="Z620" i="1"/>
  <c r="AA620" i="1" s="1"/>
  <c r="Z237" i="1"/>
  <c r="AA237" i="1" s="1"/>
  <c r="Z342" i="1"/>
  <c r="AA342" i="1" s="1"/>
  <c r="AA410" i="1"/>
  <c r="AA338" i="1"/>
  <c r="Z622" i="1"/>
  <c r="AA622" i="1" s="1"/>
  <c r="Z453" i="1"/>
  <c r="AA453" i="1" s="1"/>
  <c r="Z628" i="1"/>
  <c r="AA628" i="1" s="1"/>
  <c r="Z581" i="1"/>
  <c r="AA581" i="1" s="1"/>
  <c r="Z263" i="1"/>
  <c r="AA263" i="1" s="1"/>
  <c r="Z133" i="1"/>
  <c r="AA133" i="1" s="1"/>
  <c r="Z187" i="1"/>
  <c r="AA187" i="1" s="1"/>
  <c r="Z326" i="1"/>
  <c r="AA326" i="1" s="1"/>
  <c r="Z72" i="1"/>
  <c r="AA72" i="1" s="1"/>
  <c r="Z60" i="1"/>
  <c r="AA60" i="1" s="1"/>
  <c r="Z495" i="1"/>
  <c r="AA495" i="1" s="1"/>
  <c r="Z575" i="1"/>
  <c r="AA575" i="1" s="1"/>
  <c r="Z86" i="1"/>
  <c r="AA86" i="1" s="1"/>
  <c r="Z302" i="1"/>
  <c r="AA302" i="1" s="1"/>
  <c r="Z79" i="1"/>
  <c r="AA79" i="1" s="1"/>
  <c r="Z236" i="1"/>
  <c r="AA236" i="1" s="1"/>
  <c r="Z599" i="1"/>
  <c r="AA599" i="1" s="1"/>
  <c r="Z484" i="1"/>
  <c r="AA484" i="1" s="1"/>
  <c r="Z186" i="1"/>
  <c r="AA186" i="1" s="1"/>
  <c r="Z52" i="1"/>
  <c r="AA52" i="1" s="1"/>
  <c r="Z395" i="1"/>
  <c r="AA395" i="1" s="1"/>
  <c r="Z218" i="1"/>
  <c r="AA218" i="1" s="1"/>
  <c r="Z632" i="1"/>
  <c r="AA632" i="1" s="1"/>
  <c r="Z125" i="1"/>
  <c r="AA125" i="1" s="1"/>
  <c r="Z413" i="1"/>
  <c r="AA413" i="1" s="1"/>
  <c r="Z499" i="1"/>
  <c r="AA499" i="1" s="1"/>
  <c r="Z486" i="1"/>
  <c r="AA486" i="1" s="1"/>
  <c r="Z465" i="1"/>
  <c r="AA465" i="1" s="1"/>
  <c r="Z487" i="1"/>
  <c r="AA487" i="1" s="1"/>
  <c r="Z275" i="1"/>
  <c r="AA275" i="1" s="1"/>
  <c r="Z551" i="1"/>
  <c r="AA551" i="1" s="1"/>
  <c r="Z12" i="1"/>
  <c r="AA12" i="1" s="1"/>
  <c r="Z419" i="1"/>
  <c r="AA419" i="1" s="1"/>
  <c r="Z403" i="1"/>
  <c r="AA403" i="1" s="1"/>
  <c r="Z316" i="1"/>
  <c r="AA316" i="1" s="1"/>
  <c r="Z82" i="1"/>
  <c r="AA82" i="1" s="1"/>
  <c r="Z289" i="1"/>
  <c r="AA289" i="1" s="1"/>
  <c r="Z357" i="1"/>
  <c r="AA357" i="1" s="1"/>
  <c r="Z556" i="1"/>
  <c r="AA556" i="1" s="1"/>
  <c r="Z523" i="1"/>
  <c r="AA523" i="1" s="1"/>
  <c r="Z298" i="1"/>
  <c r="AA298" i="1" s="1"/>
</calcChain>
</file>

<file path=xl/sharedStrings.xml><?xml version="1.0" encoding="utf-8"?>
<sst xmlns="http://schemas.openxmlformats.org/spreadsheetml/2006/main" count="5987" uniqueCount="1546">
  <si>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</si>
  <si>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</si>
  <si>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</si>
  <si>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</si>
  <si>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</si>
  <si>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</si>
  <si>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</si>
  <si>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</si>
  <si>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</si>
  <si>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</si>
  <si>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</si>
  <si>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</si>
  <si>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</si>
  <si>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</si>
  <si>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</si>
  <si>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</si>
  <si>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</si>
  <si>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</si>
  <si>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</si>
  <si>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</si>
  <si>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</si>
  <si>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</si>
  <si>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</si>
  <si>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</si>
  <si>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</si>
  <si>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</si>
  <si>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</si>
  <si>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</si>
  <si>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</si>
  <si>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</si>
  <si>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</si>
  <si>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</si>
  <si>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</si>
  <si>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</si>
  <si>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</si>
  <si>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</si>
  <si>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</si>
  <si>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</si>
  <si>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</si>
  <si>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</si>
  <si>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</si>
  <si>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</si>
  <si>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</si>
  <si>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</si>
  <si>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</si>
  <si>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</si>
  <si>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</si>
  <si>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</si>
  <si>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</si>
  <si>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</si>
  <si>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</si>
  <si>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</si>
  <si>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</si>
  <si>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</si>
  <si>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</si>
  <si>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</si>
  <si>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</si>
  <si>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</si>
  <si>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</si>
  <si>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</si>
  <si>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</si>
  <si>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</si>
  <si>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</si>
  <si>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</si>
  <si>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</si>
  <si>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</si>
  <si>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</si>
  <si>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</si>
  <si>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</si>
  <si>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</si>
  <si>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</si>
  <si>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</si>
  <si>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</si>
  <si>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</si>
  <si>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</si>
  <si>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</si>
  <si>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</si>
  <si>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</si>
  <si>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</si>
  <si>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</si>
  <si>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</si>
  <si>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</si>
  <si>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</si>
  <si>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</si>
  <si>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</si>
  <si>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</si>
  <si>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</si>
  <si>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</si>
  <si>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</si>
  <si>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</si>
  <si>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</si>
  <si>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</si>
  <si>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</si>
  <si>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</si>
  <si>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</si>
  <si>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</si>
  <si>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</si>
  <si>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</si>
  <si>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</si>
  <si>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</si>
  <si>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</si>
  <si>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</si>
  <si>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</si>
  <si>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</si>
  <si>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</si>
  <si>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</si>
  <si>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</si>
  <si>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</si>
  <si>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</si>
  <si>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</si>
  <si>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</si>
  <si>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</si>
  <si>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</si>
  <si>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</si>
  <si>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</si>
  <si>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</si>
  <si>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</si>
  <si>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</si>
  <si>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</si>
  <si>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</si>
  <si>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</si>
  <si>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</si>
  <si>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</si>
  <si>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</si>
  <si>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</si>
  <si>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</si>
  <si>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</si>
  <si>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</si>
  <si>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</si>
  <si>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</si>
  <si>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</si>
  <si>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</si>
  <si>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</si>
  <si>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</si>
  <si>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</si>
  <si>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</si>
  <si>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</si>
  <si>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</si>
  <si>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</si>
  <si>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</si>
  <si>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</si>
  <si>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</si>
  <si>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</si>
  <si>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</si>
  <si>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</si>
  <si>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</si>
  <si>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</si>
  <si>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</si>
  <si>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</si>
  <si>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</si>
  <si>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</si>
  <si>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</si>
  <si>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</si>
  <si>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</si>
  <si>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</si>
  <si>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</si>
  <si>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</si>
  <si>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</si>
  <si>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</si>
  <si>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</si>
  <si>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</si>
  <si>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</si>
  <si>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</si>
  <si>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</si>
  <si>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</si>
  <si>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</si>
  <si>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</si>
  <si>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</si>
  <si>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</si>
  <si>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</si>
  <si>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</si>
  <si>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</si>
  <si>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</si>
  <si>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</si>
  <si>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</si>
  <si>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</si>
  <si>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</si>
  <si>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</si>
  <si>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</si>
  <si>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</si>
  <si>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</si>
  <si>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</si>
  <si>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</si>
  <si>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</si>
  <si>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</si>
  <si>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</si>
  <si>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</si>
  <si>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</si>
  <si>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</si>
  <si>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</si>
  <si>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</si>
  <si>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</si>
  <si>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</si>
  <si>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</si>
  <si>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</si>
  <si>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</si>
  <si>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</si>
  <si>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</si>
  <si>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</si>
  <si>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</si>
  <si>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</si>
  <si>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</si>
  <si>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</si>
  <si>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</si>
  <si>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</si>
  <si>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</si>
  <si>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</si>
  <si>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</si>
  <si>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</si>
  <si>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</si>
  <si>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</si>
  <si>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</si>
  <si>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</si>
  <si>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</si>
  <si>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</si>
  <si>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</si>
  <si>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</si>
  <si>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</si>
  <si>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</si>
  <si>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</si>
  <si>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</si>
  <si>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</si>
  <si>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</si>
  <si>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</si>
  <si>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</si>
  <si>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</si>
  <si>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</si>
  <si>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</si>
  <si>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</si>
  <si>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</si>
  <si>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</si>
  <si>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</si>
  <si>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</si>
  <si>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</si>
  <si>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</si>
  <si>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</si>
  <si>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</si>
  <si>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</si>
  <si>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</si>
  <si>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</si>
  <si>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</si>
  <si>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</si>
  <si>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</si>
  <si>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</si>
  <si>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</si>
  <si>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</si>
  <si>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</si>
  <si>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</si>
  <si>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</si>
  <si>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</si>
  <si>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</si>
  <si>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</si>
  <si>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</si>
  <si>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</si>
  <si>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</si>
  <si>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</si>
  <si>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</si>
  <si>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</si>
  <si>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</si>
  <si>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</si>
  <si>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</si>
  <si>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</si>
  <si>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</si>
  <si>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</si>
  <si>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</si>
  <si>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</si>
  <si>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</si>
  <si>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</si>
  <si>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</si>
  <si>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</si>
  <si>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</si>
  <si>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</si>
  <si>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</si>
  <si>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</si>
  <si>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</si>
  <si>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</si>
  <si>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</si>
  <si>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</si>
  <si>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</si>
  <si>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</si>
  <si>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</si>
  <si>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</si>
  <si>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</si>
  <si>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</si>
  <si>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</si>
  <si>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</si>
  <si>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</si>
  <si>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</si>
  <si>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</si>
  <si>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</si>
  <si>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</si>
  <si>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</si>
  <si>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</si>
  <si>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</si>
  <si>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</si>
  <si>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</si>
  <si>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</si>
  <si>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</si>
  <si>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</si>
  <si>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</si>
  <si>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</si>
  <si>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</si>
  <si>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</si>
  <si>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</si>
  <si>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</si>
  <si>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</si>
  <si>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</si>
  <si>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</si>
  <si>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</si>
  <si>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</si>
  <si>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</si>
  <si>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</si>
  <si>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</si>
  <si>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</si>
  <si>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</si>
  <si>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</si>
  <si>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</si>
  <si>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</si>
  <si>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</si>
  <si>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</si>
  <si>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</si>
  <si>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</si>
  <si>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</si>
  <si>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</si>
  <si>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</si>
  <si>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</si>
  <si>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</si>
  <si>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</si>
  <si>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</si>
  <si>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</si>
  <si>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</si>
  <si>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</si>
  <si>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</si>
  <si>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</si>
  <si>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</si>
  <si>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</si>
  <si>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</si>
  <si>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</si>
  <si>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</si>
  <si>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</si>
  <si>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</si>
  <si>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</si>
  <si>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</si>
  <si>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</si>
  <si>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</si>
  <si>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</si>
  <si>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</si>
  <si>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</si>
  <si>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</si>
  <si>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</si>
  <si>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</si>
  <si>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</si>
  <si>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</si>
  <si>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</si>
  <si>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</si>
  <si>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</si>
  <si>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</si>
  <si>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</si>
  <si>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</si>
  <si>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</si>
  <si>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</si>
  <si>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</si>
  <si>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</si>
  <si>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</si>
  <si>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</si>
  <si>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</si>
  <si>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</si>
  <si>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</si>
  <si>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</si>
  <si>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</si>
  <si>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</si>
  <si>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</si>
  <si>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</si>
  <si>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</si>
  <si>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</si>
  <si>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</si>
  <si>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</si>
  <si>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</si>
  <si>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</si>
  <si>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</si>
  <si>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</si>
  <si>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</si>
  <si>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</si>
  <si>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</si>
  <si>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</si>
  <si>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</si>
  <si>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</si>
  <si>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</si>
  <si>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</si>
  <si>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</si>
  <si>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</si>
  <si>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</si>
  <si>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</si>
  <si>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</si>
  <si>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</si>
  <si>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</si>
  <si>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</si>
  <si>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</si>
  <si>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</si>
  <si>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</si>
  <si>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</si>
  <si>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</si>
  <si>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</si>
  <si>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</si>
  <si>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</si>
  <si>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</si>
  <si>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</si>
  <si>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</si>
  <si>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</si>
  <si>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</si>
  <si>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</si>
  <si>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</si>
  <si>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</si>
  <si>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</si>
  <si>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</si>
  <si>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</si>
  <si>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</si>
  <si>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</si>
  <si>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</si>
  <si>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</si>
  <si>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</si>
  <si>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</si>
  <si>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</si>
  <si>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</si>
  <si>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</si>
  <si>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</si>
  <si>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</si>
  <si>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</si>
  <si>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</si>
  <si>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</si>
  <si>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</si>
  <si>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</si>
  <si>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</si>
  <si>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</si>
  <si>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</si>
  <si>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</si>
  <si>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</si>
  <si>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</si>
  <si>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</si>
  <si>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</si>
  <si>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</si>
  <si>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</si>
  <si>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</si>
  <si>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</si>
  <si>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</si>
  <si>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</si>
  <si>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</si>
  <si>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</si>
  <si>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</si>
  <si>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</si>
  <si>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</si>
  <si>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</si>
  <si>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</si>
  <si>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</si>
  <si>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</si>
  <si>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</si>
  <si>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</si>
  <si>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</si>
  <si>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</si>
  <si>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</si>
  <si>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</si>
  <si>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</si>
  <si>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</si>
  <si>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</si>
  <si>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</si>
  <si>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</si>
  <si>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</si>
  <si>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</si>
  <si>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</si>
  <si>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</si>
  <si>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</si>
  <si>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</si>
  <si>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</si>
  <si>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</si>
  <si>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</si>
  <si>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</si>
  <si>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</si>
  <si>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</si>
  <si>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</si>
  <si>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</si>
  <si>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</si>
  <si>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</si>
  <si>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</si>
  <si>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</si>
  <si>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</si>
  <si>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</si>
  <si>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</si>
  <si>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</si>
  <si>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</si>
  <si>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</si>
  <si>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</si>
  <si>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</si>
  <si>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</si>
  <si>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</si>
  <si>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</si>
  <si>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</si>
  <si>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</si>
  <si>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</si>
  <si>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</si>
  <si>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</si>
  <si>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</si>
  <si>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</si>
  <si>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</si>
  <si>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</si>
  <si>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</si>
  <si>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</si>
  <si>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</si>
  <si>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</si>
  <si>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</si>
  <si>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</si>
  <si>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</si>
  <si>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</si>
  <si>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</si>
  <si>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</si>
  <si>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</si>
  <si>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</si>
  <si>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</si>
  <si>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</si>
  <si>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</si>
  <si>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</si>
  <si>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</si>
  <si>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</si>
  <si>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</si>
  <si>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</si>
  <si>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</si>
  <si>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</si>
  <si>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</si>
  <si>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</si>
  <si>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</si>
  <si>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</si>
  <si>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</si>
  <si>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</si>
  <si>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</si>
  <si>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</si>
  <si>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</si>
  <si>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</si>
  <si>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</si>
  <si>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</si>
  <si>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</si>
  <si>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</si>
  <si>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</si>
  <si>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</si>
  <si>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</si>
  <si>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</si>
  <si>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</si>
  <si>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</si>
  <si>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</si>
  <si>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</si>
  <si>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</si>
  <si>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</si>
  <si>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</si>
  <si>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</si>
  <si>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</si>
  <si>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</si>
  <si>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</si>
  <si>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</si>
  <si>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</si>
  <si>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</si>
  <si>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</si>
  <si>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</si>
  <si>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</si>
  <si>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</si>
  <si>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</si>
  <si>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</si>
  <si>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</si>
  <si>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</si>
  <si>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</si>
  <si>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</si>
  <si>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</si>
  <si>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</si>
  <si>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</si>
  <si>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</si>
  <si>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</si>
  <si>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</si>
  <si>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</si>
  <si>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</si>
  <si>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</si>
  <si>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</si>
  <si>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</si>
  <si>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</si>
  <si>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</si>
  <si>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</si>
  <si>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</si>
  <si>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</si>
  <si>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</si>
  <si>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</si>
  <si>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</si>
  <si>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</si>
  <si>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</si>
  <si>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</si>
  <si>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</si>
  <si>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</si>
  <si>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</si>
  <si>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</si>
  <si>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</si>
  <si>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</si>
  <si>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</si>
  <si>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</si>
  <si>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</si>
  <si>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</si>
  <si>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</si>
  <si>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</si>
  <si>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</si>
  <si>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</si>
  <si>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</si>
  <si>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</si>
  <si>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</si>
  <si>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</si>
  <si>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</si>
  <si>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</si>
  <si>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</si>
  <si>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</si>
  <si>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</si>
  <si>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</si>
  <si>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</si>
  <si>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</si>
  <si>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</si>
  <si>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</si>
  <si>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</si>
  <si>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</si>
  <si>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</si>
  <si>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</si>
  <si>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</si>
  <si>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</si>
  <si>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</si>
  <si>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</si>
  <si>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</si>
  <si>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</si>
  <si>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</si>
  <si>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</si>
  <si>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</si>
  <si>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</si>
  <si>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</si>
  <si>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</si>
  <si>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</si>
  <si>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</si>
  <si>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</si>
  <si>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</si>
  <si>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</si>
  <si>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</si>
  <si>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</si>
  <si>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</si>
  <si>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</si>
  <si>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</si>
  <si>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</si>
  <si>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</si>
  <si>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</si>
  <si>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</si>
  <si>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</si>
  <si>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</si>
  <si>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</si>
  <si>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</si>
  <si>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</si>
  <si>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</si>
  <si>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</si>
  <si>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</si>
  <si>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</si>
  <si>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</si>
  <si>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</si>
  <si>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</si>
  <si>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</si>
  <si>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</si>
  <si>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</si>
  <si>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</si>
  <si>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</si>
  <si>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</si>
  <si>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</si>
  <si>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</si>
  <si>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</si>
  <si>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</si>
  <si>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</si>
  <si>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</si>
  <si>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</si>
  <si>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</si>
  <si>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</si>
  <si>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</si>
  <si>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</si>
  <si>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</si>
  <si>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</si>
  <si>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</si>
  <si>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</si>
  <si>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</si>
  <si>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</si>
  <si>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</si>
  <si>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</si>
  <si>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</si>
  <si>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</si>
  <si>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</si>
  <si>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</si>
  <si>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</si>
  <si>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</si>
  <si>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</si>
  <si>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</si>
  <si>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</si>
  <si>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</si>
  <si>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</si>
  <si>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</si>
  <si>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</si>
  <si>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</si>
  <si>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</si>
  <si>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</si>
  <si>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</si>
  <si>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</si>
  <si>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</si>
  <si>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</si>
  <si>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</si>
  <si>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</si>
  <si>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</si>
  <si>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</si>
  <si>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</si>
  <si>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</si>
  <si>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</si>
  <si>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</si>
  <si>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</si>
  <si>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</si>
  <si>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</si>
  <si>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</si>
  <si>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</si>
  <si>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</si>
  <si>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</si>
  <si>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</si>
  <si>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</si>
  <si>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</si>
  <si>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</si>
  <si>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</si>
  <si>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</si>
  <si>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</si>
  <si>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</si>
  <si>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</si>
  <si>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</si>
  <si>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</si>
  <si>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</si>
  <si>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</si>
  <si>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</si>
  <si>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</si>
  <si>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</si>
  <si>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</si>
  <si>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</si>
  <si>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</si>
  <si>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</si>
  <si>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</si>
  <si>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</si>
  <si>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</si>
  <si>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</si>
  <si>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</si>
  <si>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</si>
  <si>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</si>
  <si>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</si>
  <si>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</si>
  <si>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</si>
  <si>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</si>
  <si>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</si>
  <si>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</si>
  <si>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</si>
  <si>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</si>
  <si>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</si>
  <si>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</si>
  <si>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</si>
  <si>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</si>
  <si>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</si>
  <si>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</si>
  <si>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</si>
  <si>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</si>
  <si>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</si>
  <si>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</si>
  <si>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</si>
  <si>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</si>
  <si>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</si>
  <si>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</si>
  <si>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</si>
  <si>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</si>
  <si>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</si>
  <si>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</si>
  <si>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</si>
  <si>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</si>
  <si>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</si>
  <si>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</si>
  <si>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</si>
  <si>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</si>
  <si>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</si>
  <si>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</si>
  <si>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</si>
  <si>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</si>
  <si>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</si>
  <si>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</si>
  <si>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</si>
  <si>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</si>
  <si>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</si>
  <si>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</si>
  <si>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</si>
  <si>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</si>
  <si>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</si>
  <si>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</si>
  <si>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</si>
  <si>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</si>
  <si>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</si>
  <si>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</si>
  <si>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</si>
  <si>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</si>
  <si>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</si>
  <si>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</si>
  <si>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</si>
  <si>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</si>
  <si>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</si>
  <si>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</si>
  <si>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</si>
  <si>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</si>
  <si>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</si>
  <si>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</si>
  <si>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</si>
  <si>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</si>
  <si>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</si>
  <si>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</si>
  <si>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</si>
  <si>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</si>
  <si>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</si>
  <si>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</si>
  <si>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</si>
  <si>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</si>
  <si>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</si>
  <si>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</si>
  <si>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</si>
  <si>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</si>
  <si>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</si>
  <si>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</si>
  <si>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</si>
  <si>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</si>
  <si>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</si>
  <si>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</si>
  <si>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</si>
  <si>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</si>
  <si>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</si>
  <si>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</si>
  <si>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</si>
  <si>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</si>
  <si>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</si>
  <si>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</si>
  <si>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</si>
  <si>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</si>
  <si>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</si>
  <si>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</si>
  <si>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</si>
  <si>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</si>
  <si>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</si>
  <si>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</si>
  <si>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</si>
  <si>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</si>
  <si>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</si>
  <si>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</si>
  <si>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</si>
  <si>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</si>
  <si>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</si>
  <si>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</si>
  <si>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</si>
  <si>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</si>
  <si>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</si>
  <si>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</si>
  <si>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</si>
  <si>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</si>
  <si>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</si>
  <si>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</si>
  <si>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</si>
  <si>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</si>
  <si>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</si>
  <si>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</si>
  <si>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</si>
  <si>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</si>
  <si>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</si>
  <si>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</si>
  <si>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</si>
  <si>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</si>
  <si>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</si>
  <si>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</si>
  <si>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</si>
  <si>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</si>
  <si>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</si>
  <si>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</si>
  <si>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</si>
  <si>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</si>
  <si>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</si>
  <si>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</si>
  <si>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</si>
  <si>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</si>
  <si>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</si>
  <si>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</si>
  <si>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</si>
  <si>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</si>
  <si>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</si>
  <si>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</si>
  <si>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</si>
  <si>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</si>
  <si>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</si>
  <si>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</si>
  <si>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</si>
  <si>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</si>
  <si>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</si>
  <si>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</si>
  <si>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</si>
  <si>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</si>
  <si>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</si>
  <si>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</si>
  <si>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</si>
  <si>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</si>
  <si>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</si>
  <si>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</si>
  <si>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</si>
  <si>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</si>
  <si>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</si>
  <si>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</si>
  <si>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</si>
  <si>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</si>
  <si>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</si>
  <si>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</si>
  <si>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</si>
  <si>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</si>
  <si>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</si>
  <si>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</si>
  <si>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</si>
  <si>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</si>
  <si>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</si>
  <si>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</si>
  <si>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</si>
  <si>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</si>
  <si>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</si>
  <si>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</si>
  <si>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</si>
  <si>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</si>
  <si>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</si>
  <si>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</si>
  <si>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</si>
  <si>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</si>
  <si>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</si>
  <si>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</si>
  <si>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</si>
  <si>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</si>
  <si>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</si>
  <si>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</si>
  <si>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</si>
  <si>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</si>
  <si>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</si>
  <si>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</si>
  <si>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</si>
  <si>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</si>
  <si>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</si>
  <si>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</si>
  <si>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</si>
  <si>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</si>
  <si>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</si>
  <si>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</si>
  <si>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</si>
  <si>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</si>
  <si>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</si>
  <si>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</si>
  <si>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</si>
  <si>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</si>
  <si>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</si>
  <si>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</si>
  <si>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</si>
  <si>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</si>
  <si>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</si>
  <si>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</si>
  <si>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</si>
  <si>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</si>
  <si>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</si>
  <si>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</si>
  <si>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</si>
  <si>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</si>
  <si>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</si>
  <si>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</si>
  <si>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</si>
  <si>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</si>
  <si>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</si>
  <si>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</si>
  <si>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</si>
  <si>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</si>
  <si>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</si>
  <si>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</si>
  <si>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</si>
  <si>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</si>
  <si>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</si>
  <si>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</si>
  <si>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</si>
  <si>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</si>
  <si>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</si>
  <si>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</si>
  <si>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</si>
  <si>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</si>
  <si>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</si>
  <si>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</si>
  <si>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</si>
  <si>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</si>
  <si>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</si>
  <si>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</si>
  <si>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</si>
  <si>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</si>
  <si>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</si>
  <si>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</si>
  <si>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</si>
  <si>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</si>
  <si>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</si>
  <si>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</si>
  <si>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</si>
  <si>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</si>
  <si>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</si>
  <si>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</si>
  <si>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</si>
  <si>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</si>
  <si>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</si>
  <si>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</si>
  <si>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</si>
  <si>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</si>
  <si>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</si>
  <si>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</si>
  <si>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</si>
  <si>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</si>
  <si>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</si>
  <si>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</si>
  <si>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</si>
  <si>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</si>
  <si>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</si>
  <si>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</si>
  <si>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</si>
  <si>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</si>
  <si>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</si>
  <si>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</si>
  <si>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</si>
  <si>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</si>
  <si>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</si>
  <si>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</si>
  <si>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</si>
  <si>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</si>
  <si>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</si>
  <si>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</si>
  <si>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</si>
  <si>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</si>
  <si>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</si>
  <si>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</si>
  <si>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</si>
  <si>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</si>
  <si>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</si>
  <si>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</si>
  <si>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</si>
  <si>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</si>
  <si>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</si>
  <si>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</si>
  <si>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</si>
  <si>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</si>
  <si>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</si>
  <si>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</si>
  <si>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</si>
  <si>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</si>
  <si>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</si>
  <si>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</si>
  <si>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</si>
  <si>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</si>
  <si>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</si>
  <si>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</si>
  <si>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</si>
  <si>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</si>
  <si>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</si>
  <si>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</si>
  <si>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</si>
  <si>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</si>
  <si>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</si>
  <si>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</si>
  <si>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</si>
  <si>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</si>
  <si>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</si>
  <si>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</si>
  <si>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</si>
  <si>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</si>
  <si>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</si>
  <si>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</si>
  <si>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</si>
  <si>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</si>
  <si>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</si>
  <si>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</si>
  <si>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</si>
  <si>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</si>
  <si>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</si>
  <si>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</si>
  <si>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</si>
  <si>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</si>
  <si>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</si>
  <si>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</si>
  <si>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</si>
  <si>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</si>
  <si>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</si>
  <si>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</si>
  <si>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</si>
  <si>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</si>
  <si>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</si>
  <si>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</si>
  <si>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</si>
  <si>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</si>
  <si>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</si>
  <si>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</si>
  <si>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</si>
  <si>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</si>
  <si>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</si>
  <si>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</si>
  <si>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</si>
  <si>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</si>
  <si>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</si>
  <si>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</si>
  <si>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</si>
  <si>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</si>
  <si>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</si>
  <si>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</si>
  <si>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</si>
  <si>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</si>
  <si>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</si>
  <si>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</si>
  <si>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</si>
  <si>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</si>
  <si>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</si>
  <si>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</si>
  <si>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</si>
  <si>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</si>
  <si>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</si>
  <si>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</si>
  <si>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</si>
  <si>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</si>
  <si>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</si>
  <si>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</si>
  <si>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</si>
  <si>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</si>
  <si>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</si>
  <si>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</si>
  <si>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</si>
  <si>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</si>
  <si>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</si>
  <si>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</si>
  <si>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</si>
  <si>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</si>
  <si>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</si>
  <si>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</si>
  <si>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</si>
  <si>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</si>
  <si>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</si>
  <si>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</si>
  <si>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</si>
  <si>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</si>
  <si>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</si>
  <si>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</si>
  <si>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</si>
  <si>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</si>
  <si>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</si>
  <si>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</si>
  <si>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</si>
  <si>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</si>
  <si>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</si>
  <si>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</si>
  <si>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</si>
  <si>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</si>
  <si>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</si>
  <si>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</si>
  <si>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</si>
  <si>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</si>
  <si>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</si>
  <si>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</si>
  <si>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</si>
  <si>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</si>
  <si>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</si>
  <si>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</si>
  <si>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</si>
  <si>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</si>
  <si>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</si>
  <si>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</si>
  <si>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</si>
  <si>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</si>
  <si>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</si>
  <si>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</si>
  <si>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</si>
  <si>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</si>
  <si>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</si>
  <si>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</si>
  <si>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</si>
  <si>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</si>
  <si>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</si>
  <si>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</si>
  <si>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</si>
  <si>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</si>
  <si>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</si>
  <si>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</si>
  <si>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</si>
  <si>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</si>
  <si>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</si>
  <si>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</si>
  <si>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</si>
  <si>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</si>
  <si>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</si>
  <si>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</si>
  <si>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</si>
  <si>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</si>
  <si>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</si>
  <si>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</si>
  <si>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</si>
  <si>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</si>
  <si>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</si>
  <si>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</si>
  <si>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</si>
  <si>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</si>
  <si>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</si>
  <si>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</si>
  <si>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</si>
  <si>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</si>
  <si>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</si>
  <si>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</si>
  <si>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</si>
  <si>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</si>
  <si>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</si>
  <si>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</si>
  <si>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</si>
  <si>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</si>
  <si>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</si>
  <si>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</si>
  <si>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</si>
  <si>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</si>
  <si>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</si>
  <si>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</si>
  <si>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</si>
  <si>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</si>
  <si>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</si>
  <si>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</si>
  <si>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</si>
  <si>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</si>
  <si>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</si>
  <si>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</si>
  <si>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</si>
  <si>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</si>
  <si>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</si>
  <si>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</si>
  <si>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</si>
  <si>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</si>
  <si>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</si>
  <si>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</si>
  <si>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</si>
  <si>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</si>
  <si>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</si>
  <si>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</si>
  <si>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</si>
  <si>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</si>
  <si>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</si>
  <si>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</si>
  <si>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</si>
  <si>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</si>
  <si>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</si>
  <si>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</si>
  <si>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</si>
  <si>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</si>
  <si>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</si>
  <si>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</si>
  <si>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</si>
  <si>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</si>
  <si>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</si>
  <si>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</si>
  <si>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</si>
  <si>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</si>
  <si>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</si>
  <si>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</si>
  <si>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</si>
  <si>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</si>
  <si>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</si>
  <si>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</si>
  <si>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</si>
  <si>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</si>
  <si>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</si>
  <si>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</si>
  <si>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</si>
  <si>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</si>
  <si>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</si>
  <si>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</si>
  <si>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</si>
  <si>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</si>
  <si>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</si>
  <si>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</si>
  <si>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</si>
  <si>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</si>
  <si>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</si>
  <si>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</si>
  <si>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</si>
  <si>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</si>
  <si>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</si>
  <si>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</si>
  <si>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</si>
  <si>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</si>
  <si>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</si>
  <si>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</si>
  <si>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</si>
  <si>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</si>
  <si>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</si>
  <si>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</si>
  <si>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</si>
  <si>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</si>
  <si>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</si>
  <si>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</si>
  <si>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</si>
  <si>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</si>
  <si>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</si>
  <si>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</si>
  <si>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</si>
  <si>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</si>
  <si>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</si>
  <si>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</si>
  <si>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</si>
  <si>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</si>
  <si>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</si>
  <si>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</si>
  <si>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</si>
  <si>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</si>
  <si>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</si>
  <si>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</si>
  <si>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</si>
  <si>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</si>
  <si>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</si>
  <si>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</si>
  <si>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</si>
  <si>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</si>
  <si>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</si>
  <si>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</si>
  <si>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</si>
  <si>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</si>
  <si>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</si>
  <si>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</si>
  <si>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</si>
  <si>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</si>
  <si>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</si>
  <si>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</si>
  <si>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</si>
  <si>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</si>
  <si>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</si>
  <si>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</si>
  <si>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</si>
  <si>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</si>
  <si>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</si>
  <si>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</si>
  <si>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</si>
  <si>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</si>
  <si>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</si>
  <si>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</si>
  <si>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</si>
  <si>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</si>
  <si>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</si>
  <si>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</si>
  <si>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</si>
  <si>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</si>
  <si>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</si>
  <si>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</si>
  <si>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</si>
  <si>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</si>
  <si>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</si>
  <si>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</si>
  <si>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</si>
  <si>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</si>
  <si>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</si>
  <si>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</si>
  <si>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</si>
  <si>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</si>
  <si>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</si>
  <si>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</si>
  <si>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</si>
  <si>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</si>
  <si>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</si>
  <si>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</si>
  <si>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</si>
  <si>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</si>
  <si>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</si>
  <si>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</si>
  <si>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</si>
  <si>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</si>
  <si>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</si>
  <si>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</si>
  <si>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</si>
  <si>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</si>
  <si>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</si>
  <si>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</si>
  <si>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</si>
  <si>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</si>
  <si>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</si>
  <si>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</si>
  <si>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</si>
  <si>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</si>
  <si>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</si>
  <si>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</si>
  <si>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</si>
  <si>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</si>
  <si>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</si>
  <si>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</si>
  <si>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</si>
  <si>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</si>
  <si>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</si>
  <si>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</si>
  <si>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</si>
  <si>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</si>
  <si>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</si>
  <si>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</si>
  <si>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</si>
  <si>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</si>
  <si>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</si>
  <si>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</si>
  <si>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</si>
  <si>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</si>
  <si>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</si>
  <si>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</si>
  <si>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</si>
  <si>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</si>
  <si>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</si>
  <si>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</si>
  <si>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</si>
  <si>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</si>
  <si>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</si>
  <si>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</si>
  <si>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</si>
  <si>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</si>
  <si>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</si>
  <si>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</si>
  <si>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</si>
  <si>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</si>
  <si>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</si>
  <si>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</si>
  <si>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</si>
  <si>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Select the whole data the got to Data and Press Remove Duplicates</t>
  </si>
  <si>
    <t>N/A</t>
  </si>
  <si>
    <t>Ctrl H, Find the Blanks then replace with N/A</t>
  </si>
  <si>
    <t>Change the Entries to either Short dates or numbers</t>
  </si>
  <si>
    <t>Prices</t>
  </si>
  <si>
    <t>For negative prices, Use ABS function. Highlight discounts &gt;30% by Conditional formatting</t>
  </si>
  <si>
    <t>LeadTimeDays</t>
  </si>
  <si>
    <t>GrossRevenue</t>
  </si>
  <si>
    <t>CostofGoods</t>
  </si>
  <si>
    <t>GrossProfit</t>
  </si>
  <si>
    <t>MarginPct</t>
  </si>
  <si>
    <t>MMM-YYYY</t>
  </si>
  <si>
    <t>Quarter</t>
  </si>
  <si>
    <t>Region Hierarchy</t>
  </si>
  <si>
    <t>Use the formula: =Q"&amp;ROUNDUP(MONTH(OrderDate)/3,0)&amp;"-"&amp;YEAR(OrderDate) where "ROUNDUP" stand for putting the months together and categorizing them into quarters.</t>
  </si>
  <si>
    <t>Use the formula: =CONCAT(MONTH(OrderDate),"-",YEAR(OrderDate)) where "CONCAT" is short for "CONCATNET" which means joining the month and the year. Another formula you can use is: =TEXT(OrderDate, "MMM-YYYY")</t>
  </si>
  <si>
    <t>Use the formula: =CONCAT(Region," →",Country," →",City)</t>
  </si>
  <si>
    <t>Percentile</t>
  </si>
  <si>
    <t>PriceBand</t>
  </si>
  <si>
    <t>Use the formula: =IF(UnitPrice&lt;=LowerCutOff,"Low", IF(UnitPrice&lt;=HigherCutOff,"Medium","High"))</t>
  </si>
  <si>
    <t>Row Labels</t>
  </si>
  <si>
    <t>Grand Total</t>
  </si>
  <si>
    <t>Column Labels</t>
  </si>
  <si>
    <t>10-2023</t>
  </si>
  <si>
    <t>11-2024</t>
  </si>
  <si>
    <t>1-2023</t>
  </si>
  <si>
    <t>12-2023</t>
  </si>
  <si>
    <t>2-2023</t>
  </si>
  <si>
    <t>2-2024</t>
  </si>
  <si>
    <t>3-2023</t>
  </si>
  <si>
    <t>3-2024</t>
  </si>
  <si>
    <t>4-2023</t>
  </si>
  <si>
    <t>4-2024</t>
  </si>
  <si>
    <t>4-2025</t>
  </si>
  <si>
    <t>5-2023</t>
  </si>
  <si>
    <t>5-2024</t>
  </si>
  <si>
    <t>5-2025</t>
  </si>
  <si>
    <t>6-2023</t>
  </si>
  <si>
    <t>6-2024</t>
  </si>
  <si>
    <t>7-2023</t>
  </si>
  <si>
    <t>7-2024</t>
  </si>
  <si>
    <t>7-2025</t>
  </si>
  <si>
    <t>8-2023</t>
  </si>
  <si>
    <t>8-2024</t>
  </si>
  <si>
    <t>8-2025</t>
  </si>
  <si>
    <t>9-2023</t>
  </si>
  <si>
    <t>9-2024</t>
  </si>
  <si>
    <t>9-2025</t>
  </si>
  <si>
    <t>Sum of GrossRevenue</t>
  </si>
  <si>
    <t>Q1-2023</t>
  </si>
  <si>
    <t>Q1-2024</t>
  </si>
  <si>
    <t>Q1-2025</t>
  </si>
  <si>
    <t>Q2-2023</t>
  </si>
  <si>
    <t>Q2-2024</t>
  </si>
  <si>
    <t>Q2-2025</t>
  </si>
  <si>
    <t>Q3-2023</t>
  </si>
  <si>
    <t>Q3-2024</t>
  </si>
  <si>
    <t>Q3-2025</t>
  </si>
  <si>
    <t>Q4-2023</t>
  </si>
  <si>
    <t>Q4-2024</t>
  </si>
  <si>
    <t>Insert a Pivot Table and put Country, Quarter and Month in the Rows and Sum Of GrossRevenue in the values section. Then create a Slicer for the country</t>
  </si>
  <si>
    <t>Create a Pivot Table and Put SKU and ProductCategory in the Rows and SumofGrossRevenue in Values. Then per every SKU, Calculate 80%, 15% and 5% percentiles highlighting each with a different color.</t>
  </si>
  <si>
    <t>Count of OrderID</t>
  </si>
  <si>
    <t>Sum of GrossProfit</t>
  </si>
  <si>
    <t>Month</t>
  </si>
  <si>
    <t>Year</t>
  </si>
  <si>
    <t>Create a Pivot Table and Put  salesperson in Rows and Sum of GrossProfit and Count of OrderID in the values. Then create slicers for Month and Year which you will have created by using the formula: =TEXT(OrderDate,"MMM") for month and replacing "YYYY" for Year</t>
  </si>
  <si>
    <t>Create a Pivot Table and Put Region on the Rows, Channel on the Columns and Sum of GrossRevenue in Values. Create Slicers for Channels and Region. To show the Cannibalizing, create a bar graph with All Regions and Online and Retail Channels.</t>
  </si>
  <si>
    <t>New RequiredDate</t>
  </si>
  <si>
    <t>Discount Cap</t>
  </si>
  <si>
    <t>UnitCost Inflation</t>
  </si>
  <si>
    <t>Quantity Uplift</t>
  </si>
  <si>
    <t>7 LeadTimeDays</t>
  </si>
  <si>
    <t>No</t>
  </si>
  <si>
    <t>Yes</t>
  </si>
  <si>
    <t>new   od</t>
  </si>
  <si>
    <t>New RD</t>
  </si>
  <si>
    <t>New LTD</t>
  </si>
  <si>
    <t>Start by getting NewLeadDates. That required to correct my OrderDates and RequiredDates by using the formula: =IF([@RequiredDate]&lt;[@OrderDate],[@RequiredDate],[@OrderDate]) ,and then calculated NewLeadTimes by using the formula: (RequiredDates-OrderDates). Then create a PivotChart with CountofOrderID in the Values section and  7LeadTimes in Rows. Then add slicers for Country and Products and a Pie Chart</t>
  </si>
  <si>
    <t>Greater than 20% Discount</t>
  </si>
  <si>
    <t>Created a Pivot Table with CountofOrderID at the values and GreaterThan20%Discount. I was able to get 'GreaterThan20%Discount by creating a new Column and using the following formula: =IF(DiscountPct&gt;20%,"Yes","No")</t>
  </si>
  <si>
    <t>I assumed that my global cap is 20% then created a new folder called Discount Cap. I then used the following formula: =IF(Dashboard!$D$3&gt;'Staging Data'!DiscountPct,'Staging Data'!DiscountPct,Dashboard!D$3) and D3 is the assumed Global Discount Cap</t>
  </si>
  <si>
    <t>I assumed that my inflation factor is 5% then created a new folder called UnitCost Inflation. I then used the following formula: =(100%+Dashboard!$D$4)*'Staging Data'!S3. Where S3 is the UnitCost and D4 is the assumed Inflation Factor</t>
  </si>
  <si>
    <t>I assumed that my Quantity Uplift is 15% then created a new folder called Quantity Uplift. I then used the following formula: =(100%+Dashboard!$D$5)*'Staging Data'!W3. Where W3 is the Quantity and D4 is the assumed Quantity Uplift</t>
  </si>
  <si>
    <t>Mar</t>
  </si>
  <si>
    <t>2023</t>
  </si>
  <si>
    <t>Jan</t>
  </si>
  <si>
    <t>Feb</t>
  </si>
  <si>
    <t>Apr</t>
  </si>
  <si>
    <t>May</t>
  </si>
  <si>
    <t>Jun</t>
  </si>
  <si>
    <t>Jul</t>
  </si>
  <si>
    <t>Aug</t>
  </si>
  <si>
    <t>Sep</t>
  </si>
  <si>
    <t>Oct</t>
  </si>
  <si>
    <t>Nov</t>
  </si>
  <si>
    <t>Dec</t>
  </si>
  <si>
    <t>2024</t>
  </si>
  <si>
    <t>2025</t>
  </si>
  <si>
    <t>Margin%</t>
  </si>
  <si>
    <t>Number of Orders</t>
  </si>
  <si>
    <t>Avg Order Value</t>
  </si>
  <si>
    <t>On Time%</t>
  </si>
  <si>
    <t>10-2024</t>
  </si>
  <si>
    <t>To clear the duplicates, Select the whole data the got to Data and Press Remove Duplicates</t>
  </si>
  <si>
    <t>To fix the data types to numeric figures, Change the Entries to either Short dates or numbers at the Number section</t>
  </si>
  <si>
    <t>To handle missing City, Salesperson and Channel, press Ctrl H, Find the Blanks then replace with N/A</t>
  </si>
  <si>
    <t>After flagging the negative prices and discount&gt;30% use the following. For negative prices, Use ABS function. Highlight the discountpct colum and using  Conditional formatting highligh values &gt;30%.</t>
  </si>
  <si>
    <t>Use the formula: =IF([@RequiredDate]&gt;[@OrderDate],[@RequiredDate],[@OrderDate])</t>
  </si>
  <si>
    <t>To ensure RequiredDate is not earlier than OrderDate, I used the formula =IF([@RequiredDate]&gt;[@OrderDate],[@RequiredDate],[@OrderDate])</t>
  </si>
  <si>
    <t>After creating new RequiredDate and OrderDate I used it to create NLTD which is a column standing for NewLeadTimeDays</t>
  </si>
  <si>
    <t>To derive MMM-YYYY from OrderDate I used the formula: =CONCAT(MONTH(OrderDate),"-",YEAR(OrderDate)) where "CONCAT" is short for "CONCATNET" which means joining the month and the year. Another formula you can use is: =TEXT(OrderDate, "MMM-YYYY")</t>
  </si>
  <si>
    <t>To get the different quarters, Use the formula: =Q"&amp;ROUNDUP(MONTH(OrderDate)/3,0)&amp;"-"&amp;YEAR(OrderDate) where "ROUNDUP" stand for putting the months together and categorizing them into quarters.</t>
  </si>
  <si>
    <t>To get the Region Hierarchy Use the formula: =CONCAT(Region," →",Country," →",City)</t>
  </si>
  <si>
    <t>To create the PriceBand column, Use the formula: =IF(UnitPrice&lt;=LowerCutOff,"Low", IF(UnitPrice&lt;=HigherCutOff,"Medium","High"))</t>
  </si>
  <si>
    <t>To identify the first month each Country appears and calculate monthly revenue tracked from that start, Insert a Pivot Table and put Country, Quarter and Month in the Rows and Sum Of GrossRevenue in the values section. Then create a Slicer for the country</t>
  </si>
  <si>
    <t>To classify SKUs into A (top 80%), B (next 15%), C (last 5%) of revenue per category, Create a Pivot Table and Put SKU and ProductCategory in the Rows and SumofGrossRevenue in Values. Then per every SKU, Calculate 80%, 15% and 5% percentiles highlighting each with a different color.</t>
  </si>
  <si>
    <t>To compute Revenue/Order, Orders/Month, and GrossProfit/Order by Salesperson; highlight the top and bottom 3, Create a Pivot Table and Put  salesperson in Rows and Sum of GrossProfit and Count of OrderID in the values. Then create slicers for Month and Year which you will have created by using the formula: =TEXT(OrderDate,"MMM") for month and replacing "YYYY" for Year</t>
  </si>
  <si>
    <t>Using LeadTimeDays, determine % of orders meeting a 7-day target by Country and Category, Start by getting NewLeadDates. That required to correct my OrderDates and RequiredDates by using the formula: =IF([@RequiredDate]&lt;[@OrderDate],[@RequiredDate],[@OrderDate]) ,and then calculated NewLeadTimes by using the formula: (RequiredDates-OrderDates). Then create a PivotChart with CountofOrderID in the Values section and  7LeadTimes in Rows. Then add slicers for Country and Products and a Pie Chart</t>
  </si>
  <si>
    <t xml:space="preserve"> To compare revenue shares by Channel across Regions; identify where online cannibalizes retail, Compare revenue shares by Channel across Regions; identify where online cannibalizes retail (justify with data).</t>
  </si>
  <si>
    <t>Share of orders with DiscountPct &gt; 20% by Region and Salesperson; list outliers, Created a Pivot Table with CountofOrderID at the values and GreaterThan20%Discount. I was able to get 'GreaterThan20%Discount by creating a new Column and using the following formula: =IF(DiscountPct&gt;20%,"Yes","No")</t>
  </si>
  <si>
    <t>To get the Global Discount Gap, I assumed that my global cap is 20% then created a new folder called Discount Cap. I then used the following formula: =IF(Dashboard!$D$3&gt;'Staging Data'!DiscountPct,'Staging Data'!DiscountPct,Dashboard!D$3) and D3 is the assumed Global Discount Cap</t>
  </si>
  <si>
    <t>To get Unit Cost Inflation Factor, I assumed that my inflation factor is 5% then created a new folder called UnitCost Inflation. I then used the following formula: =(100%+Dashboard!$D$4)*'Staging Data'!S3. Where S3 is the UnitCost and D4 is the assumed Inflation Factor</t>
  </si>
  <si>
    <t>To get Quantity Uplift, I assumed that my Quantity Uplift is 15% then created a new folder called Quantity Uplift. I then used the following formula: =(100%+Dashboard!$D$5)*'Staging Data'!W3. Where W3 is the Quantity and D4 is the assumed Quantity Uplift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</si>
</sst>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20"/>
      <color theme="1"/>
      <name val="Calibri"/>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5"/>
        <bgColor indexed="64"/>
      </patternFill>
    </fill>
    <fill>
      <patternFill patternType="solid">
        <fgColor theme="4"/>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0" fontId="1" fillId="0" borderId="0" xfId="0" applyFon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9" fontId="1" fillId="0" borderId="1" xfId="1" applyFont="1" applyBorder="1" applyAlignment="1">
      <alignment horizontal="center" vertical="top"/>
    </xf>
    <xf numFmtId="9" fontId="0" fillId="0" borderId="0" xfId="1" applyFont="1"/>
    <xf numFmtId="2" fontId="1" fillId="0" borderId="2" xfId="0" applyNumberFormat="1" applyFont="1" applyBorder="1" applyAlignment="1">
      <alignment horizontal="center" vertical="top"/>
    </xf>
    <xf numFmtId="2" fontId="1" fillId="0" borderId="3"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 fontId="0" fillId="2" borderId="0" xfId="0" applyNumberFormat="1" applyFill="1"/>
    <xf numFmtId="2" fontId="0" fillId="3" borderId="0" xfId="0" applyNumberFormat="1" applyFill="1"/>
    <xf numFmtId="2" fontId="0" fillId="4" borderId="0" xfId="0" applyNumberFormat="1" applyFill="1"/>
    <xf numFmtId="9" fontId="0" fillId="0" borderId="0" xfId="0" applyNumberFormat="1"/>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9" fontId="0" fillId="0" borderId="0" xfId="1" quotePrefix="1" applyFont="1"/>
    <xf numFmtId="2" fontId="4" fillId="5" borderId="0" xfId="0" applyNumberFormat="1" applyFont="1" applyFill="1"/>
    <xf numFmtId="2" fontId="4" fillId="6" borderId="0" xfId="0" applyNumberFormat="1" applyFont="1" applyFill="1"/>
    <xf numFmtId="9" fontId="4" fillId="5" borderId="0" xfId="0" applyNumberFormat="1" applyFont="1" applyFill="1"/>
    <xf numFmtId="0" fontId="4" fillId="6" borderId="0" xfId="0" applyFont="1" applyFill="1"/>
    <xf numFmtId="0" fontId="0" fillId="0" borderId="0" xfId="0"/>
    <xf numFmtId="0" fontId="1" fillId="0" borderId="0" xfId="0" applyFont="1"/>
    <xf numFmtId="0" fontId="0" fillId="0" borderId="0" xfId="0" applyNumberFormat="1"/>
    <xf numFmtId="2" fontId="0" fillId="7" borderId="0" xfId="0" applyNumberFormat="1" applyFill="1"/>
    <xf numFmtId="0" fontId="0" fillId="0" borderId="0" xfId="0" applyFill="1" applyAlignment="1">
      <alignment horizontal="left" indent="1"/>
    </xf>
    <xf numFmtId="0" fontId="0" fillId="0" borderId="0" xfId="0" applyFill="1" applyBorder="1"/>
    <xf numFmtId="0" fontId="0" fillId="0" borderId="0" xfId="0" applyFont="1"/>
  </cellXfs>
  <cellStyles count="2">
    <cellStyle name="Normal" xfId="0" builtinId="0"/>
    <cellStyle name="Percent" xfId="1" builtinId="5"/>
  </cellStyles>
  <dxfs count="845">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bgColor theme="5" tint="0.39997558519241921"/>
        </patternFill>
      </fill>
    </dxf>
    <dxf>
      <fill>
        <patternFill>
          <bgColor theme="5" tint="-0.249977111117893"/>
        </patternFill>
      </fill>
    </dxf>
    <dxf>
      <fill>
        <patternFill>
          <bgColor theme="5" tint="-0.499984740745262"/>
        </patternFill>
      </fill>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1" formatCode="0"/>
    </dxf>
    <dxf>
      <numFmt numFmtId="19" formatCode="m/d/yyyy"/>
    </dxf>
    <dxf>
      <numFmt numFmtId="1" formatCode="0"/>
    </dxf>
    <dxf>
      <numFmt numFmtId="19" formatCode="m/d/yyyy"/>
    </dxf>
    <dxf>
      <numFmt numFmtId="19" formatCode="m/d/yyyy"/>
    </dxf>
    <dxf>
      <numFmt numFmtId="19" formatCode="m/d/yyyy"/>
    </dxf>
    <dxf>
      <numFmt numFmtId="19" formatCode="m/d/yyyy"/>
    </dxf>
    <dxf>
      <numFmt numFmtId="2" formatCode="0.00"/>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1" formatCode="0"/>
    </dxf>
    <dxf>
      <numFmt numFmtId="19" formatCode="m/d/yyyy"/>
    </dxf>
    <dxf>
      <numFmt numFmtId="1" formatCode="0"/>
    </dxf>
    <dxf>
      <numFmt numFmtId="19" formatCode="m/d/yyyy"/>
    </dxf>
    <dxf>
      <numFmt numFmtId="19" formatCode="m/d/yyyy"/>
    </dxf>
    <dxf>
      <numFmt numFmtId="19" formatCode="m/d/yyyy"/>
    </dxf>
    <dxf>
      <numFmt numFmtId="19" formatCode="m/d/yyyy"/>
    </dxf>
    <dxf>
      <numFmt numFmtId="2" formatCode="0.00"/>
    </dxf>
    <dxf>
      <font>
        <b/>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5" tint="-0.499984740745262"/>
        </patternFill>
      </fill>
    </dxf>
    <dxf>
      <fill>
        <patternFill>
          <bgColor theme="5" tint="-0.249977111117893"/>
        </patternFill>
      </fill>
    </dxf>
    <dxf>
      <fill>
        <patternFill>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499984740745262"/>
        </patternFill>
      </fill>
    </dxf>
    <dxf>
      <fill>
        <patternFill patternType="solid">
          <bgColor theme="5" tint="-0.249977111117893"/>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499984740745262"/>
        </patternFill>
      </fill>
    </dxf>
    <dxf>
      <fill>
        <patternFill patternType="solid">
          <bgColor theme="5" tint="0.39997558519241921"/>
        </patternFill>
      </fill>
    </dxf>
    <dxf>
      <fill>
        <patternFill patternType="solid">
          <bgColor theme="5" tint="-0.249977111117893"/>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solid">
          <bgColor theme="5" tint="0.59999389629810485"/>
        </patternFill>
      </fill>
    </dxf>
    <dxf>
      <fill>
        <patternFill patternType="solid">
          <bgColor theme="5" tint="-0.249977111117893"/>
        </patternFill>
      </fill>
    </dxf>
    <dxf>
      <fill>
        <patternFill patternType="solid">
          <bgColor theme="5" tint="0.39997558519241921"/>
        </patternFill>
      </fill>
    </dxf>
    <dxf>
      <fill>
        <patternFill patternType="none">
          <bgColor auto="1"/>
        </patternFill>
      </fill>
    </dxf>
    <dxf>
      <fill>
        <patternFill patternType="none">
          <bgColor auto="1"/>
        </patternFill>
      </fill>
    </dxf>
    <dxf>
      <fill>
        <patternFill patternType="solid">
          <bgColor theme="5"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[Mwende_Sales_Excel_Dashboard.xlsx]SKU and ProductCategory vs Reve!PivotTable6</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Top</a:t>
            </a:r>
            <a:r>
              <a:rPr lang="en-US" baseline="0">
                <a:solidFill>
                  <a:sysClr val="windowText" lastClr="000000"/>
                </a:solidFill>
              </a:rPr>
              <a:t> 10 SKUs by Revenue</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'SKU and ProductCategory vs Reve'!$B$3</c:f>
              <c:strCache>
                <c:ptCount val="1"/>
                <c:pt idx="0">
                  <c:v>Total</c:v>
                </c:pt>
              </c:strCache>
            </c:strRef>
          </c:tx>
          <c:spPr>
            <a:solidFill>
              <a:schemeClr val="accent4"/>
            </a:solidFill>
            <a:ln>
              <a:noFill/>
            </a:ln>
            <a:effectLst/>
          </c:spPr>
          <c:invertIfNegative val="0"/>
          <c:cat>
            <c:multiLvlStrRef>
              <c:f>'SKU and ProductCategory vs Reve'!$A$4:$A$62</c:f>
              <c:multiLvlStrCache>
                <c:ptCount val="51"/>
                <c:lvl>
                  <c:pt idx="0">
                    <c:v>ACC-2988</c:v>
                  </c:pt>
                  <c:pt idx="1">
                    <c:v>ACC-1659</c:v>
                  </c:pt>
                  <c:pt idx="2">
                    <c:v>ACC-1238</c:v>
                  </c:pt>
                  <c:pt idx="3">
                    <c:v>ACC-5144</c:v>
                  </c:pt>
                  <c:pt idx="4">
                    <c:v>ACC-7354</c:v>
                  </c:pt>
                  <c:pt idx="5">
                    <c:v>ACC-4124</c:v>
                  </c:pt>
                  <c:pt idx="6">
                    <c:v>ACC-1028</c:v>
                  </c:pt>
                  <c:pt idx="7">
                    <c:v>ACC-2252</c:v>
                  </c:pt>
                  <c:pt idx="8">
                    <c:v>ACC-4766</c:v>
                  </c:pt>
                  <c:pt idx="9">
                    <c:v>ACC-9820</c:v>
                  </c:pt>
                  <c:pt idx="10">
                    <c:v>CMP-3938</c:v>
                  </c:pt>
                  <c:pt idx="11">
                    <c:v>CMP-5911</c:v>
                  </c:pt>
                  <c:pt idx="12">
                    <c:v>CMP-4970</c:v>
                  </c:pt>
                  <c:pt idx="13">
                    <c:v>CMP-8270</c:v>
                  </c:pt>
                  <c:pt idx="14">
                    <c:v>CMP-2854</c:v>
                  </c:pt>
                  <c:pt idx="15">
                    <c:v>LAP-1739</c:v>
                  </c:pt>
                  <c:pt idx="16">
                    <c:v>LAP-9815</c:v>
                  </c:pt>
                  <c:pt idx="17">
                    <c:v>LAP-1989</c:v>
                  </c:pt>
                  <c:pt idx="18">
                    <c:v>LAP-6577</c:v>
                  </c:pt>
                  <c:pt idx="19">
                    <c:v>LAP-7136</c:v>
                  </c:pt>
                  <c:pt idx="20">
                    <c:v>LAP-1698</c:v>
                  </c:pt>
                  <c:pt idx="21">
                    <c:v>LAP-4607</c:v>
                  </c:pt>
                  <c:pt idx="22">
                    <c:v>LAP-7819</c:v>
                  </c:pt>
                  <c:pt idx="23">
                    <c:v>LAP-1969</c:v>
                  </c:pt>
                  <c:pt idx="24">
                    <c:v>LAP-3278</c:v>
                  </c:pt>
                  <c:pt idx="25">
                    <c:v>MON-6190</c:v>
                  </c:pt>
                  <c:pt idx="26">
                    <c:v>MON-2462</c:v>
                  </c:pt>
                  <c:pt idx="27">
                    <c:v>NET-5987</c:v>
                  </c:pt>
                  <c:pt idx="28">
                    <c:v>NET-6036</c:v>
                  </c:pt>
                  <c:pt idx="29">
                    <c:v>NET-3432</c:v>
                  </c:pt>
                  <c:pt idx="30">
                    <c:v>NET-2628</c:v>
                  </c:pt>
                  <c:pt idx="31">
                    <c:v>NET-2499</c:v>
                  </c:pt>
                  <c:pt idx="32">
                    <c:v>NET-9666</c:v>
                  </c:pt>
                  <c:pt idx="33">
                    <c:v>PHN-8804</c:v>
                  </c:pt>
                  <c:pt idx="34">
                    <c:v>PHN-1919</c:v>
                  </c:pt>
                  <c:pt idx="35">
                    <c:v>PHN-8891</c:v>
                  </c:pt>
                  <c:pt idx="36">
                    <c:v>PHN-1671</c:v>
                  </c:pt>
                  <c:pt idx="37">
                    <c:v>PHN-6866</c:v>
                  </c:pt>
                  <c:pt idx="38">
                    <c:v>PHN-7924</c:v>
                  </c:pt>
                  <c:pt idx="39">
                    <c:v>PHN-5082</c:v>
                  </c:pt>
                  <c:pt idx="40">
                    <c:v>PHN-7636</c:v>
                  </c:pt>
                  <c:pt idx="41">
                    <c:v>PHN-6954</c:v>
                  </c:pt>
                  <c:pt idx="42">
                    <c:v>PHN-8014</c:v>
                  </c:pt>
                  <c:pt idx="43">
                    <c:v>PRN-3143</c:v>
                  </c:pt>
                  <c:pt idx="44">
                    <c:v>PRN-7089</c:v>
                  </c:pt>
                  <c:pt idx="45">
                    <c:v>PRN-4893</c:v>
                  </c:pt>
                  <c:pt idx="46">
                    <c:v>PRN-6068</c:v>
                  </c:pt>
                  <c:pt idx="47">
                    <c:v>PRN-9488</c:v>
                  </c:pt>
                  <c:pt idx="48">
                    <c:v>PRN-2641</c:v>
                  </c:pt>
                  <c:pt idx="49">
                    <c:v>PRN-7049</c:v>
                  </c:pt>
                  <c:pt idx="50">
                    <c:v>PRN-5569</c:v>
                  </c:pt>
                </c:lvl>
                <c:lvl>
                  <c:pt idx="0">
                    <c:v>Accessories</c:v>
                  </c:pt>
                  <c:pt idx="10">
                    <c:v>Components</c:v>
                  </c:pt>
                  <c:pt idx="15">
                    <c:v>Laptops</c:v>
                  </c:pt>
                  <c:pt idx="25">
                    <c:v>Monitors</c:v>
                  </c:pt>
                  <c:pt idx="27">
                    <c:v>Networking</c:v>
                  </c:pt>
                  <c:pt idx="33">
                    <c:v>Phones</c:v>
                  </c:pt>
                  <c:pt idx="43">
                    <c:v>Printers</c:v>
                  </c:pt>
                </c:lvl>
              </c:multiLvlStrCache>
            </c:multiLvlStrRef>
          </c:cat>
          <c:val>
            <c:numRef>
              <c:f>'SKU and ProductCategory vs Reve'!$B$4:$B$62</c:f>
              <c:numCache>
                <c:formatCode>0.00</c:formatCode>
                <c:ptCount val="51"/>
                <c:pt idx="0">
                  <c:v>53034.364139999991</c:v>
                </c:pt>
                <c:pt idx="1">
                  <c:v>28386.015839999996</c:v>
                </c:pt>
                <c:pt idx="2">
                  <c:v>17067.938400000003</c:v>
                </c:pt>
                <c:pt idx="3">
                  <c:v>15860.782080000001</c:v>
                </c:pt>
                <c:pt idx="4">
                  <c:v>13108.78584</c:v>
                </c:pt>
                <c:pt idx="5">
                  <c:v>11015.510400000003</c:v>
                </c:pt>
                <c:pt idx="6">
                  <c:v>10693.88488</c:v>
                </c:pt>
                <c:pt idx="7">
                  <c:v>4569.8508000000002</c:v>
                </c:pt>
                <c:pt idx="8">
                  <c:v>1030.7574</c:v>
                </c:pt>
                <c:pt idx="9">
                  <c:v>549.80010000000004</c:v>
                </c:pt>
                <c:pt idx="10">
                  <c:v>84136.119600000005</c:v>
                </c:pt>
                <c:pt idx="11">
                  <c:v>17540.201120000002</c:v>
                </c:pt>
                <c:pt idx="12">
                  <c:v>13519.529099999998</c:v>
                </c:pt>
                <c:pt idx="13">
                  <c:v>4866.3287999999993</c:v>
                </c:pt>
                <c:pt idx="14">
                  <c:v>1654.8966000000003</c:v>
                </c:pt>
                <c:pt idx="15">
                  <c:v>58526.83122</c:v>
                </c:pt>
                <c:pt idx="16">
                  <c:v>23782.310720000001</c:v>
                </c:pt>
                <c:pt idx="17">
                  <c:v>19581.87</c:v>
                </c:pt>
                <c:pt idx="18">
                  <c:v>14910.609600000002</c:v>
                </c:pt>
                <c:pt idx="19">
                  <c:v>13669.81</c:v>
                </c:pt>
                <c:pt idx="20">
                  <c:v>7090.5672000000004</c:v>
                </c:pt>
                <c:pt idx="21">
                  <c:v>5932.7856000000002</c:v>
                </c:pt>
                <c:pt idx="22">
                  <c:v>5785.8</c:v>
                </c:pt>
                <c:pt idx="23">
                  <c:v>3823.6151599999998</c:v>
                </c:pt>
                <c:pt idx="24">
                  <c:v>3562.9028999999996</c:v>
                </c:pt>
                <c:pt idx="25">
                  <c:v>16121.273400000002</c:v>
                </c:pt>
                <c:pt idx="26">
                  <c:v>8330.2513199999994</c:v>
                </c:pt>
                <c:pt idx="27">
                  <c:v>82141.339799999987</c:v>
                </c:pt>
                <c:pt idx="28">
                  <c:v>47962.717579999997</c:v>
                </c:pt>
                <c:pt idx="29">
                  <c:v>17731.623</c:v>
                </c:pt>
                <c:pt idx="30">
                  <c:v>3592.04</c:v>
                </c:pt>
                <c:pt idx="31">
                  <c:v>2795.6384399999997</c:v>
                </c:pt>
                <c:pt idx="32">
                  <c:v>319.72248000000002</c:v>
                </c:pt>
                <c:pt idx="33">
                  <c:v>37038.581760000001</c:v>
                </c:pt>
                <c:pt idx="34">
                  <c:v>33071.3145</c:v>
                </c:pt>
                <c:pt idx="35">
                  <c:v>27249</c:v>
                </c:pt>
                <c:pt idx="36">
                  <c:v>24223.05</c:v>
                </c:pt>
                <c:pt idx="37">
                  <c:v>19547.329920000004</c:v>
                </c:pt>
                <c:pt idx="38">
                  <c:v>16061.972879999999</c:v>
                </c:pt>
                <c:pt idx="39">
                  <c:v>11326.846439999999</c:v>
                </c:pt>
                <c:pt idx="40">
                  <c:v>7173.3342799999991</c:v>
                </c:pt>
                <c:pt idx="41">
                  <c:v>5487.6023999999998</c:v>
                </c:pt>
                <c:pt idx="42">
                  <c:v>4336.2427499999994</c:v>
                </c:pt>
                <c:pt idx="43">
                  <c:v>30596.565999999999</c:v>
                </c:pt>
                <c:pt idx="44">
                  <c:v>29654.83008</c:v>
                </c:pt>
                <c:pt idx="45">
                  <c:v>20053.439999999999</c:v>
                </c:pt>
                <c:pt idx="46">
                  <c:v>15825.399369999997</c:v>
                </c:pt>
                <c:pt idx="47">
                  <c:v>10428.057360000001</c:v>
                </c:pt>
                <c:pt idx="48">
                  <c:v>8326.6852500000005</c:v>
                </c:pt>
                <c:pt idx="49">
                  <c:v>7446.5209000000004</c:v>
                </c:pt>
                <c:pt idx="50">
                  <c:v>2736.27018</c:v>
                </c:pt>
              </c:numCache>
            </c:numRef>
          </c:val>
          <c:extLst>
            <c:ext xmlns:c16="http://schemas.microsoft.com/office/drawing/2014/chart" uri="{C3380CC4-5D6E-409C-BE32-E72D297353CC}">
              <c16:uniqueId val="{00000000-CB50-45F9-9004-EC745BA15033}"/>
            </c:ext>
          </c:extLst>
        </c:ser>
        <c:dLbls>
          <c:showLegendKey val="0"/>
          <c:showVal val="0"/>
          <c:showCatName val="0"/>
          <c:showSerName val="0"/>
          <c:showPercent val="0"/>
          <c:showBubbleSize val="0"/>
        </c:dLbls>
        <c:gapWidth val="219"/>
        <c:overlap val="-27"/>
        <c:axId val="938047183"/>
        <c:axId val="938040943"/>
      </c:barChart>
      <c:catAx>
        <c:axId val="93804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40943"/>
        <c:crosses val="autoZero"/>
        <c:auto val="1"/>
        <c:lblAlgn val="ctr"/>
        <c:lblOffset val="100"/>
        <c:noMultiLvlLbl val="0"/>
      </c:catAx>
      <c:valAx>
        <c:axId val="938040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4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[Mwende_Sales_Excel_Dashboard.xlsx]Online Cannibalizing Retail!PivotTable8</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Show</a:t>
            </a:r>
            <a:r>
              <a:rPr lang="en-US" baseline="0">
                <a:solidFill>
                  <a:sysClr val="windowText" lastClr="000000"/>
                </a:solidFill>
              </a:rPr>
              <a:t> of Online Cannibalizing Retail</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'Online Cannibalizing Retail'!$B$3:$B$4</c:f>
              <c:strCache>
                <c:ptCount val="1"/>
                <c:pt idx="0">
                  <c:v>Online</c:v>
                </c:pt>
              </c:strCache>
            </c:strRef>
          </c:tx>
          <c:spPr>
            <a:solidFill>
              <a:schemeClr val="accent2"/>
            </a:solidFill>
            <a:ln>
              <a:noFill/>
            </a:ln>
            <a:effectLst/>
          </c:spPr>
          <c:invertIfNegative val="0"/>
          <c:cat>
            <c:strRef>
              <c:f>'Online Cannibalizing Retail'!$A$5:$A$6</c:f>
              <c:strCache>
                <c:ptCount val="1"/>
                <c:pt idx="0">
                  <c:v>Africa</c:v>
                </c:pt>
              </c:strCache>
            </c:strRef>
          </c:cat>
          <c:val>
            <c:numRef>
              <c:f>'Online Cannibalizing Retail'!$B$5:$B$6</c:f>
              <c:numCache>
                <c:formatCode>0.00</c:formatCode>
                <c:ptCount val="1"/>
                <c:pt idx="0">
                  <c:v>128525.95718999999</c:v>
                </c:pt>
              </c:numCache>
            </c:numRef>
          </c:val>
          <c:extLst>
            <c:ext xmlns:c16="http://schemas.microsoft.com/office/drawing/2014/chart" uri="{C3380CC4-5D6E-409C-BE32-E72D297353CC}">
              <c16:uniqueId val="{00000000-1920-48CB-BF26-EB3D3338B87F}"/>
            </c:ext>
          </c:extLst>
        </c:ser>
        <c:ser>
          <c:idx val="1"/>
          <c:order val="1"/>
          <c:tx>
            <c:strRef>
              <c:f>'Online Cannibalizing Retail'!$C$3:$C$4</c:f>
              <c:strCache>
                <c:ptCount val="1"/>
                <c:pt idx="0">
                  <c:v>Retail</c:v>
                </c:pt>
              </c:strCache>
            </c:strRef>
          </c:tx>
          <c:spPr>
            <a:solidFill>
              <a:schemeClr val="accent4"/>
            </a:solidFill>
            <a:ln>
              <a:noFill/>
            </a:ln>
            <a:effectLst/>
          </c:spPr>
          <c:invertIfNegative val="0"/>
          <c:cat>
            <c:strRef>
              <c:f>'Online Cannibalizing Retail'!$A$5:$A$6</c:f>
              <c:strCache>
                <c:ptCount val="1"/>
                <c:pt idx="0">
                  <c:v>Africa</c:v>
                </c:pt>
              </c:strCache>
            </c:strRef>
          </c:cat>
          <c:val>
            <c:numRef>
              <c:f>'Online Cannibalizing Retail'!$C$5:$C$6</c:f>
              <c:numCache>
                <c:formatCode>0.00</c:formatCode>
                <c:ptCount val="1"/>
                <c:pt idx="0">
                  <c:v>276653.0817499999</c:v>
                </c:pt>
              </c:numCache>
            </c:numRef>
          </c:val>
          <c:extLst>
            <c:ext xmlns:c16="http://schemas.microsoft.com/office/drawing/2014/chart" uri="{C3380CC4-5D6E-409C-BE32-E72D297353CC}">
              <c16:uniqueId val="{00000014-6A61-453A-8E4A-E93FDC76BE0E}"/>
            </c:ext>
          </c:extLst>
        </c:ser>
        <c:dLbls>
          <c:showLegendKey val="0"/>
          <c:showVal val="0"/>
          <c:showCatName val="0"/>
          <c:showSerName val="0"/>
          <c:showPercent val="0"/>
          <c:showBubbleSize val="0"/>
        </c:dLbls>
        <c:gapWidth val="182"/>
        <c:axId val="617838607"/>
        <c:axId val="617839567"/>
      </c:barChart>
      <c:catAx>
        <c:axId val="61783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39567"/>
        <c:crosses val="autoZero"/>
        <c:auto val="1"/>
        <c:lblAlgn val="ctr"/>
        <c:lblOffset val="100"/>
        <c:noMultiLvlLbl val="0"/>
      </c:catAx>
      <c:valAx>
        <c:axId val="6178395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3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[Mwende_Sales_Excel_Dashboard.xlsx]LeadTimeDays vs OrderID!PivotTable11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LeadTimeDays against OrderID</a:t>
            </a: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'LeadTimeDays vs OrderID'!$B$3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238A-4447-9940-50D7CF5B258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238A-4447-9940-50D7CF5B2583}"/>
              </c:ext>
            </c:extLst>
          </c:dPt>
          <c:cat>
            <c:strRef>
              <c:f>'LeadTimeDays vs OrderID'!$A$4:$A$6</c:f>
              <c:strCache>
                <c:ptCount val="2"/>
                <c:pt idx="0">
                  <c:v>No</c:v>
                </c:pt>
                <c:pt idx="1">
                  <c:v>Yes</c:v>
                </c:pt>
              </c:strCache>
            </c:strRef>
          </c:cat>
          <c:val>
            <c:numRef>
              <c:f>'LeadTimeDays vs OrderID'!$B$4:$B$6</c:f>
              <c:numCache>
                <c:formatCode>0.00%</c:formatCode>
                <c:ptCount val="2"/>
                <c:pt idx="0">
                  <c:v>0.6</c:v>
                </c:pt>
                <c:pt idx="1">
                  <c:v>0.4</c:v>
                </c:pt>
              </c:numCache>
            </c:numRef>
          </c:val>
          <c:extLst>
            <c:ext xmlns:c16="http://schemas.microsoft.com/office/drawing/2014/chart" uri="{C3380CC4-5D6E-409C-BE32-E72D297353CC}">
              <c16:uniqueId val="{00000000-7770-4D86-9061-EFEEC14FB2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[Mwende_Sales_Excel_Dashboard.xlsx]DiscountPct &gt; 20% by Region and!PivotTable12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Discount</a:t>
            </a:r>
            <a:r>
              <a:rPr lang="en-US" baseline="0">
                <a:solidFill>
                  <a:sysClr val="windowText" lastClr="000000"/>
                </a:solidFill>
              </a:rPr>
              <a:t> by Region and Sales Person</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'DiscountPct &gt; 20% by Region and'!$B$3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95BB-4446-B62E-C070C1C786C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5BB-4446-B62E-C070C1C786CB}"/>
              </c:ext>
            </c:extLst>
          </c:dPt>
          <c:cat>
            <c:strRef>
              <c:f>'DiscountPct &gt; 20% by Region and'!$A$4:$A$6</c:f>
              <c:strCache>
                <c:ptCount val="2"/>
                <c:pt idx="0">
                  <c:v>No</c:v>
                </c:pt>
                <c:pt idx="1">
                  <c:v>Yes</c:v>
                </c:pt>
              </c:strCache>
            </c:strRef>
          </c:cat>
          <c:val>
            <c:numRef>
              <c:f>'DiscountPct &gt; 20% by Region and'!$B$4:$B$6</c:f>
              <c:numCache>
                <c:formatCode>General</c:formatCode>
                <c:ptCount val="2"/>
                <c:pt idx="0">
                  <c:v>3</c:v>
                </c:pt>
                <c:pt idx="1">
                  <c:v>2</c:v>
                </c:pt>
              </c:numCache>
            </c:numRef>
          </c:val>
          <c:extLst>
            <c:ext xmlns:c16="http://schemas.microsoft.com/office/drawing/2014/chart" uri="{C3380CC4-5D6E-409C-BE32-E72D297353CC}">
              <c16:uniqueId val="{00000000-1BF9-484A-AA53-C019941CF8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[Mwende_Sales_Excel_Dashboard.xlsx]RevenueByMonth!PivotTable2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Month</a:t>
            </a: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RevenueByMonth!$B$3:$B$4</c:f>
              <c:strCache>
                <c:ptCount val="1"/>
                <c:pt idx="0">
                  <c:v>2023</c:v>
                </c:pt>
              </c:strCache>
            </c:strRef>
          </c:tx>
          <c:spPr>
            <a:ln w="28575" cap="rnd">
              <a:solidFill>
                <a:schemeClr val="accent1"/>
              </a:solidFill>
              <a:round/>
            </a:ln>
            <a:effectLst/>
          </c:spPr>
          <c:marker>
            <c:symbol val="none"/>
          </c:marker>
          <c:cat>
            <c:strRef>
              <c:f>RevenueByMonth!$A$5:$A$17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RevenueByMonth!$B$5:$B$17</c:f>
              <c:numCache>
                <c:formatCode>0.00</c:formatCode>
                <c:ptCount val="12"/>
                <c:pt idx="0">
                  <c:v>47962.717579999997</c:v>
                </c:pt>
                <c:pt idx="1">
                  <c:v>3115.3609199999996</c:v>
                </c:pt>
                <c:pt idx="2">
                  <c:v>70602.927790000002</c:v>
                </c:pt>
                <c:pt idx="3">
                  <c:v>11003.7672</c:v>
                </c:pt>
                <c:pt idx="4">
                  <c:v>10946.711730000001</c:v>
                </c:pt>
                <c:pt idx="5">
                  <c:v>3799.8031499999997</c:v>
                </c:pt>
                <c:pt idx="6">
                  <c:v>36649.808400000002</c:v>
                </c:pt>
                <c:pt idx="7">
                  <c:v>667.74</c:v>
                </c:pt>
                <c:pt idx="8">
                  <c:v>1030.7574</c:v>
                </c:pt>
                <c:pt idx="9">
                  <c:v>38264.510399999999</c:v>
                </c:pt>
                <c:pt idx="11">
                  <c:v>16061.972879999999</c:v>
                </c:pt>
              </c:numCache>
            </c:numRef>
          </c:val>
          <c:smooth val="0"/>
          <c:extLst>
            <c:ext xmlns:c16="http://schemas.microsoft.com/office/drawing/2014/chart" uri="{C3380CC4-5D6E-409C-BE32-E72D297353CC}">
              <c16:uniqueId val="{00000000-6537-4986-8474-AF0D7B4F966F}"/>
            </c:ext>
          </c:extLst>
        </c:ser>
        <c:ser>
          <c:idx val="1"/>
          <c:order val="1"/>
          <c:tx>
            <c:strRef>
              <c:f>RevenueByMonth!$C$3:$C$4</c:f>
              <c:strCache>
                <c:ptCount val="1"/>
                <c:pt idx="0">
                  <c:v>2024</c:v>
                </c:pt>
              </c:strCache>
            </c:strRef>
          </c:tx>
          <c:spPr>
            <a:ln w="28575" cap="rnd">
              <a:solidFill>
                <a:schemeClr val="accent2"/>
              </a:solidFill>
              <a:round/>
            </a:ln>
            <a:effectLst/>
          </c:spPr>
          <c:marker>
            <c:symbol val="none"/>
          </c:marker>
          <c:cat>
            <c:strRef>
              <c:f>RevenueByMonth!$A$5:$A$17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RevenueByMonth!$C$5:$C$17</c:f>
              <c:numCache>
                <c:formatCode>0.00</c:formatCode>
                <c:ptCount val="12"/>
                <c:pt idx="1">
                  <c:v>66852.128960000002</c:v>
                </c:pt>
                <c:pt idx="2">
                  <c:v>4866.3287999999993</c:v>
                </c:pt>
                <c:pt idx="3">
                  <c:v>24447.95865</c:v>
                </c:pt>
                <c:pt idx="4">
                  <c:v>13108.78584</c:v>
                </c:pt>
                <c:pt idx="5">
                  <c:v>181608.69623999996</c:v>
                </c:pt>
                <c:pt idx="6">
                  <c:v>27763.018220000002</c:v>
                </c:pt>
                <c:pt idx="7">
                  <c:v>3823.6151599999998</c:v>
                </c:pt>
                <c:pt idx="8">
                  <c:v>52863.98113</c:v>
                </c:pt>
                <c:pt idx="9">
                  <c:v>50650.005999999994</c:v>
                </c:pt>
                <c:pt idx="10">
                  <c:v>123535.74428</c:v>
                </c:pt>
              </c:numCache>
            </c:numRef>
          </c:val>
          <c:smooth val="0"/>
          <c:extLst>
            <c:ext xmlns:c16="http://schemas.microsoft.com/office/drawing/2014/chart" uri="{C3380CC4-5D6E-409C-BE32-E72D297353CC}">
              <c16:uniqueId val="{00000028-A974-4ACF-AAFF-CB6211AAF887}"/>
            </c:ext>
          </c:extLst>
        </c:ser>
        <c:ser>
          <c:idx val="2"/>
          <c:order val="2"/>
          <c:tx>
            <c:strRef>
              <c:f>RevenueByMonth!$D$3:$D$4</c:f>
              <c:strCache>
                <c:ptCount val="1"/>
                <c:pt idx="0">
                  <c:v>2025</c:v>
                </c:pt>
              </c:strCache>
            </c:strRef>
          </c:tx>
          <c:spPr>
            <a:ln w="28575" cap="rnd">
              <a:solidFill>
                <a:schemeClr val="accent3"/>
              </a:solidFill>
              <a:round/>
            </a:ln>
            <a:effectLst/>
          </c:spPr>
          <c:marker>
            <c:symbol val="none"/>
          </c:marker>
          <c:cat>
            <c:strRef>
              <c:f>RevenueByMonth!$A$5:$A$17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RevenueByMonth!$D$5:$D$17</c:f>
              <c:numCache>
                <c:formatCode>0.00</c:formatCode>
                <c:ptCount val="12"/>
                <c:pt idx="0">
                  <c:v>52609.065839999996</c:v>
                </c:pt>
                <c:pt idx="1">
                  <c:v>15860.782080000001</c:v>
                </c:pt>
                <c:pt idx="2">
                  <c:v>13669.81</c:v>
                </c:pt>
                <c:pt idx="3">
                  <c:v>17731.623</c:v>
                </c:pt>
                <c:pt idx="4">
                  <c:v>4569.8508000000002</c:v>
                </c:pt>
                <c:pt idx="6">
                  <c:v>17867.219160000001</c:v>
                </c:pt>
                <c:pt idx="7">
                  <c:v>15174.425699999998</c:v>
                </c:pt>
                <c:pt idx="8">
                  <c:v>9050.5052999999989</c:v>
                </c:pt>
              </c:numCache>
            </c:numRef>
          </c:val>
          <c:smooth val="0"/>
          <c:extLst>
            <c:ext xmlns:c16="http://schemas.microsoft.com/office/drawing/2014/chart" uri="{C3380CC4-5D6E-409C-BE32-E72D297353CC}">
              <c16:uniqueId val="{00000029-A974-4ACF-AAFF-CB6211AAF887}"/>
            </c:ext>
          </c:extLst>
        </c:ser>
        <c:dLbls>
          <c:showLegendKey val="0"/>
          <c:showVal val="0"/>
          <c:showCatName val="0"/>
          <c:showSerName val="0"/>
          <c:showPercent val="0"/>
          <c:showBubbleSize val="0"/>
        </c:dLbls>
        <c:smooth val="0"/>
        <c:axId val="938055823"/>
        <c:axId val="938058223"/>
      </c:lineChart>
      <c:catAx>
        <c:axId val="93805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58223"/>
        <c:crosses val="autoZero"/>
        <c:auto val="1"/>
        <c:lblAlgn val="ctr"/>
        <c:lblOffset val="100"/>
        <c:noMultiLvlLbl val="0"/>
      </c:catAx>
      <c:valAx>
        <c:axId val="9380582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5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[Mwende_Sales_Excel_Dashboard.xlsx]ProfitbyRegionandChannel!PivotTable3</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Profit by Region and Channel</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ProfitbyRegionandChannel!$B$3:$B$4</c:f>
              <c:strCache>
                <c:ptCount val="1"/>
                <c:pt idx="0">
                  <c:v>Africa</c:v>
                </c:pt>
              </c:strCache>
            </c:strRef>
          </c:tx>
          <c:spPr>
            <a:solidFill>
              <a:schemeClr val="accent1"/>
            </a:solidFill>
            <a:ln>
              <a:noFill/>
            </a:ln>
            <a:effectLst/>
          </c:spPr>
          <c:invertIfNegative val="0"/>
          <c:cat>
            <c:strRef>
              <c:f>ProfitbyRegionandChannel!$A$5:$A$11</c:f>
              <c:strCache>
                <c:ptCount val="6"/>
                <c:pt idx="0">
                  <c:v>Direct</c:v>
                </c:pt>
                <c:pt idx="1">
                  <c:v>Distributor</c:v>
                </c:pt>
                <c:pt idx="2">
                  <c:v>Marketplace</c:v>
                </c:pt>
                <c:pt idx="3">
                  <c:v>N/A</c:v>
                </c:pt>
                <c:pt idx="4">
                  <c:v>Online</c:v>
                </c:pt>
                <c:pt idx="5">
                  <c:v>Retail</c:v>
                </c:pt>
              </c:strCache>
            </c:strRef>
          </c:cat>
          <c:val>
            <c:numRef>
              <c:f>ProfitbyRegionandChannel!$B$5:$B$11</c:f>
              <c:numCache>
                <c:formatCode>0.00</c:formatCode>
                <c:ptCount val="6"/>
                <c:pt idx="0">
                  <c:v>113946.29336999998</c:v>
                </c:pt>
                <c:pt idx="1">
                  <c:v>58662.089660000005</c:v>
                </c:pt>
                <c:pt idx="2">
                  <c:v>2699.9740400000014</c:v>
                </c:pt>
                <c:pt idx="3">
                  <c:v>-149.63339999999971</c:v>
                </c:pt>
                <c:pt idx="4">
                  <c:v>50056.937190000019</c:v>
                </c:pt>
                <c:pt idx="5">
                  <c:v>50680.041749999982</c:v>
                </c:pt>
              </c:numCache>
            </c:numRef>
          </c:val>
          <c:extLst>
            <c:ext xmlns:c16="http://schemas.microsoft.com/office/drawing/2014/chart" uri="{C3380CC4-5D6E-409C-BE32-E72D297353CC}">
              <c16:uniqueId val="{00000000-D1E4-48F5-AF63-50823AEC0D26}"/>
            </c:ext>
          </c:extLst>
        </c:ser>
        <c:dLbls>
          <c:showLegendKey val="0"/>
          <c:showVal val="0"/>
          <c:showCatName val="0"/>
          <c:showSerName val="0"/>
          <c:showPercent val="0"/>
          <c:showBubbleSize val="0"/>
        </c:dLbls>
        <c:gapWidth val="150"/>
        <c:overlap val="100"/>
        <c:axId val="938061103"/>
        <c:axId val="938061583"/>
      </c:barChart>
      <c:catAx>
        <c:axId val="9380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61583"/>
        <c:crosses val="autoZero"/>
        <c:auto val="1"/>
        <c:lblAlgn val="ctr"/>
        <c:lblOffset val="100"/>
        <c:noMultiLvlLbl val="0"/>
      </c:catAx>
      <c:valAx>
        <c:axId val="938061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6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[Mwende_Sales_Excel_Dashboard.xlsx]ProfitbyRegionandChannel!PivotTable3</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Profit by Region and Channel</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ProfitbyRegionandChannel!$B$3:$B$4</c:f>
              <c:strCache>
                <c:ptCount val="1"/>
                <c:pt idx="0">
                  <c:v>Africa</c:v>
                </c:pt>
              </c:strCache>
            </c:strRef>
          </c:tx>
          <c:spPr>
            <a:solidFill>
              <a:schemeClr val="accent1"/>
            </a:solidFill>
            <a:ln>
              <a:noFill/>
            </a:ln>
            <a:effectLst/>
          </c:spPr>
          <c:invertIfNegative val="0"/>
          <c:cat>
            <c:strRef>
              <c:f>ProfitbyRegionandChannel!$A$5:$A$11</c:f>
              <c:strCache>
                <c:ptCount val="6"/>
                <c:pt idx="0">
                  <c:v>Direct</c:v>
                </c:pt>
                <c:pt idx="1">
                  <c:v>Distributor</c:v>
                </c:pt>
                <c:pt idx="2">
                  <c:v>Marketplace</c:v>
                </c:pt>
                <c:pt idx="3">
                  <c:v>N/A</c:v>
                </c:pt>
                <c:pt idx="4">
                  <c:v>Online</c:v>
                </c:pt>
                <c:pt idx="5">
                  <c:v>Retail</c:v>
                </c:pt>
              </c:strCache>
            </c:strRef>
          </c:cat>
          <c:val>
            <c:numRef>
              <c:f>ProfitbyRegionandChannel!$B$5:$B$11</c:f>
              <c:numCache>
                <c:formatCode>0.00</c:formatCode>
                <c:ptCount val="6"/>
                <c:pt idx="0">
                  <c:v>113946.29336999998</c:v>
                </c:pt>
                <c:pt idx="1">
                  <c:v>58662.089660000005</c:v>
                </c:pt>
                <c:pt idx="2">
                  <c:v>2699.9740400000014</c:v>
                </c:pt>
                <c:pt idx="3">
                  <c:v>-149.63339999999971</c:v>
                </c:pt>
                <c:pt idx="4">
                  <c:v>50056.937190000019</c:v>
                </c:pt>
                <c:pt idx="5">
                  <c:v>50680.041749999982</c:v>
                </c:pt>
              </c:numCache>
            </c:numRef>
          </c:val>
          <c:extLst>
            <c:ext xmlns:c16="http://schemas.microsoft.com/office/drawing/2014/chart" uri="{C3380CC4-5D6E-409C-BE32-E72D297353CC}">
              <c16:uniqueId val="{00000000-B25D-4ACB-9227-92576F4EFC1B}"/>
            </c:ext>
          </c:extLst>
        </c:ser>
        <c:dLbls>
          <c:showLegendKey val="0"/>
          <c:showVal val="0"/>
          <c:showCatName val="0"/>
          <c:showSerName val="0"/>
          <c:showPercent val="0"/>
          <c:showBubbleSize val="0"/>
        </c:dLbls>
        <c:gapWidth val="150"/>
        <c:overlap val="100"/>
        <c:axId val="938061103"/>
        <c:axId val="938061583"/>
      </c:barChart>
      <c:catAx>
        <c:axId val="9380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61583"/>
        <c:crosses val="autoZero"/>
        <c:auto val="1"/>
        <c:lblAlgn val="ctr"/>
        <c:lblOffset val="100"/>
        <c:noMultiLvlLbl val="0"/>
      </c:catAx>
      <c:valAx>
        <c:axId val="938061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6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[Mwende_Sales_Excel_Dashboard.xlsx]RevenueByMonth!PivotTable2</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Month</a:t>
            </a: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2822488707271"/>
          <c:y val="0.29322050975855507"/>
          <c:w val="0.66787732357679908"/>
          <c:h val="0.52678993917229544"/>
        </c:manualLayout>
      </c:layout>
      <c:lineChart>
        <c:grouping val="standard"/>
        <c:varyColors val="0"/>
        <c:ser>
          <c:idx val="0"/>
          <c:order val="0"/>
          <c:tx>
            <c:strRef>
              <c:f>RevenueByMonth!$B$3:$B$4</c:f>
              <c:strCache>
                <c:ptCount val="1"/>
                <c:pt idx="0">
                  <c:v>2023</c:v>
                </c:pt>
              </c:strCache>
            </c:strRef>
          </c:tx>
          <c:spPr>
            <a:ln w="28575" cap="rnd">
              <a:solidFill>
                <a:schemeClr val="accent1"/>
              </a:solidFill>
              <a:round/>
            </a:ln>
            <a:effectLst/>
          </c:spPr>
          <c:marker>
            <c:symbol val="none"/>
          </c:marker>
          <c:cat>
            <c:strRef>
              <c:f>RevenueByMonth!$A$5:$A$17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RevenueByMonth!$B$5:$B$17</c:f>
              <c:numCache>
                <c:formatCode>0.00</c:formatCode>
                <c:ptCount val="12"/>
                <c:pt idx="0">
                  <c:v>47962.717579999997</c:v>
                </c:pt>
                <c:pt idx="1">
                  <c:v>3115.3609199999996</c:v>
                </c:pt>
                <c:pt idx="2">
                  <c:v>70602.927790000002</c:v>
                </c:pt>
                <c:pt idx="3">
                  <c:v>11003.7672</c:v>
                </c:pt>
                <c:pt idx="4">
                  <c:v>10946.711730000001</c:v>
                </c:pt>
                <c:pt idx="5">
                  <c:v>3799.8031499999997</c:v>
                </c:pt>
                <c:pt idx="6">
                  <c:v>36649.808400000002</c:v>
                </c:pt>
                <c:pt idx="7">
                  <c:v>667.74</c:v>
                </c:pt>
                <c:pt idx="8">
                  <c:v>1030.7574</c:v>
                </c:pt>
                <c:pt idx="9">
                  <c:v>38264.510399999999</c:v>
                </c:pt>
                <c:pt idx="11">
                  <c:v>16061.972879999999</c:v>
                </c:pt>
              </c:numCache>
            </c:numRef>
          </c:val>
          <c:smooth val="0"/>
          <c:extLst>
            <c:ext xmlns:c16="http://schemas.microsoft.com/office/drawing/2014/chart" uri="{C3380CC4-5D6E-409C-BE32-E72D297353CC}">
              <c16:uniqueId val="{00000000-680D-4064-9495-EDB4761DCA04}"/>
            </c:ext>
          </c:extLst>
        </c:ser>
        <c:ser>
          <c:idx val="1"/>
          <c:order val="1"/>
          <c:tx>
            <c:strRef>
              <c:f>RevenueByMonth!$C$3:$C$4</c:f>
              <c:strCache>
                <c:ptCount val="1"/>
                <c:pt idx="0">
                  <c:v>2024</c:v>
                </c:pt>
              </c:strCache>
            </c:strRef>
          </c:tx>
          <c:spPr>
            <a:ln w="28575" cap="rnd">
              <a:solidFill>
                <a:schemeClr val="accent2"/>
              </a:solidFill>
              <a:round/>
            </a:ln>
            <a:effectLst/>
          </c:spPr>
          <c:marker>
            <c:symbol val="none"/>
          </c:marker>
          <c:cat>
            <c:strRef>
              <c:f>RevenueByMonth!$A$5:$A$17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RevenueByMonth!$C$5:$C$17</c:f>
              <c:numCache>
                <c:formatCode>0.00</c:formatCode>
                <c:ptCount val="12"/>
                <c:pt idx="1">
                  <c:v>66852.128960000002</c:v>
                </c:pt>
                <c:pt idx="2">
                  <c:v>4866.3287999999993</c:v>
                </c:pt>
                <c:pt idx="3">
                  <c:v>24447.95865</c:v>
                </c:pt>
                <c:pt idx="4">
                  <c:v>13108.78584</c:v>
                </c:pt>
                <c:pt idx="5">
                  <c:v>181608.69623999996</c:v>
                </c:pt>
                <c:pt idx="6">
                  <c:v>27763.018220000002</c:v>
                </c:pt>
                <c:pt idx="7">
                  <c:v>3823.6151599999998</c:v>
                </c:pt>
                <c:pt idx="8">
                  <c:v>52863.98113</c:v>
                </c:pt>
                <c:pt idx="9">
                  <c:v>50650.005999999994</c:v>
                </c:pt>
                <c:pt idx="10">
                  <c:v>123535.74428</c:v>
                </c:pt>
              </c:numCache>
            </c:numRef>
          </c:val>
          <c:smooth val="0"/>
          <c:extLst>
            <c:ext xmlns:c16="http://schemas.microsoft.com/office/drawing/2014/chart" uri="{C3380CC4-5D6E-409C-BE32-E72D297353CC}">
              <c16:uniqueId val="{00000029-8CC9-45CE-B052-C4533904D967}"/>
            </c:ext>
          </c:extLst>
        </c:ser>
        <c:ser>
          <c:idx val="2"/>
          <c:order val="2"/>
          <c:tx>
            <c:strRef>
              <c:f>RevenueByMonth!$D$3:$D$4</c:f>
              <c:strCache>
                <c:ptCount val="1"/>
                <c:pt idx="0">
                  <c:v>2025</c:v>
                </c:pt>
              </c:strCache>
            </c:strRef>
          </c:tx>
          <c:spPr>
            <a:ln w="28575" cap="rnd">
              <a:solidFill>
                <a:schemeClr val="accent3"/>
              </a:solidFill>
              <a:round/>
            </a:ln>
            <a:effectLst/>
          </c:spPr>
          <c:marker>
            <c:symbol val="none"/>
          </c:marker>
          <c:cat>
            <c:strRef>
              <c:f>RevenueByMonth!$A$5:$A$17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RevenueByMonth!$D$5:$D$17</c:f>
              <c:numCache>
                <c:formatCode>0.00</c:formatCode>
                <c:ptCount val="12"/>
                <c:pt idx="0">
                  <c:v>52609.065839999996</c:v>
                </c:pt>
                <c:pt idx="1">
                  <c:v>15860.782080000001</c:v>
                </c:pt>
                <c:pt idx="2">
                  <c:v>13669.81</c:v>
                </c:pt>
                <c:pt idx="3">
                  <c:v>17731.623</c:v>
                </c:pt>
                <c:pt idx="4">
                  <c:v>4569.8508000000002</c:v>
                </c:pt>
                <c:pt idx="6">
                  <c:v>17867.219160000001</c:v>
                </c:pt>
                <c:pt idx="7">
                  <c:v>15174.425699999998</c:v>
                </c:pt>
                <c:pt idx="8">
                  <c:v>9050.5052999999989</c:v>
                </c:pt>
              </c:numCache>
            </c:numRef>
          </c:val>
          <c:smooth val="0"/>
          <c:extLst>
            <c:ext xmlns:c16="http://schemas.microsoft.com/office/drawing/2014/chart" uri="{C3380CC4-5D6E-409C-BE32-E72D297353CC}">
              <c16:uniqueId val="{0000002A-8CC9-45CE-B052-C4533904D967}"/>
            </c:ext>
          </c:extLst>
        </c:ser>
        <c:dLbls>
          <c:showLegendKey val="0"/>
          <c:showVal val="0"/>
          <c:showCatName val="0"/>
          <c:showSerName val="0"/>
          <c:showPercent val="0"/>
          <c:showBubbleSize val="0"/>
        </c:dLbls>
        <c:smooth val="0"/>
        <c:axId val="938055823"/>
        <c:axId val="938058223"/>
      </c:lineChart>
      <c:catAx>
        <c:axId val="93805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58223"/>
        <c:crosses val="autoZero"/>
        <c:auto val="1"/>
        <c:lblAlgn val="ctr"/>
        <c:lblOffset val="100"/>
        <c:noMultiLvlLbl val="0"/>
      </c:catAx>
      <c:valAx>
        <c:axId val="9380582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5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[Mwende_Sales_Excel_Dashboard.xlsx]DiscountPct &gt; 20% by Region and!PivotTable12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Discount</a:t>
            </a:r>
            <a:r>
              <a:rPr lang="en-US" baseline="0">
                <a:solidFill>
                  <a:sysClr val="windowText" lastClr="000000"/>
                </a:solidFill>
              </a:rPr>
              <a:t> by Region and Sales Person</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pieChart>
        <c:varyColors val="1"/>
        <c:ser>
          <c:idx val="0"/>
          <c:order val="0"/>
          <c:tx>
            <c:strRef>
              <c:f>'DiscountPct &gt; 20% by Region and'!$B$3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2F7-434E-9068-2BBDE67ED2BE}"/>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2F7-434E-9068-2BBDE67ED2BE}"/>
              </c:ext>
            </c:extLst>
          </c:dPt>
          <c:cat>
            <c:strRef>
              <c:f>'DiscountPct &gt; 20% by Region and'!$A$4:$A$6</c:f>
              <c:strCache>
                <c:ptCount val="2"/>
                <c:pt idx="0">
                  <c:v>No</c:v>
                </c:pt>
                <c:pt idx="1">
                  <c:v>Yes</c:v>
                </c:pt>
              </c:strCache>
            </c:strRef>
          </c:cat>
          <c:val>
            <c:numRef>
              <c:f>'DiscountPct &gt; 20% by Region and'!$B$4:$B$6</c:f>
              <c:numCache>
                <c:formatCode>General</c:formatCode>
                <c:ptCount val="2"/>
                <c:pt idx="0">
                  <c:v>3</c:v>
                </c:pt>
                <c:pt idx="1">
                  <c:v>2</c:v>
                </c:pt>
              </c:numCache>
            </c:numRef>
          </c:val>
          <c:extLst>
            <c:ext xmlns:c16="http://schemas.microsoft.com/office/drawing/2014/chart" uri="{C3380CC4-5D6E-409C-BE32-E72D297353CC}">
              <c16:uniqueId val="{00000004-72F7-434E-9068-2BBDE67ED2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[Mwende_Sales_Excel_Dashboard.xlsx]LeadTimeDays vs OrderID!PivotTable11</c:name>
    <c:fmtId val="1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LeadTimeDays against OrderID</a:t>
            </a: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76000"/>
            </a:schemeClr>
          </a:solidFill>
          <a:ln w="19050">
            <a:solidFill>
              <a:schemeClr val="lt1"/>
            </a:solidFill>
          </a:ln>
          <a:effectLst/>
        </c:spPr>
      </c:pivotFmt>
      <c:pivotFmt>
        <c:idx val="8"/>
        <c:spPr>
          <a:solidFill>
            <a:schemeClr val="accent2">
              <a:tint val="77000"/>
            </a:schemeClr>
          </a:solidFill>
          <a:ln w="19050">
            <a:solidFill>
              <a:schemeClr val="lt1"/>
            </a:solidFill>
          </a:ln>
          <a:effectLst/>
        </c:spPr>
      </c:pivotFmt>
    </c:pivotFmts>
    <c:plotArea>
      <c:layout/>
      <c:pieChart>
        <c:varyColors val="1"/>
        <c:ser>
          <c:idx val="0"/>
          <c:order val="0"/>
          <c:tx>
            <c:strRef>
              <c:f>'LeadTimeDays vs OrderID'!$B$3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C127-4DC5-A8AE-ECF83786AAE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C127-4DC5-A8AE-ECF83786AAE7}"/>
              </c:ext>
            </c:extLst>
          </c:dPt>
          <c:cat>
            <c:strRef>
              <c:f>'LeadTimeDays vs OrderID'!$A$4:$A$6</c:f>
              <c:strCache>
                <c:ptCount val="2"/>
                <c:pt idx="0">
                  <c:v>No</c:v>
                </c:pt>
                <c:pt idx="1">
                  <c:v>Yes</c:v>
                </c:pt>
              </c:strCache>
            </c:strRef>
          </c:cat>
          <c:val>
            <c:numRef>
              <c:f>'LeadTimeDays vs OrderID'!$B$4:$B$6</c:f>
              <c:numCache>
                <c:formatCode>0.00%</c:formatCode>
                <c:ptCount val="2"/>
                <c:pt idx="0">
                  <c:v>0.6</c:v>
                </c:pt>
                <c:pt idx="1">
                  <c:v>0.4</c:v>
                </c:pt>
              </c:numCache>
            </c:numRef>
          </c:val>
          <c:extLst>
            <c:ext xmlns:c16="http://schemas.microsoft.com/office/drawing/2014/chart" uri="{C3380CC4-5D6E-409C-BE32-E72D297353CC}">
              <c16:uniqueId val="{00000004-C127-4DC5-A8AE-ECF83786AA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[Mwende_Sales_Excel_Dashboard.xlsx]Online Cannibalizing Retail!PivotTable8</c:name>
    <c:fmtId val="1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Show</a:t>
            </a:r>
            <a:r>
              <a:rPr lang="en-US" baseline="0">
                <a:solidFill>
                  <a:sysClr val="windowText" lastClr="000000"/>
                </a:solidFill>
              </a:rPr>
              <a:t> of Online Cannibalizing Retail</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'Online Cannibalizing Retail'!$B$3:$B$4</c:f>
              <c:strCache>
                <c:ptCount val="1"/>
                <c:pt idx="0">
                  <c:v>Online</c:v>
                </c:pt>
              </c:strCache>
            </c:strRef>
          </c:tx>
          <c:spPr>
            <a:solidFill>
              <a:schemeClr val="accent2"/>
            </a:solidFill>
            <a:ln>
              <a:noFill/>
            </a:ln>
            <a:effectLst/>
          </c:spPr>
          <c:invertIfNegative val="0"/>
          <c:cat>
            <c:strRef>
              <c:f>'Online Cannibalizing Retail'!$A$5:$A$6</c:f>
              <c:strCache>
                <c:ptCount val="1"/>
                <c:pt idx="0">
                  <c:v>Africa</c:v>
                </c:pt>
              </c:strCache>
            </c:strRef>
          </c:cat>
          <c:val>
            <c:numRef>
              <c:f>'Online Cannibalizing Retail'!$B$5:$B$6</c:f>
              <c:numCache>
                <c:formatCode>0.00</c:formatCode>
                <c:ptCount val="1"/>
                <c:pt idx="0">
                  <c:v>128525.95718999999</c:v>
                </c:pt>
              </c:numCache>
            </c:numRef>
          </c:val>
          <c:extLst>
            <c:ext xmlns:c16="http://schemas.microsoft.com/office/drawing/2014/chart" uri="{C3380CC4-5D6E-409C-BE32-E72D297353CC}">
              <c16:uniqueId val="{00000000-65D9-4052-9BF9-B3A53D864D52}"/>
            </c:ext>
          </c:extLst>
        </c:ser>
        <c:ser>
          <c:idx val="1"/>
          <c:order val="1"/>
          <c:tx>
            <c:strRef>
              <c:f>'Online Cannibalizing Retail'!$C$3:$C$4</c:f>
              <c:strCache>
                <c:ptCount val="1"/>
                <c:pt idx="0">
                  <c:v>Retail</c:v>
                </c:pt>
              </c:strCache>
            </c:strRef>
          </c:tx>
          <c:spPr>
            <a:solidFill>
              <a:schemeClr val="accent4"/>
            </a:solidFill>
            <a:ln>
              <a:noFill/>
            </a:ln>
            <a:effectLst/>
          </c:spPr>
          <c:invertIfNegative val="0"/>
          <c:cat>
            <c:strRef>
              <c:f>'Online Cannibalizing Retail'!$A$5:$A$6</c:f>
              <c:strCache>
                <c:ptCount val="1"/>
                <c:pt idx="0">
                  <c:v>Africa</c:v>
                </c:pt>
              </c:strCache>
            </c:strRef>
          </c:cat>
          <c:val>
            <c:numRef>
              <c:f>'Online Cannibalizing Retail'!$C$5:$C$6</c:f>
              <c:numCache>
                <c:formatCode>0.00</c:formatCode>
                <c:ptCount val="1"/>
                <c:pt idx="0">
                  <c:v>276653.0817499999</c:v>
                </c:pt>
              </c:numCache>
            </c:numRef>
          </c:val>
          <c:extLst>
            <c:ext xmlns:c16="http://schemas.microsoft.com/office/drawing/2014/chart" uri="{C3380CC4-5D6E-409C-BE32-E72D297353CC}">
              <c16:uniqueId val="{00000015-18CE-4866-959B-303FAB28E056}"/>
            </c:ext>
          </c:extLst>
        </c:ser>
        <c:dLbls>
          <c:showLegendKey val="0"/>
          <c:showVal val="0"/>
          <c:showCatName val="0"/>
          <c:showSerName val="0"/>
          <c:showPercent val="0"/>
          <c:showBubbleSize val="0"/>
        </c:dLbls>
        <c:gapWidth val="182"/>
        <c:axId val="617838607"/>
        <c:axId val="617839567"/>
      </c:barChart>
      <c:catAx>
        <c:axId val="61783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39567"/>
        <c:crosses val="autoZero"/>
        <c:auto val="1"/>
        <c:lblAlgn val="ctr"/>
        <c:lblOffset val="100"/>
        <c:noMultiLvlLbl val="0"/>
      </c:catAx>
      <c:valAx>
        <c:axId val="6178395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3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[Mwende_Sales_Excel_Dashboard.xlsx]SKU and ProductCategory vs Reve!PivotTable6</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Top</a:t>
            </a:r>
            <a:r>
              <a:rPr lang="en-US" baseline="0">
                <a:solidFill>
                  <a:sysClr val="windowText" lastClr="000000"/>
                </a:solidFill>
              </a:rPr>
              <a:t> 10 SKUs by Revenue</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'SKU and ProductCategory vs Reve'!$B$3</c:f>
              <c:strCache>
                <c:ptCount val="1"/>
                <c:pt idx="0">
                  <c:v>Total</c:v>
                </c:pt>
              </c:strCache>
            </c:strRef>
          </c:tx>
          <c:spPr>
            <a:solidFill>
              <a:schemeClr val="accent4"/>
            </a:solidFill>
            <a:ln>
              <a:noFill/>
            </a:ln>
            <a:effectLst/>
          </c:spPr>
          <c:invertIfNegative val="0"/>
          <c:cat>
            <c:multiLvlStrRef>
              <c:f>'SKU and ProductCategory vs Reve'!$A$4:$A$62</c:f>
              <c:multiLvlStrCache>
                <c:ptCount val="51"/>
                <c:lvl>
                  <c:pt idx="0">
                    <c:v>ACC-2988</c:v>
                  </c:pt>
                  <c:pt idx="1">
                    <c:v>ACC-1659</c:v>
                  </c:pt>
                  <c:pt idx="2">
                    <c:v>ACC-1238</c:v>
                  </c:pt>
                  <c:pt idx="3">
                    <c:v>ACC-5144</c:v>
                  </c:pt>
                  <c:pt idx="4">
                    <c:v>ACC-7354</c:v>
                  </c:pt>
                  <c:pt idx="5">
                    <c:v>ACC-4124</c:v>
                  </c:pt>
                  <c:pt idx="6">
                    <c:v>ACC-1028</c:v>
                  </c:pt>
                  <c:pt idx="7">
                    <c:v>ACC-2252</c:v>
                  </c:pt>
                  <c:pt idx="8">
                    <c:v>ACC-4766</c:v>
                  </c:pt>
                  <c:pt idx="9">
                    <c:v>ACC-9820</c:v>
                  </c:pt>
                  <c:pt idx="10">
                    <c:v>CMP-3938</c:v>
                  </c:pt>
                  <c:pt idx="11">
                    <c:v>CMP-5911</c:v>
                  </c:pt>
                  <c:pt idx="12">
                    <c:v>CMP-4970</c:v>
                  </c:pt>
                  <c:pt idx="13">
                    <c:v>CMP-8270</c:v>
                  </c:pt>
                  <c:pt idx="14">
                    <c:v>CMP-2854</c:v>
                  </c:pt>
                  <c:pt idx="15">
                    <c:v>LAP-1739</c:v>
                  </c:pt>
                  <c:pt idx="16">
                    <c:v>LAP-9815</c:v>
                  </c:pt>
                  <c:pt idx="17">
                    <c:v>LAP-1989</c:v>
                  </c:pt>
                  <c:pt idx="18">
                    <c:v>LAP-6577</c:v>
                  </c:pt>
                  <c:pt idx="19">
                    <c:v>LAP-7136</c:v>
                  </c:pt>
                  <c:pt idx="20">
                    <c:v>LAP-1698</c:v>
                  </c:pt>
                  <c:pt idx="21">
                    <c:v>LAP-4607</c:v>
                  </c:pt>
                  <c:pt idx="22">
                    <c:v>LAP-7819</c:v>
                  </c:pt>
                  <c:pt idx="23">
                    <c:v>LAP-1969</c:v>
                  </c:pt>
                  <c:pt idx="24">
                    <c:v>LAP-3278</c:v>
                  </c:pt>
                  <c:pt idx="25">
                    <c:v>MON-6190</c:v>
                  </c:pt>
                  <c:pt idx="26">
                    <c:v>MON-2462</c:v>
                  </c:pt>
                  <c:pt idx="27">
                    <c:v>NET-5987</c:v>
                  </c:pt>
                  <c:pt idx="28">
                    <c:v>NET-6036</c:v>
                  </c:pt>
                  <c:pt idx="29">
                    <c:v>NET-3432</c:v>
                  </c:pt>
                  <c:pt idx="30">
                    <c:v>NET-2628</c:v>
                  </c:pt>
                  <c:pt idx="31">
                    <c:v>NET-2499</c:v>
                  </c:pt>
                  <c:pt idx="32">
                    <c:v>NET-9666</c:v>
                  </c:pt>
                  <c:pt idx="33">
                    <c:v>PHN-8804</c:v>
                  </c:pt>
                  <c:pt idx="34">
                    <c:v>PHN-1919</c:v>
                  </c:pt>
                  <c:pt idx="35">
                    <c:v>PHN-8891</c:v>
                  </c:pt>
                  <c:pt idx="36">
                    <c:v>PHN-1671</c:v>
                  </c:pt>
                  <c:pt idx="37">
                    <c:v>PHN-6866</c:v>
                  </c:pt>
                  <c:pt idx="38">
                    <c:v>PHN-7924</c:v>
                  </c:pt>
                  <c:pt idx="39">
                    <c:v>PHN-5082</c:v>
                  </c:pt>
                  <c:pt idx="40">
                    <c:v>PHN-7636</c:v>
                  </c:pt>
                  <c:pt idx="41">
                    <c:v>PHN-6954</c:v>
                  </c:pt>
                  <c:pt idx="42">
                    <c:v>PHN-8014</c:v>
                  </c:pt>
                  <c:pt idx="43">
                    <c:v>PRN-3143</c:v>
                  </c:pt>
                  <c:pt idx="44">
                    <c:v>PRN-7089</c:v>
                  </c:pt>
                  <c:pt idx="45">
                    <c:v>PRN-4893</c:v>
                  </c:pt>
                  <c:pt idx="46">
                    <c:v>PRN-6068</c:v>
                  </c:pt>
                  <c:pt idx="47">
                    <c:v>PRN-9488</c:v>
                  </c:pt>
                  <c:pt idx="48">
                    <c:v>PRN-2641</c:v>
                  </c:pt>
                  <c:pt idx="49">
                    <c:v>PRN-7049</c:v>
                  </c:pt>
                  <c:pt idx="50">
                    <c:v>PRN-5569</c:v>
                  </c:pt>
                </c:lvl>
                <c:lvl>
                  <c:pt idx="0">
                    <c:v>Accessories</c:v>
                  </c:pt>
                  <c:pt idx="10">
                    <c:v>Components</c:v>
                  </c:pt>
                  <c:pt idx="15">
                    <c:v>Laptops</c:v>
                  </c:pt>
                  <c:pt idx="25">
                    <c:v>Monitors</c:v>
                  </c:pt>
                  <c:pt idx="27">
                    <c:v>Networking</c:v>
                  </c:pt>
                  <c:pt idx="33">
                    <c:v>Phones</c:v>
                  </c:pt>
                  <c:pt idx="43">
                    <c:v>Printers</c:v>
                  </c:pt>
                </c:lvl>
              </c:multiLvlStrCache>
            </c:multiLvlStrRef>
          </c:cat>
          <c:val>
            <c:numRef>
              <c:f>'SKU and ProductCategory vs Reve'!$B$4:$B$62</c:f>
              <c:numCache>
                <c:formatCode>0.00</c:formatCode>
                <c:ptCount val="51"/>
                <c:pt idx="0">
                  <c:v>53034.364139999991</c:v>
                </c:pt>
                <c:pt idx="1">
                  <c:v>28386.015839999996</c:v>
                </c:pt>
                <c:pt idx="2">
                  <c:v>17067.938400000003</c:v>
                </c:pt>
                <c:pt idx="3">
                  <c:v>15860.782080000001</c:v>
                </c:pt>
                <c:pt idx="4">
                  <c:v>13108.78584</c:v>
                </c:pt>
                <c:pt idx="5">
                  <c:v>11015.510400000003</c:v>
                </c:pt>
                <c:pt idx="6">
                  <c:v>10693.88488</c:v>
                </c:pt>
                <c:pt idx="7">
                  <c:v>4569.8508000000002</c:v>
                </c:pt>
                <c:pt idx="8">
                  <c:v>1030.7574</c:v>
                </c:pt>
                <c:pt idx="9">
                  <c:v>549.80010000000004</c:v>
                </c:pt>
                <c:pt idx="10">
                  <c:v>84136.119600000005</c:v>
                </c:pt>
                <c:pt idx="11">
                  <c:v>17540.201120000002</c:v>
                </c:pt>
                <c:pt idx="12">
                  <c:v>13519.529099999998</c:v>
                </c:pt>
                <c:pt idx="13">
                  <c:v>4866.3287999999993</c:v>
                </c:pt>
                <c:pt idx="14">
                  <c:v>1654.8966000000003</c:v>
                </c:pt>
                <c:pt idx="15">
                  <c:v>58526.83122</c:v>
                </c:pt>
                <c:pt idx="16">
                  <c:v>23782.310720000001</c:v>
                </c:pt>
                <c:pt idx="17">
                  <c:v>19581.87</c:v>
                </c:pt>
                <c:pt idx="18">
                  <c:v>14910.609600000002</c:v>
                </c:pt>
                <c:pt idx="19">
                  <c:v>13669.81</c:v>
                </c:pt>
                <c:pt idx="20">
                  <c:v>7090.5672000000004</c:v>
                </c:pt>
                <c:pt idx="21">
                  <c:v>5932.7856000000002</c:v>
                </c:pt>
                <c:pt idx="22">
                  <c:v>5785.8</c:v>
                </c:pt>
                <c:pt idx="23">
                  <c:v>3823.6151599999998</c:v>
                </c:pt>
                <c:pt idx="24">
                  <c:v>3562.9028999999996</c:v>
                </c:pt>
                <c:pt idx="25">
                  <c:v>16121.273400000002</c:v>
                </c:pt>
                <c:pt idx="26">
                  <c:v>8330.2513199999994</c:v>
                </c:pt>
                <c:pt idx="27">
                  <c:v>82141.339799999987</c:v>
                </c:pt>
                <c:pt idx="28">
                  <c:v>47962.717579999997</c:v>
                </c:pt>
                <c:pt idx="29">
                  <c:v>17731.623</c:v>
                </c:pt>
                <c:pt idx="30">
                  <c:v>3592.04</c:v>
                </c:pt>
                <c:pt idx="31">
                  <c:v>2795.6384399999997</c:v>
                </c:pt>
                <c:pt idx="32">
                  <c:v>319.72248000000002</c:v>
                </c:pt>
                <c:pt idx="33">
                  <c:v>37038.581760000001</c:v>
                </c:pt>
                <c:pt idx="34">
                  <c:v>33071.3145</c:v>
                </c:pt>
                <c:pt idx="35">
                  <c:v>27249</c:v>
                </c:pt>
                <c:pt idx="36">
                  <c:v>24223.05</c:v>
                </c:pt>
                <c:pt idx="37">
                  <c:v>19547.329920000004</c:v>
                </c:pt>
                <c:pt idx="38">
                  <c:v>16061.972879999999</c:v>
                </c:pt>
                <c:pt idx="39">
                  <c:v>11326.846439999999</c:v>
                </c:pt>
                <c:pt idx="40">
                  <c:v>7173.3342799999991</c:v>
                </c:pt>
                <c:pt idx="41">
                  <c:v>5487.6023999999998</c:v>
                </c:pt>
                <c:pt idx="42">
                  <c:v>4336.2427499999994</c:v>
                </c:pt>
                <c:pt idx="43">
                  <c:v>30596.565999999999</c:v>
                </c:pt>
                <c:pt idx="44">
                  <c:v>29654.83008</c:v>
                </c:pt>
                <c:pt idx="45">
                  <c:v>20053.439999999999</c:v>
                </c:pt>
                <c:pt idx="46">
                  <c:v>15825.399369999997</c:v>
                </c:pt>
                <c:pt idx="47">
                  <c:v>10428.057360000001</c:v>
                </c:pt>
                <c:pt idx="48">
                  <c:v>8326.6852500000005</c:v>
                </c:pt>
                <c:pt idx="49">
                  <c:v>7446.5209000000004</c:v>
                </c:pt>
                <c:pt idx="50">
                  <c:v>2736.27018</c:v>
                </c:pt>
              </c:numCache>
            </c:numRef>
          </c:val>
          <c:extLst>
            <c:ext xmlns:c16="http://schemas.microsoft.com/office/drawing/2014/chart" uri="{C3380CC4-5D6E-409C-BE32-E72D297353CC}">
              <c16:uniqueId val="{00000000-A051-4F0D-B06E-63095472B89B}"/>
            </c:ext>
          </c:extLst>
        </c:ser>
        <c:dLbls>
          <c:showLegendKey val="0"/>
          <c:showVal val="0"/>
          <c:showCatName val="0"/>
          <c:showSerName val="0"/>
          <c:showPercent val="0"/>
          <c:showBubbleSize val="0"/>
        </c:dLbls>
        <c:gapWidth val="219"/>
        <c:overlap val="-27"/>
        <c:axId val="938047183"/>
        <c:axId val="938040943"/>
      </c:barChart>
      <c:catAx>
        <c:axId val="93804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40943"/>
        <c:crosses val="autoZero"/>
        <c:auto val="1"/>
        <c:lblAlgn val="ctr"/>
        <c:lblOffset val="100"/>
        <c:noMultiLvlLbl val="0"/>
      </c:catAx>
      <c:valAx>
        <c:axId val="938040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4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Outliers Across Products</cx:v>
        </cx:txData>
      </cx:tx>
      <cx:spPr>
        <a:solidFill>
          <a:schemeClr val="accent2"/>
        </a:solidFill>
      </cx:spPr>
      <cx:txPr>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latin typeface="Calibri"/>
            </a:rPr>
            <a:t>Discount Outliers Across Products</a:t>
          </a:r>
        </a:p>
      </cx:txPr>
    </cx:title>
    <cx:plotArea>
      <cx:plotAreaRegion>
        <cx:series layoutId="boxWhisker" uniqueId="{E05ADD92-B8A9-4CB1-AEC0-BB5834B7DE89}">
          <cx:tx>
            <cx:txData>
              <cx:f>_xlchart.v1.0</cx:f>
              <cx:v>DiscountPct</cx:v>
            </cx:txData>
          </cx:tx>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Discount Outliers Across Products</cx:v>
        </cx:txData>
      </cx:tx>
      <cx:spPr>
        <a:solidFill>
          <a:schemeClr val="accent2"/>
        </a:solidFill>
      </cx:spPr>
      <cx:txPr>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latin typeface="Calibri"/>
            </a:rPr>
            <a:t>Discount Outliers Across Products</a:t>
          </a:r>
        </a:p>
      </cx:txPr>
    </cx:title>
    <cx:plotArea>
      <cx:plotAreaRegion>
        <cx:series layoutId="boxWhisker" uniqueId="{E05ADD92-B8A9-4CB1-AEC0-BB5834B7DE89}">
          <cx:tx>
            <cx:txData>
              <cx:f>_xlchart.v1.2</cx:f>
              <cx:v>DiscountPct</cx:v>
            </cx:txData>
          </cx:tx>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microsoft.com/office/2014/relationships/chartEx" Target="../charts/chartEx2.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3</xdr:row>
      <xdr:rowOff>44450</xdr:rowOff>
    </xdr:from>
    <xdr:to>
      <xdr:col>7</xdr:col>
      <xdr:colOff>95250</xdr:colOff>
      <xdr:row>16</xdr:row>
      <xdr:rowOff>174625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46849C25-6F45-CEE0-D80A-BE8286E929A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90900" y="596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168275</xdr:colOff>
      <xdr:row>2</xdr:row>
      <xdr:rowOff>117475</xdr:rowOff>
    </xdr:from>
    <xdr:to>
      <xdr:col>11</xdr:col>
      <xdr:colOff>473075</xdr:colOff>
      <xdr:row>17</xdr:row>
      <xdr:rowOff>98425</xdr:rowOff>
    </xdr:to>
    <xdr:graphicFrame macro="">
      <xdr:nvGraphicFramePr>
        <xdr:cNvPr id="4" name="Chart 3">
          <a:extLst>
            <a:ext uri="{FF2B5EF4-FFF2-40B4-BE49-F238E27FC236}">
              <a16:creationId xmlns:a16="http://schemas.microsoft.com/office/drawing/2014/main" id="{5400BE86-0672-A466-5CC6-B8F1DC4C8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196850</xdr:colOff>
      <xdr:row>1</xdr:row>
      <xdr:rowOff>177800</xdr:rowOff>
    </xdr:from>
    <xdr:to>
      <xdr:col>6</xdr:col>
      <xdr:colOff>196850</xdr:colOff>
      <xdr:row>15</xdr:row>
      <xdr:rowOff>123825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C947D92F-7BB7-716A-AB88-EF1C5981F7B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9565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546100</xdr:colOff>
      <xdr:row>3</xdr:row>
      <xdr:rowOff>50801</xdr:rowOff>
    </xdr:from>
    <xdr:to>
      <xdr:col>9</xdr:col>
      <xdr:colOff>546100</xdr:colOff>
      <xdr:row>10</xdr:row>
      <xdr:rowOff>107951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2720742-B012-06BE-31C5-0B6AD0C27C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73700" y="603251"/>
              <a:ext cx="18288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50800</xdr:colOff>
      <xdr:row>7</xdr:row>
      <xdr:rowOff>152401</xdr:rowOff>
    </xdr:from>
    <xdr:to>
      <xdr:col>4</xdr:col>
      <xdr:colOff>476250</xdr:colOff>
      <xdr:row>18</xdr:row>
      <xdr:rowOff>76201</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5BF4D488-C01A-3CE6-70BD-BA37C9DF9E9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457450" y="144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346075</xdr:colOff>
      <xdr:row>1</xdr:row>
      <xdr:rowOff>66675</xdr:rowOff>
    </xdr:from>
    <xdr:to>
      <xdr:col>12</xdr:col>
      <xdr:colOff>422275</xdr:colOff>
      <xdr:row>16</xdr:row>
      <xdr:rowOff>47625</xdr:rowOff>
    </xdr:to>
    <xdr:graphicFrame macro="">
      <xdr:nvGraphicFramePr>
        <xdr:cNvPr id="6" name="Chart 5">
          <a:extLst>
            <a:ext uri="{FF2B5EF4-FFF2-40B4-BE49-F238E27FC236}">
              <a16:creationId xmlns:a16="http://schemas.microsoft.com/office/drawing/2014/main" id="{375A14CC-A7B7-C830-DCF3-03236E60D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654050</xdr:colOff>
      <xdr:row>5</xdr:row>
      <xdr:rowOff>171450</xdr:rowOff>
    </xdr:from>
    <xdr:to>
      <xdr:col>2</xdr:col>
      <xdr:colOff>76200</xdr:colOff>
      <xdr:row>19</xdr:row>
      <xdr:rowOff>117475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BD05A91-43DC-38B1-CE53-33804CDF18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4050" y="1092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19050</xdr:colOff>
      <xdr:row>1</xdr:row>
      <xdr:rowOff>171450</xdr:rowOff>
    </xdr:from>
    <xdr:to>
      <xdr:col>7</xdr:col>
      <xdr:colOff>19050</xdr:colOff>
      <xdr:row>15</xdr:row>
      <xdr:rowOff>117475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E3915522-9505-894E-F053-0ED19873860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17500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254000</xdr:colOff>
      <xdr:row>1</xdr:row>
      <xdr:rowOff>57150</xdr:rowOff>
    </xdr:from>
    <xdr:to>
      <xdr:col>10</xdr:col>
      <xdr:colOff>254000</xdr:colOff>
      <xdr:row>15</xdr:row>
      <xdr:rowOff>3175</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9373F09D-F2A1-26D9-98E4-931CF1F6D76F}"/>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5238750" y="24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584200</xdr:colOff>
      <xdr:row>2</xdr:row>
      <xdr:rowOff>22225</xdr:rowOff>
    </xdr:from>
    <xdr:to>
      <xdr:col>18</xdr:col>
      <xdr:colOff>279400</xdr:colOff>
      <xdr:row>17</xdr:row>
      <xdr:rowOff>3175</xdr:rowOff>
    </xdr:to>
    <xdr:graphicFrame macro="">
      <xdr:nvGraphicFramePr>
        <xdr:cNvPr id="4" name="Chart 3">
          <a:extLst>
            <a:ext uri="{FF2B5EF4-FFF2-40B4-BE49-F238E27FC236}">
              <a16:creationId xmlns:a16="http://schemas.microsoft.com/office/drawing/2014/main" id="{F370D4D5-5C69-8B0F-0932-BDE1C76AA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19050</xdr:colOff>
      <xdr:row>1</xdr:row>
      <xdr:rowOff>171451</xdr:rowOff>
    </xdr:from>
    <xdr:to>
      <xdr:col>7</xdr:col>
      <xdr:colOff>19050</xdr:colOff>
      <xdr:row>9</xdr:row>
      <xdr:rowOff>152401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0AC5DC98-0FA0-81F8-2510-144959FDA3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7500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317500</xdr:colOff>
      <xdr:row>1</xdr:row>
      <xdr:rowOff>152401</xdr:rowOff>
    </xdr:from>
    <xdr:to>
      <xdr:col>10</xdr:col>
      <xdr:colOff>317500</xdr:colOff>
      <xdr:row>14</xdr:row>
      <xdr:rowOff>12701</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7F78FCF5-F178-B2B8-3537-353CC4A2C0D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302250" y="336551"/>
              <a:ext cx="1828800" cy="225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12700</xdr:colOff>
      <xdr:row>1</xdr:row>
      <xdr:rowOff>180975</xdr:rowOff>
    </xdr:from>
    <xdr:to>
      <xdr:col>18</xdr:col>
      <xdr:colOff>317500</xdr:colOff>
      <xdr:row>16</xdr:row>
      <xdr:rowOff>161925</xdr:rowOff>
    </xdr:to>
    <xdr:graphicFrame macro="">
      <xdr:nvGraphicFramePr>
        <xdr:cNvPr id="4" name="Chart 3">
          <a:extLst>
            <a:ext uri="{FF2B5EF4-FFF2-40B4-BE49-F238E27FC236}">
              <a16:creationId xmlns:a16="http://schemas.microsoft.com/office/drawing/2014/main" id="{A2E0CC62-23F6-1415-D9EB-5705D71DB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19050</xdr:colOff>
      <xdr:row>2</xdr:row>
      <xdr:rowOff>38100</xdr:rowOff>
    </xdr:from>
    <xdr:to>
      <xdr:col>13</xdr:col>
      <xdr:colOff>323850</xdr:colOff>
      <xdr:row>17</xdr:row>
      <xdr:rowOff>19050</xdr:rowOff>
    </xdr:to>
    <xdr:graphicFrame macro="">
      <xdr:nvGraphicFramePr>
        <xdr:cNvPr id="2" name="Chart 1">
          <a:extLst>
            <a:ext uri="{FF2B5EF4-FFF2-40B4-BE49-F238E27FC236}">
              <a16:creationId xmlns:a16="http://schemas.microsoft.com/office/drawing/2014/main" id="{8EE1F73B-956B-8261-CFC5-6FE895737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327025</xdr:colOff>
      <xdr:row>2</xdr:row>
      <xdr:rowOff>44450</xdr:rowOff>
    </xdr:from>
    <xdr:to>
      <xdr:col>13</xdr:col>
      <xdr:colOff>22225</xdr:colOff>
      <xdr:row>17</xdr:row>
      <xdr:rowOff>25400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6D86B2B-E9EF-8BAA-C360-224E6021A5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60775" y="412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200025</xdr:colOff>
      <xdr:row>2</xdr:row>
      <xdr:rowOff>0</xdr:rowOff>
    </xdr:from>
    <xdr:to>
      <xdr:col>13</xdr:col>
      <xdr:colOff>320675</xdr:colOff>
      <xdr:row>16</xdr:row>
      <xdr:rowOff>165100</xdr:rowOff>
    </xdr:to>
    <xdr:graphicFrame macro="">
      <xdr:nvGraphicFramePr>
        <xdr:cNvPr id="2" name="Chart 1">
          <a:extLst>
            <a:ext uri="{FF2B5EF4-FFF2-40B4-BE49-F238E27FC236}">
              <a16:creationId xmlns:a16="http://schemas.microsoft.com/office/drawing/2014/main" id="{00025A14-79AC-21FF-1CB0-A27170348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26519</xdr:colOff>
      <xdr:row>3</xdr:row>
      <xdr:rowOff>114712</xdr:rowOff>
    </xdr:from>
    <xdr:to>
      <xdr:col>28</xdr:col>
      <xdr:colOff>37353</xdr:colOff>
      <xdr:row>9</xdr:row>
      <xdr:rowOff>174314</xdr:rowOff>
    </xdr:to>
    <xdr:sp macro="" textlink="">
      <xdr:nvSpPr>
        <xdr:cNvPr id="3" name="Rectangle: Rounded Corners 2">
          <a:extLst>
            <a:ext uri="{FF2B5EF4-FFF2-40B4-BE49-F238E27FC236}">
              <a16:creationId xmlns:a16="http://schemas.microsoft.com/office/drawing/2014/main" id="{0DC4B776-382E-1908-53B7-11D6C7FE9EBC}"/>
            </a:ext>
          </a:extLst>
        </xdr:cNvPr>
        <xdr:cNvSpPr/>
      </xdr:nvSpPr>
      <xdr:spPr>
        <a:xfrm>
          <a:off x="3562597" y="675006"/>
          <a:ext cx="15499854" cy="118019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4000" b="0">
              <a:solidFill>
                <a:sysClr val="windowText" lastClr="000000"/>
              </a:solidFill>
              <a:latin typeface="+mj-lt"/>
              <a:cs typeface="Times New Roman" panose="02020603050405020304" pitchFamily="18" charset="0"/>
            </a:rPr>
            <a:t>SALES,</a:t>
          </a:r>
          <a:r>
            <a:rPr lang="en-US" sz="4000" b="0" baseline="0">
              <a:solidFill>
                <a:sysClr val="windowText" lastClr="000000"/>
              </a:solidFill>
              <a:latin typeface="+mj-lt"/>
              <a:cs typeface="Times New Roman" panose="02020603050405020304" pitchFamily="18" charset="0"/>
            </a:rPr>
            <a:t> PROFITABILITY AND DELIVERY PERFORMANCE DASHBOARD</a:t>
          </a:r>
          <a:endParaRPr lang="en-US" sz="4000" b="0">
            <a:solidFill>
              <a:sysClr val="windowText" lastClr="000000"/>
            </a:solidFill>
            <a:latin typeface="+mj-lt"/>
            <a:cs typeface="Times New Roman" panose="02020603050405020304" pitchFamily="18" charset="0"/>
          </a:endParaRPr>
        </a:p>
      </xdr:txBody>
    </xdr:sp>
    <xdr:clientData/>
  </xdr:twoCellAnchor>
  <xdr:twoCellAnchor editAs="oneCell">
    <xdr:from>
      <xdr:col>0</xdr:col>
      <xdr:colOff>0</xdr:colOff>
      <xdr:row>12</xdr:row>
      <xdr:rowOff>177800</xdr:rowOff>
    </xdr:from>
    <xdr:to>
      <xdr:col>2</xdr:col>
      <xdr:colOff>609600</xdr:colOff>
      <xdr:row>26</xdr:row>
      <xdr:rowOff>123824</xdr:rowOff>
    </xdr:to>
    <mc:AlternateContent xmlns:mc="http://schemas.openxmlformats.org/markup-compatibility/2006" xmlns:a14="http://schemas.microsoft.com/office/drawing/2010/main">
      <mc:Choice Requires="a14">
        <xdr:graphicFrame macro="">
          <xdr:nvGraphicFramePr>
            <xdr:cNvPr id="4" name="Country 2">
              <a:extLst>
                <a:ext uri="{FF2B5EF4-FFF2-40B4-BE49-F238E27FC236}">
                  <a16:creationId xmlns:a16="http://schemas.microsoft.com/office/drawing/2014/main" id="{42EB7B4D-9B5A-456C-A7F0-E5944E12E3C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2568388"/>
              <a:ext cx="1829796" cy="2560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20</xdr:row>
      <xdr:rowOff>139700</xdr:rowOff>
    </xdr:from>
    <xdr:to>
      <xdr:col>4</xdr:col>
      <xdr:colOff>127000</xdr:colOff>
      <xdr:row>34</xdr:row>
      <xdr:rowOff>85726</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04D94CB0-C861-4D45-A3CC-9AF2F57AE6F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29796" y="4024406"/>
              <a:ext cx="1833282" cy="2560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127000</xdr:rowOff>
    </xdr:from>
    <xdr:to>
      <xdr:col>2</xdr:col>
      <xdr:colOff>609600</xdr:colOff>
      <xdr:row>34</xdr:row>
      <xdr:rowOff>1</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7D0E3EBC-D3FF-4246-BEB5-4155BCADD89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5132294"/>
              <a:ext cx="1829796" cy="1367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34</xdr:row>
      <xdr:rowOff>82550</xdr:rowOff>
    </xdr:from>
    <xdr:to>
      <xdr:col>4</xdr:col>
      <xdr:colOff>127000</xdr:colOff>
      <xdr:row>45</xdr:row>
      <xdr:rowOff>6349</xdr:rowOff>
    </xdr:to>
    <mc:AlternateContent xmlns:mc="http://schemas.openxmlformats.org/markup-compatibility/2006" xmlns:a14="http://schemas.microsoft.com/office/drawing/2010/main">
      <mc:Choice Requires="a14">
        <xdr:graphicFrame macro="">
          <xdr:nvGraphicFramePr>
            <xdr:cNvPr id="8" name="Channel 1">
              <a:extLst>
                <a:ext uri="{FF2B5EF4-FFF2-40B4-BE49-F238E27FC236}">
                  <a16:creationId xmlns:a16="http://schemas.microsoft.com/office/drawing/2014/main" id="{4C75D3DB-AC87-4473-85BC-F38AB67D111E}"/>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829796" y="6581962"/>
              <a:ext cx="1833282" cy="1978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171450</xdr:rowOff>
    </xdr:from>
    <xdr:to>
      <xdr:col>2</xdr:col>
      <xdr:colOff>609600</xdr:colOff>
      <xdr:row>58</xdr:row>
      <xdr:rowOff>31750</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BCCDE6EB-BABD-44CD-A5EB-219D0DB3D1E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0" y="8725274"/>
              <a:ext cx="1829796" cy="2288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177801</xdr:rowOff>
    </xdr:from>
    <xdr:to>
      <xdr:col>2</xdr:col>
      <xdr:colOff>609600</xdr:colOff>
      <xdr:row>45</xdr:row>
      <xdr:rowOff>165100</xdr:rowOff>
    </xdr:to>
    <mc:AlternateContent xmlns:mc="http://schemas.openxmlformats.org/markup-compatibility/2006" xmlns:a14="http://schemas.microsoft.com/office/drawing/2010/main">
      <mc:Choice Requires="a14">
        <xdr:graphicFrame macro="">
          <xdr:nvGraphicFramePr>
            <xdr:cNvPr id="10" name="ProductCategory 1">
              <a:extLst>
                <a:ext uri="{FF2B5EF4-FFF2-40B4-BE49-F238E27FC236}">
                  <a16:creationId xmlns:a16="http://schemas.microsoft.com/office/drawing/2014/main" id="{EB2FDF1C-C500-4624-BEE7-1C7421ECF253}"/>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0" y="6490448"/>
              <a:ext cx="1829796" cy="2228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10582</xdr:colOff>
      <xdr:row>13</xdr:row>
      <xdr:rowOff>13183</xdr:rowOff>
    </xdr:from>
    <xdr:to>
      <xdr:col>27</xdr:col>
      <xdr:colOff>603771</xdr:colOff>
      <xdr:row>28</xdr:row>
      <xdr:rowOff>10409</xdr:rowOff>
    </xdr:to>
    <xdr:graphicFrame macro="">
      <xdr:nvGraphicFramePr>
        <xdr:cNvPr id="11" name="Chart 10">
          <a:extLst>
            <a:ext uri="{FF2B5EF4-FFF2-40B4-BE49-F238E27FC236}">
              <a16:creationId xmlns:a16="http://schemas.microsoft.com/office/drawing/2014/main" id="{9E7C057F-882B-4698-99B4-2B791B443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73909</xdr:colOff>
      <xdr:row>43</xdr:row>
      <xdr:rowOff>12665</xdr:rowOff>
    </xdr:from>
    <xdr:to>
      <xdr:col>11</xdr:col>
      <xdr:colOff>20992</xdr:colOff>
      <xdr:row>59</xdr:row>
      <xdr:rowOff>23248</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679F01DA-4F49-4A20-BF1A-EA206D20C5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04509" y="8077165"/>
              <a:ext cx="5071533" cy="29569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10410</xdr:colOff>
      <xdr:row>43</xdr:row>
      <xdr:rowOff>9127</xdr:rowOff>
    </xdr:from>
    <xdr:to>
      <xdr:col>26</xdr:col>
      <xdr:colOff>345</xdr:colOff>
      <xdr:row>59</xdr:row>
      <xdr:rowOff>10409</xdr:rowOff>
    </xdr:to>
    <xdr:graphicFrame macro="">
      <xdr:nvGraphicFramePr>
        <xdr:cNvPr id="13" name="Chart 12">
          <a:extLst>
            <a:ext uri="{FF2B5EF4-FFF2-40B4-BE49-F238E27FC236}">
              <a16:creationId xmlns:a16="http://schemas.microsoft.com/office/drawing/2014/main" id="{B6949910-19D2-4441-A9E8-47968450A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603771</xdr:colOff>
      <xdr:row>27</xdr:row>
      <xdr:rowOff>183013</xdr:rowOff>
    </xdr:from>
    <xdr:to>
      <xdr:col>25</xdr:col>
      <xdr:colOff>315512</xdr:colOff>
      <xdr:row>43</xdr:row>
      <xdr:rowOff>10410</xdr:rowOff>
    </xdr:to>
    <xdr:graphicFrame macro="">
      <xdr:nvGraphicFramePr>
        <xdr:cNvPr id="14" name="Chart 13">
          <a:extLst>
            <a:ext uri="{FF2B5EF4-FFF2-40B4-BE49-F238E27FC236}">
              <a16:creationId xmlns:a16="http://schemas.microsoft.com/office/drawing/2014/main" id="{D36566B6-E32D-4D32-B8EF-81C485B2A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843067</xdr:colOff>
      <xdr:row>27</xdr:row>
      <xdr:rowOff>167217</xdr:rowOff>
    </xdr:from>
    <xdr:to>
      <xdr:col>12</xdr:col>
      <xdr:colOff>603771</xdr:colOff>
      <xdr:row>43</xdr:row>
      <xdr:rowOff>10410</xdr:rowOff>
    </xdr:to>
    <xdr:graphicFrame macro="">
      <xdr:nvGraphicFramePr>
        <xdr:cNvPr id="15" name="Chart 14">
          <a:extLst>
            <a:ext uri="{FF2B5EF4-FFF2-40B4-BE49-F238E27FC236}">
              <a16:creationId xmlns:a16="http://schemas.microsoft.com/office/drawing/2014/main" id="{AC43152F-6349-4128-B464-69109E383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10579</xdr:colOff>
      <xdr:row>13</xdr:row>
      <xdr:rowOff>-1</xdr:rowOff>
    </xdr:from>
    <xdr:to>
      <xdr:col>19</xdr:col>
      <xdr:colOff>614179</xdr:colOff>
      <xdr:row>28</xdr:row>
      <xdr:rowOff>0</xdr:rowOff>
    </xdr:to>
    <xdr:graphicFrame macro="">
      <xdr:nvGraphicFramePr>
        <xdr:cNvPr id="16" name="Chart 15">
          <a:extLst>
            <a:ext uri="{FF2B5EF4-FFF2-40B4-BE49-F238E27FC236}">
              <a16:creationId xmlns:a16="http://schemas.microsoft.com/office/drawing/2014/main" id="{1EAC18A2-7841-457E-AF4A-4DD1DD9BF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158749</xdr:colOff>
      <xdr:row>12</xdr:row>
      <xdr:rowOff>169333</xdr:rowOff>
    </xdr:from>
    <xdr:to>
      <xdr:col>11</xdr:col>
      <xdr:colOff>31230</xdr:colOff>
      <xdr:row>28</xdr:row>
      <xdr:rowOff>1</xdr:rowOff>
    </xdr:to>
    <xdr:graphicFrame macro="">
      <xdr:nvGraphicFramePr>
        <xdr:cNvPr id="17" name="Chart 16">
          <a:extLst>
            <a:ext uri="{FF2B5EF4-FFF2-40B4-BE49-F238E27FC236}">
              <a16:creationId xmlns:a16="http://schemas.microsoft.com/office/drawing/2014/main" id="{744A1A03-DA25-49C3-8F44-E578FCCA0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622788</xdr:colOff>
      <xdr:row>12</xdr:row>
      <xdr:rowOff>158751</xdr:rowOff>
    </xdr:from>
    <xdr:to>
      <xdr:col>4</xdr:col>
      <xdr:colOff>143607</xdr:colOff>
      <xdr:row>20</xdr:row>
      <xdr:rowOff>147516</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663AEF4B-78F7-4BC0-8581-9F16E3ED4E4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829288" y="2587626"/>
              <a:ext cx="1822694" cy="1512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15875</xdr:colOff>
      <xdr:row>60</xdr:row>
      <xdr:rowOff>15875</xdr:rowOff>
    </xdr:from>
    <xdr:to>
      <xdr:col>28</xdr:col>
      <xdr:colOff>174625</xdr:colOff>
      <xdr:row>83</xdr:row>
      <xdr:rowOff>174625</xdr:rowOff>
    </xdr:to>
    <xdr:sp macro="" textlink="">
      <xdr:nvSpPr>
        <xdr:cNvPr id="18" name="Rectangle: Single Corner Rounded 17">
          <a:extLst>
            <a:ext uri="{FF2B5EF4-FFF2-40B4-BE49-F238E27FC236}">
              <a16:creationId xmlns:a16="http://schemas.microsoft.com/office/drawing/2014/main" id="{5499A3DD-9230-87CC-CCE8-8B372AAEEBB5}"/>
            </a:ext>
          </a:extLst>
        </xdr:cNvPr>
        <xdr:cNvSpPr/>
      </xdr:nvSpPr>
      <xdr:spPr>
        <a:xfrm>
          <a:off x="2524125" y="11588750"/>
          <a:ext cx="16510000" cy="4540250"/>
        </a:xfrm>
        <a:prstGeom prst="round1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ysClr val="windowText" lastClr="000000"/>
              </a:solidFill>
            </a:rPr>
            <a:t>- Online calnnibalizes</a:t>
          </a:r>
          <a:r>
            <a:rPr lang="en-US" sz="2400" b="1" baseline="0">
              <a:solidFill>
                <a:sysClr val="windowText" lastClr="000000"/>
              </a:solidFill>
            </a:rPr>
            <a:t> Retail in majority of the regions except in </a:t>
          </a:r>
          <a:r>
            <a:rPr lang="en-US" sz="2400" b="1">
              <a:solidFill>
                <a:sysClr val="windowText" lastClr="000000"/>
              </a:solidFill>
            </a:rPr>
            <a:t>India,</a:t>
          </a:r>
          <a:r>
            <a:rPr lang="en-US" sz="2400" b="1" baseline="0">
              <a:solidFill>
                <a:sysClr val="windowText" lastClr="000000"/>
              </a:solidFill>
            </a:rPr>
            <a:t> France, Kenya and SouthAfrica where Retail is seen to be higher than Online.</a:t>
          </a:r>
        </a:p>
        <a:p>
          <a:pPr algn="l"/>
          <a:r>
            <a:rPr lang="en-US" sz="2400" b="1">
              <a:solidFill>
                <a:sysClr val="windowText" lastClr="000000"/>
              </a:solidFill>
            </a:rPr>
            <a:t>- Profit by Region and Channel differs in each country due to the dirrent econmic</a:t>
          </a:r>
          <a:r>
            <a:rPr lang="en-US" sz="2400" b="1" baseline="0">
              <a:solidFill>
                <a:sysClr val="windowText" lastClr="000000"/>
              </a:solidFill>
            </a:rPr>
            <a:t> status and shopping cultures</a:t>
          </a:r>
        </a:p>
        <a:p>
          <a:pPr algn="l"/>
          <a:r>
            <a:rPr lang="en-US" sz="2400" b="1" baseline="0">
              <a:solidFill>
                <a:sysClr val="windowText" lastClr="000000"/>
              </a:solidFill>
            </a:rPr>
            <a:t>- LeadTimeDays against OrderIDs keeps on changing with different Regions and Countries. It is also affected by the channel of sales selected especially due to the turnover time</a:t>
          </a:r>
        </a:p>
        <a:p>
          <a:pPr algn="l"/>
          <a:r>
            <a:rPr lang="en-US" sz="2400" b="1" baseline="0">
              <a:solidFill>
                <a:sysClr val="windowText" lastClr="000000"/>
              </a:solidFill>
            </a:rPr>
            <a:t>- Discount rates are affected greatly by the different regions. This could be due to different product sale rates in the different regions and countries</a:t>
          </a:r>
        </a:p>
        <a:p>
          <a:pPr algn="l"/>
          <a:r>
            <a:rPr lang="en-US" sz="2400" b="1" baseline="0">
              <a:solidFill>
                <a:sysClr val="windowText" lastClr="000000"/>
              </a:solidFill>
            </a:rPr>
            <a:t>- Revenue shifts with every sale and discount rate. There's higher revenues where there's higher discount rates and product orders too. </a:t>
          </a:r>
        </a:p>
        <a:p>
          <a:pPr algn="l"/>
          <a:r>
            <a:rPr lang="en-US" sz="2400" b="1" baseline="0">
              <a:solidFill>
                <a:sysClr val="windowText" lastClr="000000"/>
              </a:solidFill>
            </a:rPr>
            <a:t>- The Discount Outliers analysis highlights orders or products with discount levels that significantly deviate from the typical discount range, helping identify exceptional pricing behavior</a:t>
          </a:r>
          <a:r>
            <a:rPr lang="en-US" sz="1100" b="1" baseline="0">
              <a:solidFill>
                <a:sysClr val="windowText" lastClr="000000"/>
              </a:solidFill>
            </a:rPr>
            <a:t>.</a:t>
          </a:r>
        </a:p>
        <a:p>
          <a:pPr algn="l"/>
          <a:endParaRPr lang="en-US" sz="1100" baseline="0"/>
        </a:p>
        <a:p>
          <a:pPr algn="l"/>
          <a:endParaRPr lang="en-US" sz="1100" baseline="0"/>
        </a:p>
        <a:p>
          <a:pPr algn="l"/>
          <a:endParaRPr lang="en-US" sz="1100" baseline="0"/>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817292361113" createdVersion="8" refreshedVersion="8" minRefreshableVersion="3" recordCount="632" xr:uid="{E7BACB6A-38D0-40CF-8F20-A8CFD2E59202}">
  <cacheSource type="worksheet">
    <worksheetSource name="Table1"/>
  </cacheSource>
  <cacheFields count="33">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   od" numFmtId="14">
      <sharedItems containsNonDate="0" containsDate="1" containsString="0" containsBlank="1" minDate="2023-01-07T00:00:00" maxDate="2025-09-16T00:00:00"/>
    </cacheField>
    <cacheField name="New RD" numFmtId="14">
      <sharedItems containsSemiMixedTypes="0" containsNonDate="0" containsDate="1" containsString="0" minDate="2023-01-05T00:00:00" maxDate="2025-10-06T00:00:00"/>
    </cacheField>
    <cacheField name="New LTD" numFmtId="1">
      <sharedItems containsSemiMixedTypes="0" containsString="0" containsNumber="1" containsInteger="1" minValue="0" maxValue="44931"/>
    </cacheField>
    <cacheField name="New Required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7 LeadTimeDays" numFmtId="2">
      <sharedItems count="2">
        <s v="No"/>
        <s v="Yes"/>
      </sharedItems>
    </cacheField>
    <cacheField name="Greater than 20% Discount" numFmtId="2">
      <sharedItems count="2">
        <s v="No"/>
        <s v="Yes"/>
      </sharedItems>
    </cacheField>
    <cacheField name="Region" numFmtId="0">
      <sharedItems count="4">
        <s v="Americas"/>
        <s v="Africa"/>
        <s v="Europe"/>
        <s v="Asia"/>
      </sharedItems>
    </cacheField>
    <cacheField name="Country" numFmtId="0">
      <sharedItems count="12">
        <s v="Canada"/>
        <s v="South Africa"/>
        <s v="France"/>
        <s v="China"/>
        <s v="USA"/>
        <s v="Nigeria"/>
        <s v="United Kingdom"/>
        <s v="Kenya"/>
        <s v="Germany"/>
        <s v="India"/>
        <s v="Brazil"/>
        <s v="Japan"/>
      </sharedItems>
    </cacheField>
    <cacheField name="City" numFmtId="0">
      <sharedItems/>
    </cacheField>
    <cacheField name="CustomerSegment" numFmtId="0">
      <sharedItems/>
    </cacheField>
    <cacheField name="Channel" numFmtId="0">
      <sharedItems count="6">
        <s v="Distributor"/>
        <s v="Online"/>
        <s v="Direct"/>
        <s v="Retail"/>
        <s v="Marketplace"/>
        <s v="N/A"/>
      </sharedItems>
    </cacheField>
    <cacheField name="Salesperson" numFmtId="0">
      <sharedItems count="16">
        <s v="B. Chen"/>
        <s v="A. Patel"/>
        <s v="D. Smith"/>
        <s v="M. Rossi"/>
        <s v="H. Kim"/>
        <s v="O. Wang"/>
        <s v="G. Dubois"/>
        <s v="F. Müller"/>
        <s v="N. Brown"/>
        <s v="L. Okafor"/>
        <s v="K. Singh"/>
        <s v="C. Otieno"/>
        <s v="I. Johnson"/>
        <s v="J. Njeri"/>
        <s v="E. Garcia"/>
        <s v="N/A"/>
      </sharedItems>
    </cacheField>
    <cacheField name="ProductCategory" numFmtId="0">
      <sharedItems count="7">
        <s v="Laptops"/>
        <s v="Printers"/>
        <s v="Phones"/>
        <s v="Accessories"/>
        <s v="Networking"/>
        <s v="Monitors"/>
        <s v="Components"/>
      </sharedItems>
    </cacheField>
    <cacheField name="SKU" numFmtId="0">
      <sharedItems count="630">
        <s v="LAP-8555"/>
        <s v="PRN-4787"/>
        <s v="LAP-4551"/>
        <s v="PRN-1641"/>
        <s v="PHN-3159"/>
        <s v="PRN-6276"/>
        <s v="ACC-3645"/>
        <s v="NET-6036"/>
        <s v="NET-4155"/>
        <s v="MON-2537"/>
        <s v="NET-8787"/>
        <s v="LAP-9782"/>
        <s v="ACC-4631"/>
        <s v="MON-7207"/>
        <s v="NET-3460"/>
        <s v="PHN-2036"/>
        <s v="CMP-2693"/>
        <s v="NET-5018"/>
        <s v="ACC-8242"/>
        <s v="LAP-3393"/>
        <s v="MON-6699"/>
        <s v="MON-9906"/>
        <s v="NET-2499"/>
        <s v="PHN-4854"/>
        <s v="PRN-7410"/>
        <s v="PRN-1060"/>
        <s v="CMP-1632"/>
        <s v="NET-1282"/>
        <s v="NET-9666"/>
        <s v="LAP-3679"/>
        <s v="NET-5195"/>
        <s v="PRN-9624"/>
        <s v="MON-2828"/>
        <s v="NET-7349"/>
        <s v="LAP-6160"/>
        <s v="MON-2073"/>
        <s v="PRN-7049"/>
        <s v="CMP-2574"/>
        <s v="CMP-8230"/>
        <s v="CMP-8675"/>
        <s v="PHN-8483"/>
        <s v="ACC-9150"/>
        <s v="ACC-2988"/>
        <s v="MON-9227"/>
        <s v="PRN-4506"/>
        <s v="LAP-7819"/>
        <s v="PHN-8014"/>
        <s v="ACC-4815"/>
        <s v="MON-5259"/>
        <s v="PRN-8970"/>
        <s v="MON-4373"/>
        <s v="PRN-5067"/>
        <s v="MON-3043"/>
        <s v="NET-1816"/>
        <s v="LAP-3565"/>
        <s v="MON-6053"/>
        <s v="PHN-1784"/>
        <s v="PRN-7019"/>
        <s v="ACC-1731"/>
        <s v="PRN-9249"/>
        <s v="LAP-1482"/>
        <s v="NET-2062"/>
        <s v="MON-1663"/>
        <s v="LAP-9766"/>
        <s v="PHN-7132"/>
        <s v="NET-2439"/>
        <s v="CMP-7371"/>
        <s v="CMP-8604"/>
        <s v="ACC-7713"/>
        <s v="LAP-1698"/>
        <s v="CMP-4945"/>
        <s v="CMP-5633"/>
        <s v="MON-2266"/>
        <s v="MON-5086"/>
        <s v="MON-4830"/>
        <s v="PHN-5366"/>
        <s v="NET-5941"/>
        <s v="PHN-1670"/>
        <s v="PHN-6131"/>
        <s v="CMP-9392"/>
        <s v="ACC-2364"/>
        <s v="ACC-9283"/>
        <s v="MON-2465"/>
        <s v="LAP-6499"/>
        <s v="NET-3255"/>
        <s v="PHN-8970"/>
        <s v="PRN-9488"/>
        <s v="PRN-1923"/>
        <s v="ACC-5206"/>
        <s v="CMP-5208"/>
        <s v="CMP-4630"/>
        <s v="LAP-2806"/>
        <s v="CMP-6925"/>
        <s v="PRN-1271"/>
        <s v="MON-6882"/>
        <s v="ACC-1882"/>
        <s v="CMP-8545"/>
        <s v="PHN-1924"/>
        <s v="ACC-4587"/>
        <s v="CMP-1223"/>
        <s v="PRN-3690"/>
        <s v="MON-9194"/>
        <s v="PHN-2337"/>
        <s v="PRN-8008"/>
        <s v="CMP-5820"/>
        <s v="MON-5424"/>
        <s v="ACC-3833"/>
        <s v="PRN-6536"/>
        <s v="MON-4326"/>
        <s v="NET-3828"/>
        <s v="NET-1228"/>
        <s v="ACC-3385"/>
        <s v="PRN-2542"/>
        <s v="PHN-4677"/>
        <s v="PRN-6490"/>
        <s v="PHN-6818"/>
        <s v="ACC-2903"/>
        <s v="MON-2990"/>
        <s v="LAP-3904"/>
        <s v="NET-6533"/>
        <s v="LAP-4666"/>
        <s v="CMP-7256"/>
        <s v="LAP-6342"/>
        <s v="NET-2394"/>
        <s v="ACC-9445"/>
        <s v="LAP-1989"/>
        <s v="CMP-6649"/>
        <s v="PRN-1504"/>
        <s v="MON-1018"/>
        <s v="ACC-5334"/>
        <s v="LAP-1178"/>
        <s v="CMP-8659"/>
        <s v="NET-1699"/>
        <s v="MON-7869"/>
        <s v="PRN-2301"/>
        <s v="MON-3307"/>
        <s v="ACC-1238"/>
        <s v="ACC-8178"/>
        <s v="ACC-7078"/>
        <s v="NET-1645"/>
        <s v="NET-5423"/>
        <s v="NET-3689"/>
        <s v="ACC-3951"/>
        <s v="NET-4735"/>
        <s v="MON-3773"/>
        <s v="NET-9125"/>
        <s v="MON-7511"/>
        <s v="NET-2894"/>
        <s v="CMP-6352"/>
        <s v="PHN-2013"/>
        <s v="PHN-1234"/>
        <s v="PHN-8072"/>
        <s v="MON-2296"/>
        <s v="PRN-9669"/>
        <s v="MON-5517"/>
        <s v="CMP-2136"/>
        <s v="ACC-1492"/>
        <s v="PRN-4732"/>
        <s v="PHN-3971"/>
        <s v="CMP-7063"/>
        <s v="PRN-5107"/>
        <s v="PRN-9975"/>
        <s v="PRN-7079"/>
        <s v="NET-9989"/>
        <s v="ACC-3068"/>
        <s v="ACC-3415"/>
        <s v="ACC-4766"/>
        <s v="PRN-4432"/>
        <s v="LAP-4932"/>
        <s v="CMP-1009"/>
        <s v="PRN-5005"/>
        <s v="ACC-1375"/>
        <s v="CMP-5211"/>
        <s v="ACC-3551"/>
        <s v="LAP-6750"/>
        <s v="LAP-5763"/>
        <s v="PRN-1786"/>
        <s v="ACC-5079"/>
        <s v="CMP-4807"/>
        <s v="PRN-6520"/>
        <s v="MON-7602"/>
        <s v="CMP-2096"/>
        <s v="NET-8856"/>
        <s v="ACC-3567"/>
        <s v="PHN-8478"/>
        <s v="PRN-4983"/>
        <s v="PHN-8891"/>
        <s v="ACC-8557"/>
        <s v="MON-8697"/>
        <s v="LAP-9024"/>
        <s v="PHN-5938"/>
        <s v="ACC-2867"/>
        <s v="LAP-7320"/>
        <s v="LAP-2378"/>
        <s v="ACC-4124"/>
        <s v="ACC-5260"/>
        <s v="NET-4104"/>
        <s v="ACC-1060"/>
        <s v="MON-3745"/>
        <s v="NET-2460"/>
        <s v="PHN-9184"/>
        <s v="NET-3033"/>
        <s v="PHN-2447"/>
        <s v="LAP-1525"/>
        <s v="LAP-4899"/>
        <s v="LAP-3604"/>
        <s v="MON-4278"/>
        <s v="PHN-4644"/>
        <s v="PHN-6506"/>
        <s v="PRN-8041"/>
        <s v="PRN-8175"/>
        <s v="CMP-1940"/>
        <s v="ACC-9644"/>
        <s v="NET-6014"/>
        <s v="PHN-7274"/>
        <s v="MON-6065"/>
        <s v="MON-1572"/>
        <s v="CMP-4792"/>
        <s v="CMP-4531"/>
        <s v="CMP-1555"/>
        <s v="PHN-3014"/>
        <s v="LAP-1946"/>
        <s v="LAP-2942"/>
        <s v="PRN-1654"/>
        <s v="PHN-7924"/>
        <s v="ACC-6594"/>
        <s v="ACC-3103"/>
        <s v="NET-4554"/>
        <s v="NET-1893"/>
        <s v="LAP-3581"/>
        <s v="PRN-6585"/>
        <s v="PRN-6776"/>
        <s v="NET-1412"/>
        <s v="PRN-7816"/>
        <s v="PRN-8604"/>
        <s v="CMP-5138"/>
        <s v="CMP-8141"/>
        <s v="LAP-9931"/>
        <s v="CMP-2410"/>
        <s v="MON-4195"/>
        <s v="PRN-6660"/>
        <s v="PRN-8392"/>
        <s v="MON-8973"/>
        <s v="LAP-5689"/>
        <s v="LAP-7056"/>
        <s v="NET-9569"/>
        <s v="ACC-7938"/>
        <s v="ACC-6223"/>
        <s v="CMP-1470"/>
        <s v="NET-8761"/>
        <s v="PRN-4906"/>
        <s v="CMP-9264"/>
        <s v="LAP-5531"/>
        <s v="MON-2462"/>
        <s v="CMP-5911"/>
        <s v="PHN-5082"/>
        <s v="ACC-1021"/>
        <s v="LAP-2774"/>
        <s v="PHN-1717"/>
        <s v="PRN-7089"/>
        <s v="CMP-9801"/>
        <s v="PRN-5384"/>
        <s v="PRN-6308"/>
        <s v="NET-9177"/>
        <s v="MON-3350"/>
        <s v="LAP-8469"/>
        <s v="NET-7588"/>
        <s v="PHN-7852"/>
        <s v="PRN-7976"/>
        <s v="CMP-3223"/>
        <s v="PHN-4915"/>
        <s v="MON-8422"/>
        <s v="PHN-4741"/>
        <s v="CMP-7617"/>
        <s v="PRN-6911"/>
        <s v="MON-5749"/>
        <s v="PHN-3398"/>
        <s v="LAP-8633"/>
        <s v="CMP-8002"/>
        <s v="CMP-8270"/>
        <s v="MON-7099"/>
        <s v="CMP-9001"/>
        <s v="MON-4361"/>
        <s v="PRN-8758"/>
        <s v="ACC-2761"/>
        <s v="PHN-4346"/>
        <s v="MON-5444"/>
        <s v="NET-5523"/>
        <s v="LAP-2846"/>
        <s v="MON-8651"/>
        <s v="PHN-5445"/>
        <s v="NET-3850"/>
        <s v="ACC-6543"/>
        <s v="CMP-6529"/>
        <s v="CMP-8196"/>
        <s v="PRN-1086"/>
        <s v="LAP-8489"/>
        <s v="PRN-2641"/>
        <s v="LAP-9932"/>
        <s v="PRN-7303"/>
        <s v="ACC-2990"/>
        <s v="MON-6190"/>
        <s v="PHN-9107"/>
        <s v="LAP-5009"/>
        <s v="CMP-6811"/>
        <s v="NET-4228"/>
        <s v="MON-6892"/>
        <s v="CMP-3313"/>
        <s v="LAP-9100"/>
        <s v="LAP-1066"/>
        <s v="PRN-5813"/>
        <s v="NET-2365"/>
        <s v="PHN-7974"/>
        <s v="LAP-4987"/>
        <s v="PRN-1725"/>
        <s v="ACC-7354"/>
        <s v="MON-4271"/>
        <s v="CMP-5946"/>
        <s v="CMP-8101"/>
        <s v="MON-6870"/>
        <s v="MON-2100"/>
        <s v="PRN-3785"/>
        <s v="NET-1166"/>
        <s v="ACC-7240"/>
        <s v="ACC-5177"/>
        <s v="PHN-9399"/>
        <s v="PHN-4356"/>
        <s v="ACC-9820"/>
        <s v="PHN-6866"/>
        <s v="MON-5386"/>
        <s v="PRN-4097"/>
        <s v="LAP-1739"/>
        <s v="NET-6578"/>
        <s v="CMP-2040"/>
        <s v="MON-8688"/>
        <s v="MON-1389"/>
        <s v="CMP-6392"/>
        <s v="LAP-9230"/>
        <s v="PHN-2436"/>
        <s v="PRN-4453"/>
        <s v="PHN-6832"/>
        <s v="PHN-9677"/>
        <s v="LAP-4607"/>
        <s v="ACC-7838"/>
        <s v="ACC-7671"/>
        <s v="NET-5987"/>
        <s v="NET-4241"/>
        <s v="ACC-8683"/>
        <s v="ACC-9162"/>
        <s v="LAP-6577"/>
        <s v="CMP-5825"/>
        <s v="ACC-3721"/>
        <s v="PHN-7815"/>
        <s v="NET-9575"/>
        <s v="MON-6287"/>
        <s v="ACC-2735"/>
        <s v="MON-7622"/>
        <s v="PHN-6854"/>
        <s v="LAP-9901"/>
        <s v="LAP-9815"/>
        <s v="ACC-6626"/>
        <s v="NET-4675"/>
        <s v="PRN-2829"/>
        <s v="MON-1564"/>
        <s v="LAP-1969"/>
        <s v="MON-8867"/>
        <s v="NET-7924"/>
        <s v="NET-8957"/>
        <s v="PRN-1183"/>
        <s v="LAP-7979"/>
        <s v="PRN-5591"/>
        <s v="PHN-2341"/>
        <s v="MON-2849"/>
        <s v="PHN-3077"/>
        <s v="CMP-5435"/>
        <s v="PRN-9793"/>
        <s v="PRN-4892"/>
        <s v="CMP-1559"/>
        <s v="MON-9967"/>
        <s v="CMP-3875"/>
        <s v="ACC-4490"/>
        <s v="LAP-7009"/>
        <s v="PHN-6111"/>
        <s v="CMP-7563"/>
        <s v="PRN-1141"/>
        <s v="PRN-3917"/>
        <s v="MON-5249"/>
        <s v="MON-3504"/>
        <s v="LAP-4483"/>
        <s v="NET-9835"/>
        <s v="NET-7998"/>
        <s v="PRN-3014"/>
        <s v="CMP-3093"/>
        <s v="NET-1145"/>
        <s v="PRN-6068"/>
        <s v="PHN-8804"/>
        <s v="LAP-5150"/>
        <s v="PRN-2749"/>
        <s v="MON-6341"/>
        <s v="PHN-4568"/>
        <s v="PRN-9557"/>
        <s v="CMP-3978"/>
        <s v="PHN-7488"/>
        <s v="ACC-9038"/>
        <s v="MON-9733"/>
        <s v="CMP-1072"/>
        <s v="CMP-8127"/>
        <s v="PRN-5666"/>
        <s v="CMP-5006"/>
        <s v="NET-5268"/>
        <s v="NET-6387"/>
        <s v="MON-4330"/>
        <s v="MON-8129"/>
        <s v="MON-8758"/>
        <s v="PRN-9322"/>
        <s v="PHN-9789"/>
        <s v="NET-3728"/>
        <s v="PRN-3143"/>
        <s v="CMP-9498"/>
        <s v="MON-8939"/>
        <s v="PRN-4893"/>
        <s v="CMP-4610"/>
        <s v="PRN-2409"/>
        <s v="MON-5188"/>
        <s v="NET-8561"/>
        <s v="PRN-2293"/>
        <s v="MON-1118"/>
        <s v="CMP-2015"/>
        <s v="ACC-6348"/>
        <s v="PRN-9960"/>
        <s v="NET-2628"/>
        <s v="NET-2932"/>
        <s v="LAP-5078"/>
        <s v="PRN-1371"/>
        <s v="PRN-4911"/>
        <s v="MON-7943"/>
        <s v="CMP-3938"/>
        <s v="ACC-7047"/>
        <s v="PRN-5569"/>
        <s v="PRN-4170"/>
        <s v="ACC-1075"/>
        <s v="PHN-1919"/>
        <s v="PRN-5492"/>
        <s v="ACC-2386"/>
        <s v="NET-4491"/>
        <s v="CMP-2335"/>
        <s v="PRN-6791"/>
        <s v="MON-4789"/>
        <s v="LAP-8347"/>
        <s v="CMP-3720"/>
        <s v="NET-1846"/>
        <s v="ACC-5780"/>
        <s v="MON-4215"/>
        <s v="PRN-9378"/>
        <s v="PRN-4788"/>
        <s v="PHN-8057"/>
        <s v="NET-9832"/>
        <s v="MON-8629"/>
        <s v="CMP-6919"/>
        <s v="LAP-8214"/>
        <s v="ACC-8620"/>
        <s v="LAP-8825"/>
        <s v="MON-6310"/>
        <s v="PHN-7019"/>
        <s v="CMP-1156"/>
        <s v="NET-7901"/>
        <s v="PHN-2875"/>
        <s v="LAP-7353"/>
        <s v="PHN-6307"/>
        <s v="MON-1593"/>
        <s v="ACC-4511"/>
        <s v="CMP-8658"/>
        <s v="LAP-3779"/>
        <s v="ACC-1659"/>
        <s v="ACC-5422"/>
        <s v="PRN-2991"/>
        <s v="PHN-8368"/>
        <s v="PHN-1671"/>
        <s v="ACC-9591"/>
        <s v="MON-4959"/>
        <s v="NET-2502"/>
        <s v="NET-5482"/>
        <s v="PRN-1882"/>
        <s v="LAP-6989"/>
        <s v="MON-5179"/>
        <s v="ACC-3989"/>
        <s v="ACC-5144"/>
        <s v="ACC-1604"/>
        <s v="ACC-5150"/>
        <s v="CMP-5065"/>
        <s v="MON-1436"/>
        <s v="PHN-5887"/>
        <s v="PHN-1044"/>
        <s v="LAP-3017"/>
        <s v="ACC-4056"/>
        <s v="CMP-3693"/>
        <s v="LAP-8119"/>
        <s v="NET-6269"/>
        <s v="PRN-9867"/>
        <s v="PHN-3007"/>
        <s v="PRN-5264"/>
        <s v="NET-8430"/>
        <s v="PRN-5815"/>
        <s v="CMP-3259"/>
        <s v="CMP-7055"/>
        <s v="PRN-3159"/>
        <s v="NET-8329"/>
        <s v="PHN-4395"/>
        <s v="NET-7166"/>
        <s v="ACC-9533"/>
        <s v="PHN-4556"/>
        <s v="PRN-8763"/>
        <s v="MON-7106"/>
        <s v="LAP-7136"/>
        <s v="MON-9319"/>
        <s v="PHN-3803"/>
        <s v="PRN-8657"/>
        <s v="MON-4925"/>
        <s v="NET-9716"/>
        <s v="LAP-4517"/>
        <s v="MON-5276"/>
        <s v="NET-5270"/>
        <s v="CMP-3743"/>
        <s v="NET-3432"/>
        <s v="CMP-6495"/>
        <s v="MON-6962"/>
        <s v="PRN-6178"/>
        <s v="LAP-3490"/>
        <s v="PHN-4566"/>
        <s v="NET-8610"/>
        <s v="MON-2842"/>
        <s v="MON-9216"/>
        <s v="MON-3371"/>
        <s v="PHN-2787"/>
        <s v="PHN-8350"/>
        <s v="PHN-3854"/>
        <s v="PHN-8776"/>
        <s v="NET-1966"/>
        <s v="PHN-2462"/>
        <s v="ACC-2252"/>
        <s v="PHN-5683"/>
        <s v="CMP-9307"/>
        <s v="PRN-8850"/>
        <s v="CMP-2865"/>
        <s v="PRN-2407"/>
        <s v="PHN-6480"/>
        <s v="PHN-3800"/>
        <s v="PRN-6131"/>
        <s v="LAP-9016"/>
        <s v="ACC-3349"/>
        <s v="NET-3749"/>
        <s v="MON-2993"/>
        <s v="CMP-3731"/>
        <s v="LAP-3385"/>
        <s v="LAP-7099"/>
        <s v="ACC-1249"/>
        <s v="PRN-9787"/>
        <s v="LAP-1619"/>
        <s v="CMP-4093"/>
        <s v="CMP-4159"/>
        <s v="PRN-6429"/>
        <s v="ACC-2902"/>
        <s v="ACC-1770"/>
        <s v="PHN-3482"/>
        <s v="PHN-5675"/>
        <s v="ACC-3961"/>
        <s v="MON-5891"/>
        <s v="ACC-7906"/>
        <s v="LAP-1990"/>
        <s v="NET-6370"/>
        <s v="PHN-7379"/>
        <s v="PHN-3819"/>
        <s v="PHN-5316"/>
        <s v="CMP-8390"/>
        <s v="ACC-8094"/>
        <s v="PRN-3775"/>
        <s v="LAP-1308"/>
        <s v="PHN-5383"/>
        <s v="LAP-7523"/>
        <s v="MON-7626"/>
        <s v="NET-3535"/>
        <s v="LAP-8910"/>
        <s v="CMP-1220"/>
        <s v="LAP-2218"/>
        <s v="PHN-7636"/>
        <s v="PRN-5753"/>
        <s v="MON-7868"/>
        <s v="NET-1612"/>
        <s v="CMP-8851"/>
        <s v="ACC-1028"/>
        <s v="ACC-8098"/>
        <s v="ACC-8999"/>
        <s v="NET-1804"/>
        <s v="PRN-5876"/>
        <s v="ACC-1596"/>
        <s v="NET-7966"/>
        <s v="CMP-5658"/>
        <s v="MON-1822"/>
        <s v="PHN-9234"/>
        <s v="LAP-4828"/>
        <s v="NET-3785"/>
        <s v="CMP-6346"/>
        <s v="LAP-3905"/>
        <s v="MON-4317"/>
        <s v="CMP-2854"/>
        <s v="NET-1336"/>
        <s v="PRN-2098"/>
        <s v="NET-6218"/>
        <s v="PHN-9465"/>
        <s v="PRN-9490"/>
        <s v="NET-5196"/>
        <s v="PRN-8137"/>
        <s v="MON-9662"/>
        <s v="CMP-4970"/>
        <s v="ACC-4483"/>
        <s v="LAP-7553"/>
        <s v="LAP-3220"/>
        <s v="CMP-5311"/>
        <s v="ACC-1663"/>
        <s v="PRN-1276"/>
        <s v="PHN-1197"/>
        <s v="MON-9274"/>
        <s v="CMP-6971"/>
        <s v="PHN-6954"/>
        <s v="LAP-3278"/>
        <s v="MON-2998"/>
        <s v="NET-9003"/>
        <s v="CMP-6898"/>
        <s v="ACC-6777"/>
        <s v="PHN-2859"/>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Prices" numFmtId="2">
      <sharedItems containsSemiMixedTypes="0" containsString="0" containsNumber="1" minValue="4.22" maxValue="3661.07"/>
    </cacheField>
    <cacheField name="DiscountPct" numFmtId="9">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 name="MMM-YYYY" numFmtId="0">
      <sharedItems count="33">
        <s v="1-2023"/>
        <s v="2-2023"/>
        <s v="3-2023"/>
        <s v="4-2023"/>
        <s v="5-2023"/>
        <s v="6-2023"/>
        <s v="7-2023"/>
        <s v="8-2023"/>
        <s v="9-2023"/>
        <s v="10-2023"/>
        <s v="11-2023"/>
        <s v="12-2023"/>
        <s v="1-2024"/>
        <s v="2-2024"/>
        <s v="3-2024"/>
        <s v="4-2024"/>
        <s v="5-2024"/>
        <s v="6-2024"/>
        <s v="7-2024"/>
        <s v="8-2024"/>
        <s v="9-2024"/>
        <s v="10-2024"/>
        <s v="11-2024"/>
        <s v="12-2024"/>
        <s v="1-2025"/>
        <s v="2-2025"/>
        <s v="3-2025"/>
        <s v="4-2025"/>
        <s v="5-2025"/>
        <s v="6-2025"/>
        <s v="7-2025"/>
        <s v="8-2025"/>
        <s v="9-2025"/>
      </sharedItems>
    </cacheField>
    <cacheField name="Quarter" numFmtId="0">
      <sharedItems count="11">
        <s v="Q1-2023"/>
        <s v="Q2-2023"/>
        <s v="Q3-2023"/>
        <s v="Q4-2023"/>
        <s v="Q1-2024"/>
        <s v="Q2-2024"/>
        <s v="Q3-2024"/>
        <s v="Q4-2024"/>
        <s v="Q1-2025"/>
        <s v="Q2-2025"/>
        <s v="Q3-2025"/>
      </sharedItems>
    </cacheField>
    <cacheField name="Region Hierarchy" numFmtId="0">
      <sharedItems/>
    </cacheField>
    <cacheField name="PriceBand" numFmtId="0">
      <sharedItems containsBlank="1"/>
    </cacheField>
    <cacheField name="Month" numFmtId="0">
      <sharedItems count="12">
        <s v="Jan"/>
        <s v="Feb"/>
        <s v="Mar"/>
        <s v="Apr"/>
        <s v="May"/>
        <s v="Jun"/>
        <s v="Jul"/>
        <s v="Aug"/>
        <s v="Sep"/>
        <s v="Oct"/>
        <s v="Nov"/>
        <s v="Dec"/>
      </sharedItems>
    </cacheField>
    <cacheField name="Year" numFmtId="0">
      <sharedItems count="3">
        <s v="2023"/>
        <s v="2024"/>
        <s v="2025"/>
      </sharedItems>
    </cacheField>
  </cacheFields>
  <extLst>
    <ext xmlns:x14="http://schemas.microsoft.com/office/spreadsheetml/2009/9/main" uri="{725AE2AE-9491-48be-B2B4-4EB974FC3084}">
      <x14:pivotCacheDefinition pivotCacheId="913149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3-723587"/>
    <d v="2023-01-02T00:00:00"/>
    <d v="2023-01-05T00:00:00"/>
    <m/>
    <d v="2023-01-05T00:00:00"/>
    <n v="44931"/>
    <d v="2023-01-05T00:00:00"/>
    <n v="3"/>
    <x v="0"/>
    <x v="0"/>
    <x v="0"/>
    <x v="0"/>
    <s v="Toronto"/>
    <s v="Corporate"/>
    <x v="0"/>
    <x v="0"/>
    <x v="0"/>
    <x v="0"/>
    <n v="315.87"/>
    <n v="591.67999999999995"/>
    <n v="591.67999999999995"/>
    <n v="0"/>
    <n v="7"/>
    <n v="4141.7599999999993"/>
    <n v="2211.09"/>
    <n v="1930.6699999999992"/>
    <n v="0.46614724175229844"/>
    <x v="0"/>
    <x v="0"/>
    <s v="Americas →Canada →Toronto"/>
    <s v="Low"/>
    <x v="0"/>
    <x v="0"/>
  </r>
  <r>
    <s v="ORD-2023-689428"/>
    <d v="2023-01-07T00:00:00"/>
    <d v="2023-01-30T00:00:00"/>
    <d v="2023-01-07T00:00:00"/>
    <d v="2023-01-30T00:00:00"/>
    <n v="23"/>
    <d v="2023-01-30T00:00:00"/>
    <n v="23"/>
    <x v="0"/>
    <x v="0"/>
    <x v="1"/>
    <x v="1"/>
    <s v="Cape Town"/>
    <s v="Consumer"/>
    <x v="1"/>
    <x v="1"/>
    <x v="1"/>
    <x v="1"/>
    <n v="299.02"/>
    <n v="724.7"/>
    <n v="724.7"/>
    <n v="0.14000000000000001"/>
    <n v="5"/>
    <n v="3116.21"/>
    <n v="1495.1"/>
    <n v="1621.1100000000001"/>
    <n v="0.52021847051386139"/>
    <x v="0"/>
    <x v="0"/>
    <s v="Africa →South Africa →Cape Town"/>
    <s v="Low"/>
    <x v="0"/>
    <x v="0"/>
  </r>
  <r>
    <s v="ORD-2023-884192"/>
    <d v="2023-01-10T00:00:00"/>
    <d v="2023-01-29T00:00:00"/>
    <d v="2023-01-10T00:00:00"/>
    <d v="2023-01-29T00:00:00"/>
    <n v="19"/>
    <d v="2023-01-29T00:00:00"/>
    <n v="19"/>
    <x v="0"/>
    <x v="0"/>
    <x v="2"/>
    <x v="2"/>
    <s v="Lyon"/>
    <s v="Non-Profit"/>
    <x v="2"/>
    <x v="2"/>
    <x v="0"/>
    <x v="2"/>
    <n v="401.66"/>
    <n v="772.09"/>
    <n v="772.09"/>
    <n v="8.8999999999999996E-2"/>
    <n v="14"/>
    <n v="9847.2358600000007"/>
    <n v="5623.2400000000007"/>
    <n v="4223.99586"/>
    <n v="0.42895244107619046"/>
    <x v="0"/>
    <x v="0"/>
    <s v="Europe →France →Lyon"/>
    <s v="Low"/>
    <x v="0"/>
    <x v="0"/>
  </r>
  <r>
    <s v="ORD-2023-700699"/>
    <d v="2023-01-12T00:00:00"/>
    <d v="2023-01-26T00:00:00"/>
    <d v="2023-01-12T00:00:00"/>
    <d v="2023-01-26T00:00:00"/>
    <n v="14"/>
    <d v="2023-01-26T00:00:00"/>
    <n v="14"/>
    <x v="0"/>
    <x v="0"/>
    <x v="3"/>
    <x v="3"/>
    <s v="Shenzhen"/>
    <s v="Non-Profit"/>
    <x v="3"/>
    <x v="3"/>
    <x v="1"/>
    <x v="3"/>
    <n v="1083.0899999999999"/>
    <n v="1425.87"/>
    <n v="1425.87"/>
    <n v="0"/>
    <n v="8"/>
    <n v="11406.96"/>
    <n v="8664.7199999999993"/>
    <n v="2742.24"/>
    <n v="0.24040059752992909"/>
    <x v="0"/>
    <x v="0"/>
    <s v="Asia →China →Shenzhen"/>
    <s v="Medium"/>
    <x v="0"/>
    <x v="0"/>
  </r>
  <r>
    <s v="ORD-2023-382017"/>
    <d v="2023-01-13T00:00:00"/>
    <d v="2023-01-19T00:00:00"/>
    <d v="2023-01-13T00:00:00"/>
    <d v="2023-01-19T00:00:00"/>
    <n v="6"/>
    <d v="2023-01-19T00:00:00"/>
    <n v="6"/>
    <x v="1"/>
    <x v="0"/>
    <x v="0"/>
    <x v="4"/>
    <s v="Chicago"/>
    <s v="Corporate"/>
    <x v="2"/>
    <x v="4"/>
    <x v="2"/>
    <x v="4"/>
    <n v="833.57"/>
    <n v="881.57"/>
    <n v="881.57"/>
    <n v="5.7000000000000002E-2"/>
    <n v="18"/>
    <n v="14963.769179999999"/>
    <n v="15004.26"/>
    <n v="-40.490820000000895"/>
    <n v="-2.7059238560107821E-3"/>
    <x v="0"/>
    <x v="0"/>
    <s v="Americas →USA →Chicago"/>
    <s v="Medium"/>
    <x v="0"/>
    <x v="0"/>
  </r>
  <r>
    <s v="ORD-2023-112666"/>
    <d v="2023-01-15T00:00:00"/>
    <d v="2023-01-13T00:00:00"/>
    <d v="2023-01-13T00:00:00"/>
    <d v="2023-01-15T00:00:00"/>
    <n v="2"/>
    <d v="2023-01-22T00:00:00"/>
    <n v="7"/>
    <x v="1"/>
    <x v="0"/>
    <x v="1"/>
    <x v="5"/>
    <s v="Abuja"/>
    <s v="Education"/>
    <x v="1"/>
    <x v="5"/>
    <x v="1"/>
    <x v="5"/>
    <n v="28.38"/>
    <n v="47.22"/>
    <n v="47.22"/>
    <n v="0.19400000000000001"/>
    <n v="18"/>
    <n v="685.06776000000002"/>
    <n v="510.84"/>
    <n v="174.22776000000005"/>
    <n v="0.25432193743871417"/>
    <x v="0"/>
    <x v="0"/>
    <s v="Africa →Nigeria →Abuja"/>
    <s v="Low"/>
    <x v="0"/>
    <x v="0"/>
  </r>
  <r>
    <s v="ORD-2023-780206"/>
    <d v="2023-01-19T00:00:00"/>
    <d v="2023-02-03T00:00:00"/>
    <d v="2023-01-19T00:00:00"/>
    <d v="2023-02-03T00:00:00"/>
    <n v="15"/>
    <d v="2023-02-03T00:00:00"/>
    <n v="15"/>
    <x v="0"/>
    <x v="0"/>
    <x v="2"/>
    <x v="6"/>
    <s v="London"/>
    <s v="Enterprise"/>
    <x v="0"/>
    <x v="6"/>
    <x v="3"/>
    <x v="6"/>
    <n v="873.06"/>
    <n v="2101.5500000000002"/>
    <n v="2101.5500000000002"/>
    <n v="6.6000000000000003E-2"/>
    <n v="10"/>
    <n v="19628.476999999999"/>
    <n v="8730.5999999999985"/>
    <n v="10897.877"/>
    <n v="0.55520746719167269"/>
    <x v="0"/>
    <x v="0"/>
    <s v="Europe →United Kingdom →London"/>
    <s v="High"/>
    <x v="0"/>
    <x v="0"/>
  </r>
  <r>
    <s v="ORD-2023-586275"/>
    <d v="2023-01-20T00:00:00"/>
    <d v="2023-02-03T00:00:00"/>
    <d v="2023-01-20T00:00:00"/>
    <d v="2023-02-03T00:00:00"/>
    <n v="14"/>
    <d v="2023-02-03T00:00:00"/>
    <n v="14"/>
    <x v="0"/>
    <x v="1"/>
    <x v="1"/>
    <x v="7"/>
    <s v="Kisumu"/>
    <s v="Corporate"/>
    <x v="3"/>
    <x v="3"/>
    <x v="4"/>
    <x v="7"/>
    <n v="884.36"/>
    <n v="1545.34"/>
    <n v="1545.34"/>
    <n v="0.24299999999999999"/>
    <n v="41"/>
    <n v="47962.717579999997"/>
    <n v="36258.76"/>
    <n v="11703.957579999995"/>
    <n v="0.24402198562827965"/>
    <x v="0"/>
    <x v="0"/>
    <s v="Africa →Kenya →Kisumu"/>
    <s v="Medium"/>
    <x v="0"/>
    <x v="0"/>
  </r>
  <r>
    <s v="ORD-2023-521818"/>
    <d v="2023-01-22T00:00:00"/>
    <d v="2023-01-30T00:00:00"/>
    <d v="2023-01-22T00:00:00"/>
    <d v="2023-01-30T00:00:00"/>
    <n v="8"/>
    <d v="2023-01-30T00:00:00"/>
    <n v="8"/>
    <x v="0"/>
    <x v="0"/>
    <x v="0"/>
    <x v="4"/>
    <s v="San Francisco"/>
    <s v="Small Business"/>
    <x v="1"/>
    <x v="1"/>
    <x v="4"/>
    <x v="8"/>
    <n v="413.52"/>
    <n v="1004.34"/>
    <n v="1004.34"/>
    <n v="0.111"/>
    <n v="18"/>
    <n v="16071.44868"/>
    <n v="7443.36"/>
    <n v="8628.0886800000007"/>
    <n v="0.53685817948304593"/>
    <x v="0"/>
    <x v="0"/>
    <s v="Americas →USA →San Francisco"/>
    <s v="Medium"/>
    <x v="0"/>
    <x v="0"/>
  </r>
  <r>
    <s v="ORD-2023-613317"/>
    <d v="2023-01-22T00:00:00"/>
    <d v="2023-01-21T00:00:00"/>
    <d v="2023-01-21T00:00:00"/>
    <d v="2023-01-22T00:00:00"/>
    <n v="1"/>
    <d v="2023-01-29T00:00:00"/>
    <n v="7"/>
    <x v="1"/>
    <x v="0"/>
    <x v="2"/>
    <x v="8"/>
    <s v="Munich"/>
    <s v="Corporate"/>
    <x v="2"/>
    <x v="7"/>
    <x v="5"/>
    <x v="9"/>
    <n v="150.86000000000001"/>
    <n v="346.96"/>
    <n v="346.96"/>
    <n v="0.19600000000000001"/>
    <n v="8"/>
    <n v="2231.6467200000002"/>
    <n v="1206.8800000000001"/>
    <n v="1024.7667200000001"/>
    <n v="0.45919755614365343"/>
    <x v="0"/>
    <x v="0"/>
    <s v="Europe →Germany →Munich"/>
    <s v="Low"/>
    <x v="0"/>
    <x v="0"/>
  </r>
  <r>
    <s v="ORD-2023-811823"/>
    <d v="2023-01-26T00:00:00"/>
    <d v="2023-02-15T00:00:00"/>
    <d v="2023-01-26T00:00:00"/>
    <d v="2023-02-15T00:00:00"/>
    <n v="20"/>
    <d v="2023-02-15T00:00:00"/>
    <n v="20"/>
    <x v="0"/>
    <x v="0"/>
    <x v="2"/>
    <x v="8"/>
    <s v="Berlin"/>
    <s v="Small Business"/>
    <x v="1"/>
    <x v="5"/>
    <x v="4"/>
    <x v="10"/>
    <n v="492.62"/>
    <n v="366.7"/>
    <n v="366.7"/>
    <n v="8.8999999999999996E-2"/>
    <n v="10"/>
    <n v="3340.6370000000002"/>
    <n v="4926.2"/>
    <n v="-1585.5629999999996"/>
    <n v="-0.47462894052840809"/>
    <x v="0"/>
    <x v="0"/>
    <s v="Europe →Germany →Berlin"/>
    <s v="Low"/>
    <x v="0"/>
    <x v="0"/>
  </r>
  <r>
    <s v="ORD-2023-430904"/>
    <d v="2023-01-27T00:00:00"/>
    <d v="2023-01-31T00:00:00"/>
    <d v="2023-01-27T00:00:00"/>
    <d v="2023-01-31T00:00:00"/>
    <n v="4"/>
    <d v="2023-01-31T00:00:00"/>
    <n v="4"/>
    <x v="1"/>
    <x v="1"/>
    <x v="2"/>
    <x v="6"/>
    <s v="Manchester"/>
    <s v="Enterprise"/>
    <x v="1"/>
    <x v="8"/>
    <x v="0"/>
    <x v="11"/>
    <n v="941.2"/>
    <n v="668.02"/>
    <n v="668.02"/>
    <n v="0.22"/>
    <n v="16"/>
    <n v="8336.8896000000004"/>
    <n v="15059.2"/>
    <n v="-6722.3104000000003"/>
    <n v="-0.80633314371825193"/>
    <x v="0"/>
    <x v="0"/>
    <s v="Europe →United Kingdom →Manchester"/>
    <s v="Low"/>
    <x v="0"/>
    <x v="0"/>
  </r>
  <r>
    <s v="ORD-2023-521818"/>
    <d v="2023-01-29T00:00:00"/>
    <d v="2023-02-28T00:00:00"/>
    <d v="2023-01-29T00:00:00"/>
    <d v="2023-02-28T00:00:00"/>
    <n v="30"/>
    <d v="2023-02-28T00:00:00"/>
    <n v="30"/>
    <x v="0"/>
    <x v="1"/>
    <x v="3"/>
    <x v="9"/>
    <s v="Bengaluru"/>
    <s v="Non-Profit"/>
    <x v="3"/>
    <x v="0"/>
    <x v="3"/>
    <x v="12"/>
    <n v="1262.0999999999999"/>
    <n v="1395.53"/>
    <n v="1395.53"/>
    <n v="0.23300000000000001"/>
    <n v="25"/>
    <n v="26759.28775"/>
    <n v="31552.499999999996"/>
    <n v="-4793.2122499999969"/>
    <n v="-0.17912331205452198"/>
    <x v="0"/>
    <x v="0"/>
    <s v="Asia →India →Bengaluru"/>
    <s v="Medium"/>
    <x v="0"/>
    <x v="0"/>
  </r>
  <r>
    <s v="ORD-2023-856322"/>
    <d v="2023-01-29T00:00:00"/>
    <d v="2023-02-06T00:00:00"/>
    <d v="2023-01-29T00:00:00"/>
    <d v="2023-02-06T00:00:00"/>
    <n v="8"/>
    <d v="2023-02-06T00:00:00"/>
    <n v="8"/>
    <x v="0"/>
    <x v="1"/>
    <x v="0"/>
    <x v="10"/>
    <s v="Brasília"/>
    <s v="Corporate"/>
    <x v="4"/>
    <x v="2"/>
    <x v="5"/>
    <x v="13"/>
    <n v="41.84"/>
    <n v="86.2"/>
    <n v="86.2"/>
    <n v="0.22600000000000001"/>
    <n v="27"/>
    <n v="1801.4076000000002"/>
    <n v="1129.68"/>
    <n v="671.72760000000017"/>
    <n v="0.37289039970742882"/>
    <x v="0"/>
    <x v="0"/>
    <s v="Americas →Brazil →Brasília"/>
    <s v="Low"/>
    <x v="0"/>
    <x v="0"/>
  </r>
  <r>
    <s v="ORD-2023-575584"/>
    <d v="2023-01-30T00:00:00"/>
    <d v="2023-02-21T00:00:00"/>
    <d v="2023-01-30T00:00:00"/>
    <d v="2023-02-21T00:00:00"/>
    <n v="22"/>
    <d v="2023-02-21T00:00:00"/>
    <n v="22"/>
    <x v="0"/>
    <x v="0"/>
    <x v="2"/>
    <x v="8"/>
    <s v="Munich"/>
    <s v="Small Business"/>
    <x v="4"/>
    <x v="6"/>
    <x v="4"/>
    <x v="14"/>
    <n v="1142.8800000000001"/>
    <n v="1465.29"/>
    <n v="1465.29"/>
    <n v="0.186"/>
    <n v="7"/>
    <n v="8349.2224200000001"/>
    <n v="8000.1600000000008"/>
    <n v="349.06241999999929"/>
    <n v="4.1807775915017401E-2"/>
    <x v="0"/>
    <x v="0"/>
    <s v="Europe →Germany →Munich"/>
    <s v="Medium"/>
    <x v="0"/>
    <x v="0"/>
  </r>
  <r>
    <s v="ORD-2023-855675"/>
    <d v="2023-02-05T00:00:00"/>
    <d v="2023-02-28T00:00:00"/>
    <d v="2023-02-05T00:00:00"/>
    <d v="2023-02-28T00:00:00"/>
    <n v="23"/>
    <d v="2023-02-28T00:00:00"/>
    <n v="23"/>
    <x v="0"/>
    <x v="0"/>
    <x v="0"/>
    <x v="4"/>
    <s v="Austin"/>
    <s v="Non-Profit"/>
    <x v="0"/>
    <x v="9"/>
    <x v="2"/>
    <x v="15"/>
    <n v="1214.49"/>
    <n v="1533.95"/>
    <n v="1533.95"/>
    <n v="0"/>
    <n v="11"/>
    <n v="16873.45"/>
    <n v="13359.39"/>
    <n v="3514.0600000000013"/>
    <n v="0.20825972163369086"/>
    <x v="1"/>
    <x v="0"/>
    <s v="Americas →USA →Austin"/>
    <s v="Medium"/>
    <x v="1"/>
    <x v="0"/>
  </r>
  <r>
    <s v="ORD-2023-271836"/>
    <d v="2023-02-07T00:00:00"/>
    <d v="2023-02-12T00:00:00"/>
    <d v="2023-02-07T00:00:00"/>
    <d v="2023-02-12T00:00:00"/>
    <n v="5"/>
    <d v="2023-02-12T00:00:00"/>
    <n v="5"/>
    <x v="1"/>
    <x v="0"/>
    <x v="0"/>
    <x v="10"/>
    <s v="São Paulo"/>
    <s v="Education"/>
    <x v="1"/>
    <x v="8"/>
    <x v="6"/>
    <x v="16"/>
    <n v="948.55"/>
    <n v="2089.16"/>
    <n v="2089.16"/>
    <n v="7.0000000000000001E-3"/>
    <n v="12"/>
    <n v="24894.430559999997"/>
    <n v="11382.599999999999"/>
    <n v="13511.830559999999"/>
    <n v="0.54276519912492427"/>
    <x v="1"/>
    <x v="0"/>
    <s v="Americas →Brazil →São Paulo"/>
    <s v="High"/>
    <x v="1"/>
    <x v="0"/>
  </r>
  <r>
    <s v="ORD-2023-159379"/>
    <d v="2023-02-08T00:00:00"/>
    <d v="2023-02-11T00:00:00"/>
    <d v="2023-02-08T00:00:00"/>
    <d v="2023-02-11T00:00:00"/>
    <n v="3"/>
    <d v="2023-02-11T00:00:00"/>
    <n v="3"/>
    <x v="1"/>
    <x v="0"/>
    <x v="1"/>
    <x v="1"/>
    <s v="Cape Town"/>
    <s v="Corporate"/>
    <x v="2"/>
    <x v="3"/>
    <x v="4"/>
    <x v="17"/>
    <n v="1410.05"/>
    <n v="2763.95"/>
    <n v="2763.95"/>
    <n v="0.161"/>
    <n v="26"/>
    <n v="60292.805299999993"/>
    <n v="36661.299999999996"/>
    <n v="23631.505299999997"/>
    <n v="0.39194569206750779"/>
    <x v="1"/>
    <x v="0"/>
    <s v="Africa →South Africa →Cape Town"/>
    <s v="High"/>
    <x v="1"/>
    <x v="0"/>
  </r>
  <r>
    <s v="ORD-2023-960380"/>
    <d v="2023-02-11T00:00:00"/>
    <d v="2023-02-12T00:00:00"/>
    <d v="2023-02-11T00:00:00"/>
    <d v="2023-02-12T00:00:00"/>
    <n v="1"/>
    <d v="2023-02-12T00:00:00"/>
    <n v="1"/>
    <x v="1"/>
    <x v="0"/>
    <x v="1"/>
    <x v="5"/>
    <s v="Port Harcourt"/>
    <s v="Non-Profit"/>
    <x v="2"/>
    <x v="2"/>
    <x v="3"/>
    <x v="18"/>
    <n v="944.61"/>
    <n v="839.04"/>
    <n v="839.04"/>
    <n v="5.8999999999999997E-2"/>
    <n v="6"/>
    <n v="4737.2198399999997"/>
    <n v="5667.66"/>
    <n v="-930.44016000000011"/>
    <n v="-0.19641059343363726"/>
    <x v="1"/>
    <x v="0"/>
    <s v="Africa →Nigeria →Port Harcourt"/>
    <s v="Medium"/>
    <x v="1"/>
    <x v="0"/>
  </r>
  <r>
    <s v="ORD-2023-480975"/>
    <d v="2023-02-15T00:00:00"/>
    <d v="2023-02-26T00:00:00"/>
    <d v="2023-02-15T00:00:00"/>
    <d v="2023-02-26T00:00:00"/>
    <n v="11"/>
    <d v="2023-02-26T00:00:00"/>
    <n v="11"/>
    <x v="0"/>
    <x v="0"/>
    <x v="1"/>
    <x v="1"/>
    <s v="Johannesburg"/>
    <s v="Non-Profit"/>
    <x v="3"/>
    <x v="10"/>
    <x v="0"/>
    <x v="19"/>
    <n v="498.5"/>
    <n v="755.87"/>
    <n v="755.87"/>
    <n v="0.13"/>
    <n v="40"/>
    <n v="26304.275999999998"/>
    <n v="19940"/>
    <n v="6364.275999999998"/>
    <n v="0.24194834330357537"/>
    <x v="1"/>
    <x v="0"/>
    <s v="Africa →South Africa →Johannesburg"/>
    <s v="Low"/>
    <x v="1"/>
    <x v="0"/>
  </r>
  <r>
    <s v="ORD-2023-884625"/>
    <d v="2023-02-19T00:00:00"/>
    <d v="2023-03-12T00:00:00"/>
    <d v="2023-02-19T00:00:00"/>
    <d v="2023-03-12T00:00:00"/>
    <n v="21"/>
    <d v="2023-03-12T00:00:00"/>
    <n v="21"/>
    <x v="0"/>
    <x v="0"/>
    <x v="2"/>
    <x v="8"/>
    <s v="Berlin"/>
    <s v="Small Business"/>
    <x v="2"/>
    <x v="9"/>
    <x v="5"/>
    <x v="20"/>
    <n v="1234.81"/>
    <n v="2055.2399999999998"/>
    <n v="2055.2399999999998"/>
    <n v="5.2999999999999999E-2"/>
    <n v="44"/>
    <n v="85637.740319999997"/>
    <n v="54331.64"/>
    <n v="31306.100319999998"/>
    <n v="0.36556429680441616"/>
    <x v="1"/>
    <x v="0"/>
    <s v="Europe →Germany →Berlin"/>
    <s v="High"/>
    <x v="1"/>
    <x v="0"/>
  </r>
  <r>
    <s v="ORD-2023-848013"/>
    <d v="2023-02-20T00:00:00"/>
    <d v="2023-03-04T00:00:00"/>
    <d v="2023-02-20T00:00:00"/>
    <d v="2023-03-04T00:00:00"/>
    <n v="12"/>
    <d v="2023-03-04T00:00:00"/>
    <n v="12"/>
    <x v="0"/>
    <x v="0"/>
    <x v="3"/>
    <x v="9"/>
    <s v="Delhi"/>
    <s v="Consumer"/>
    <x v="0"/>
    <x v="3"/>
    <x v="5"/>
    <x v="21"/>
    <n v="299.75"/>
    <n v="523.01"/>
    <n v="523.01"/>
    <n v="0.157"/>
    <n v="50"/>
    <n v="22044.871499999997"/>
    <n v="14987.5"/>
    <n v="7057.3714999999975"/>
    <n v="0.32013665854210122"/>
    <x v="1"/>
    <x v="0"/>
    <s v="Asia →India →Delhi"/>
    <s v="Low"/>
    <x v="1"/>
    <x v="0"/>
  </r>
  <r>
    <s v="ORD-2023-156396"/>
    <d v="2023-02-21T00:00:00"/>
    <d v="2023-03-12T00:00:00"/>
    <d v="2023-02-21T00:00:00"/>
    <d v="2023-03-12T00:00:00"/>
    <n v="19"/>
    <d v="2023-03-12T00:00:00"/>
    <n v="19"/>
    <x v="0"/>
    <x v="0"/>
    <x v="1"/>
    <x v="7"/>
    <s v="Nakuru"/>
    <s v="Corporate"/>
    <x v="1"/>
    <x v="7"/>
    <x v="4"/>
    <x v="22"/>
    <n v="352.65"/>
    <n v="485.86"/>
    <n v="485.86"/>
    <n v="4.1000000000000002E-2"/>
    <n v="6"/>
    <n v="2795.6384399999997"/>
    <n v="2115.8999999999996"/>
    <n v="679.73844000000008"/>
    <n v="0.24314247159943908"/>
    <x v="1"/>
    <x v="0"/>
    <s v="Africa →Kenya →Nakuru"/>
    <s v="Low"/>
    <x v="1"/>
    <x v="0"/>
  </r>
  <r>
    <s v="ORD-2023-562894"/>
    <d v="2023-02-23T00:00:00"/>
    <d v="2023-03-25T00:00:00"/>
    <d v="2023-02-23T00:00:00"/>
    <d v="2023-03-25T00:00:00"/>
    <n v="30"/>
    <d v="2023-03-25T00:00:00"/>
    <n v="30"/>
    <x v="0"/>
    <x v="0"/>
    <x v="0"/>
    <x v="0"/>
    <s v="Montreal"/>
    <s v="Enterprise"/>
    <x v="1"/>
    <x v="2"/>
    <x v="2"/>
    <x v="23"/>
    <n v="1242.6600000000001"/>
    <n v="1794.07"/>
    <n v="1794.07"/>
    <n v="8.8999999999999996E-2"/>
    <n v="16"/>
    <n v="26150.364320000001"/>
    <n v="19882.560000000001"/>
    <n v="6267.8043199999993"/>
    <n v="0.23968325042440553"/>
    <x v="1"/>
    <x v="0"/>
    <s v="Americas →Canada →Montreal"/>
    <s v="High"/>
    <x v="1"/>
    <x v="0"/>
  </r>
  <r>
    <s v="ORD-2023-735274"/>
    <d v="2023-02-23T00:00:00"/>
    <d v="2023-03-08T00:00:00"/>
    <d v="2023-02-23T00:00:00"/>
    <d v="2023-03-08T00:00:00"/>
    <n v="13"/>
    <d v="2023-03-08T00:00:00"/>
    <n v="13"/>
    <x v="0"/>
    <x v="0"/>
    <x v="2"/>
    <x v="6"/>
    <s v="Manchester"/>
    <s v="Small Business"/>
    <x v="2"/>
    <x v="11"/>
    <x v="1"/>
    <x v="24"/>
    <n v="307.37"/>
    <n v="462.61"/>
    <n v="462.61"/>
    <n v="0.188"/>
    <n v="11"/>
    <n v="4132.0325200000007"/>
    <n v="3381.07"/>
    <n v="750.9625200000005"/>
    <n v="0.18174167709599739"/>
    <x v="1"/>
    <x v="0"/>
    <s v="Europe →United Kingdom →Manchester"/>
    <s v="Low"/>
    <x v="1"/>
    <x v="0"/>
  </r>
  <r>
    <s v="ORD-2023-744942"/>
    <d v="2023-02-23T00:00:00"/>
    <d v="2023-03-18T00:00:00"/>
    <d v="2023-02-23T00:00:00"/>
    <d v="2023-03-18T00:00:00"/>
    <n v="23"/>
    <d v="2023-03-18T00:00:00"/>
    <n v="23"/>
    <x v="0"/>
    <x v="0"/>
    <x v="3"/>
    <x v="3"/>
    <s v="Beijing"/>
    <s v="Education"/>
    <x v="0"/>
    <x v="10"/>
    <x v="1"/>
    <x v="25"/>
    <n v="770.11"/>
    <n v="1667.82"/>
    <n v="1667.82"/>
    <n v="6.9000000000000006E-2"/>
    <n v="7"/>
    <n v="10869.182940000001"/>
    <n v="5390.77"/>
    <n v="5478.4129400000002"/>
    <n v="0.50403171703355287"/>
    <x v="1"/>
    <x v="0"/>
    <s v="Asia →China →Beijing"/>
    <s v="High"/>
    <x v="1"/>
    <x v="0"/>
  </r>
  <r>
    <s v="ORD-2023-286994"/>
    <d v="2023-02-24T00:00:00"/>
    <d v="2023-03-09T00:00:00"/>
    <d v="2023-02-24T00:00:00"/>
    <d v="2023-03-09T00:00:00"/>
    <n v="13"/>
    <d v="2023-03-09T00:00:00"/>
    <n v="13"/>
    <x v="0"/>
    <x v="0"/>
    <x v="0"/>
    <x v="4"/>
    <s v="New York"/>
    <s v="Enterprise"/>
    <x v="1"/>
    <x v="3"/>
    <x v="6"/>
    <x v="26"/>
    <n v="6.85"/>
    <n v="10.18"/>
    <n v="10.18"/>
    <n v="4.7E-2"/>
    <n v="10"/>
    <n v="97.0154"/>
    <n v="68.5"/>
    <n v="28.5154"/>
    <n v="0.2939265312517394"/>
    <x v="1"/>
    <x v="0"/>
    <s v="Americas →USA →New York"/>
    <s v="Low"/>
    <x v="1"/>
    <x v="0"/>
  </r>
  <r>
    <s v="ORD-2023-619493"/>
    <d v="2023-02-27T00:00:00"/>
    <d v="2023-02-26T00:00:00"/>
    <d v="2023-02-26T00:00:00"/>
    <d v="2023-02-27T00:00:00"/>
    <n v="1"/>
    <d v="2023-03-06T00:00:00"/>
    <n v="7"/>
    <x v="1"/>
    <x v="0"/>
    <x v="0"/>
    <x v="4"/>
    <s v="San Francisco"/>
    <s v="Non-Profit"/>
    <x v="1"/>
    <x v="9"/>
    <x v="4"/>
    <x v="27"/>
    <n v="1015.91"/>
    <n v="2331.48"/>
    <n v="2331.48"/>
    <n v="0.14599999999999999"/>
    <n v="26"/>
    <n v="51768.181920000003"/>
    <n v="26413.66"/>
    <n v="25354.521920000003"/>
    <n v="0.48977037592669626"/>
    <x v="1"/>
    <x v="0"/>
    <s v="Americas →USA →San Francisco"/>
    <s v="High"/>
    <x v="1"/>
    <x v="0"/>
  </r>
  <r>
    <s v="ORD-2023-373538"/>
    <d v="2023-02-28T00:00:00"/>
    <d v="2023-03-25T00:00:00"/>
    <d v="2023-02-28T00:00:00"/>
    <d v="2023-03-25T00:00:00"/>
    <n v="25"/>
    <d v="2023-03-25T00:00:00"/>
    <n v="25"/>
    <x v="0"/>
    <x v="0"/>
    <x v="1"/>
    <x v="7"/>
    <s v="Nairobi"/>
    <s v="Corporate"/>
    <x v="3"/>
    <x v="12"/>
    <x v="4"/>
    <x v="28"/>
    <n v="1460.76"/>
    <n v="-30.66"/>
    <n v="30.66"/>
    <n v="0.13100000000000001"/>
    <n v="12"/>
    <n v="319.72248000000002"/>
    <n v="17529.12"/>
    <n v="-17209.397519999999"/>
    <n v="-53.826047890032626"/>
    <x v="1"/>
    <x v="0"/>
    <s v="Africa →Kenya →Nairobi"/>
    <s v="Low"/>
    <x v="1"/>
    <x v="0"/>
  </r>
  <r>
    <s v="ORD-2023-422918"/>
    <d v="2023-02-28T00:00:00"/>
    <d v="2023-03-20T00:00:00"/>
    <d v="2023-02-28T00:00:00"/>
    <d v="2023-03-20T00:00:00"/>
    <n v="20"/>
    <d v="2023-03-20T00:00:00"/>
    <n v="20"/>
    <x v="0"/>
    <x v="1"/>
    <x v="2"/>
    <x v="8"/>
    <s v="Berlin"/>
    <s v="Small Business"/>
    <x v="2"/>
    <x v="4"/>
    <x v="0"/>
    <x v="29"/>
    <n v="1200.78"/>
    <n v="2001.17"/>
    <n v="2001.17"/>
    <n v="0.29199999999999998"/>
    <n v="18"/>
    <n v="25502.910479999999"/>
    <n v="21614.04"/>
    <n v="3888.8704799999978"/>
    <n v="0.15248732034132906"/>
    <x v="1"/>
    <x v="0"/>
    <s v="Europe →Germany →Berlin"/>
    <s v="High"/>
    <x v="1"/>
    <x v="0"/>
  </r>
  <r>
    <s v="ORD-2023-888245"/>
    <d v="2023-02-28T00:00:00"/>
    <d v="2023-02-27T00:00:00"/>
    <d v="2023-02-27T00:00:00"/>
    <d v="2023-02-28T00:00:00"/>
    <n v="1"/>
    <d v="2023-03-07T00:00:00"/>
    <n v="7"/>
    <x v="1"/>
    <x v="0"/>
    <x v="2"/>
    <x v="2"/>
    <s v="Marseille"/>
    <s v="Corporate"/>
    <x v="3"/>
    <x v="10"/>
    <x v="4"/>
    <x v="30"/>
    <n v="1299.81"/>
    <n v="3149.13"/>
    <n v="3149.13"/>
    <n v="0.10299999999999999"/>
    <n v="14"/>
    <n v="39546.774539999999"/>
    <n v="18197.34"/>
    <n v="21349.434539999998"/>
    <n v="0.53985273864511729"/>
    <x v="1"/>
    <x v="0"/>
    <s v="Europe →France →Marseille"/>
    <s v="High"/>
    <x v="1"/>
    <x v="0"/>
  </r>
  <r>
    <s v="ORD-2023-472078"/>
    <d v="2023-02-28T00:00:00"/>
    <d v="2023-03-06T00:00:00"/>
    <d v="2023-02-28T00:00:00"/>
    <d v="2023-03-06T00:00:00"/>
    <n v="6"/>
    <d v="2023-03-06T00:00:00"/>
    <n v="6"/>
    <x v="1"/>
    <x v="0"/>
    <x v="2"/>
    <x v="8"/>
    <s v="Frankfurt"/>
    <s v="Small Business"/>
    <x v="4"/>
    <x v="2"/>
    <x v="1"/>
    <x v="31"/>
    <n v="880.02"/>
    <n v="1251.21"/>
    <n v="1251.21"/>
    <n v="0.123"/>
    <n v="29"/>
    <n v="31822.023930000003"/>
    <n v="25520.579999999998"/>
    <n v="6301.4439300000049"/>
    <n v="0.19802146915172672"/>
    <x v="1"/>
    <x v="0"/>
    <s v="Europe →Germany →Frankfurt"/>
    <s v="Medium"/>
    <x v="1"/>
    <x v="0"/>
  </r>
  <r>
    <s v="ORD-2023-869884"/>
    <d v="2023-03-02T00:00:00"/>
    <d v="2023-03-05T00:00:00"/>
    <d v="2023-03-02T00:00:00"/>
    <d v="2023-03-05T00:00:00"/>
    <n v="3"/>
    <d v="2023-03-05T00:00:00"/>
    <n v="3"/>
    <x v="1"/>
    <x v="0"/>
    <x v="0"/>
    <x v="10"/>
    <s v="Brasília"/>
    <s v="Enterprise"/>
    <x v="2"/>
    <x v="6"/>
    <x v="5"/>
    <x v="32"/>
    <n v="1473.58"/>
    <n v="3436.52"/>
    <n v="3436.52"/>
    <n v="0.108"/>
    <n v="8"/>
    <n v="24523.006720000001"/>
    <n v="11788.64"/>
    <n v="12734.366720000002"/>
    <n v="0.51928243813652564"/>
    <x v="2"/>
    <x v="0"/>
    <s v="Americas →Brazil →Brasília"/>
    <s v="High"/>
    <x v="2"/>
    <x v="0"/>
  </r>
  <r>
    <s v="ORD-2023-139236"/>
    <d v="2023-03-03T00:00:00"/>
    <d v="2023-03-20T00:00:00"/>
    <d v="2023-03-03T00:00:00"/>
    <d v="2023-03-20T00:00:00"/>
    <n v="17"/>
    <d v="2023-03-20T00:00:00"/>
    <n v="17"/>
    <x v="0"/>
    <x v="0"/>
    <x v="3"/>
    <x v="11"/>
    <s v="Nagoya"/>
    <s v="Small Business"/>
    <x v="1"/>
    <x v="2"/>
    <x v="4"/>
    <x v="33"/>
    <n v="1171.17"/>
    <n v="2030.64"/>
    <n v="2030.64"/>
    <n v="0.157"/>
    <n v="11"/>
    <n v="18830.12472"/>
    <n v="12882.87"/>
    <n v="5947.254719999999"/>
    <n v="0.31583724528830415"/>
    <x v="2"/>
    <x v="0"/>
    <s v="Asia →Japan →Nagoya"/>
    <s v="High"/>
    <x v="2"/>
    <x v="0"/>
  </r>
  <r>
    <s v="ORD-2023-276806"/>
    <d v="2023-03-04T00:00:00"/>
    <d v="2023-03-24T00:00:00"/>
    <d v="2023-03-04T00:00:00"/>
    <d v="2023-03-24T00:00:00"/>
    <n v="20"/>
    <d v="2023-03-24T00:00:00"/>
    <n v="20"/>
    <x v="0"/>
    <x v="1"/>
    <x v="0"/>
    <x v="0"/>
    <s v="Montreal"/>
    <s v="Consumer"/>
    <x v="0"/>
    <x v="12"/>
    <x v="0"/>
    <x v="34"/>
    <n v="481.71"/>
    <n v="912.45"/>
    <n v="912.45"/>
    <n v="0.20300000000000001"/>
    <n v="24"/>
    <n v="17453.3436"/>
    <n v="11561.039999999999"/>
    <n v="5892.3036000000011"/>
    <n v="0.33760313983619739"/>
    <x v="2"/>
    <x v="0"/>
    <s v="Americas →Canada →Montreal"/>
    <s v="Medium"/>
    <x v="2"/>
    <x v="0"/>
  </r>
  <r>
    <s v="ORD-2023-854471"/>
    <d v="2023-03-06T00:00:00"/>
    <d v="2023-04-04T00:00:00"/>
    <d v="2023-03-06T00:00:00"/>
    <d v="2023-04-04T00:00:00"/>
    <n v="29"/>
    <d v="2023-04-04T00:00:00"/>
    <n v="29"/>
    <x v="0"/>
    <x v="0"/>
    <x v="3"/>
    <x v="3"/>
    <s v="Beijing"/>
    <s v="Small Business"/>
    <x v="2"/>
    <x v="11"/>
    <x v="5"/>
    <x v="35"/>
    <n v="1126.29"/>
    <n v="2050.87"/>
    <n v="2050.87"/>
    <n v="6.4000000000000001E-2"/>
    <n v="7"/>
    <n v="13437.300239999999"/>
    <n v="7884.03"/>
    <n v="5553.2702399999989"/>
    <n v="0.41327276616690373"/>
    <x v="2"/>
    <x v="0"/>
    <s v="Asia →China →Beijing"/>
    <s v="High"/>
    <x v="2"/>
    <x v="0"/>
  </r>
  <r>
    <s v="ORD-2023-949710"/>
    <d v="2023-03-07T00:00:00"/>
    <d v="2023-04-01T00:00:00"/>
    <d v="2023-03-07T00:00:00"/>
    <d v="2023-04-01T00:00:00"/>
    <n v="25"/>
    <d v="2023-04-01T00:00:00"/>
    <n v="25"/>
    <x v="0"/>
    <x v="0"/>
    <x v="1"/>
    <x v="7"/>
    <s v="Nairobi"/>
    <s v="Consumer"/>
    <x v="4"/>
    <x v="2"/>
    <x v="1"/>
    <x v="36"/>
    <n v="1024.0999999999999"/>
    <n v="918.19"/>
    <n v="918.19"/>
    <n v="0.189"/>
    <n v="10"/>
    <n v="7446.5209000000004"/>
    <n v="10241"/>
    <n v="-2794.4790999999996"/>
    <n v="-0.37527311579827827"/>
    <x v="2"/>
    <x v="0"/>
    <s v="Africa →Kenya →Nairobi"/>
    <s v="Medium"/>
    <x v="2"/>
    <x v="0"/>
  </r>
  <r>
    <s v="ORD-2023-281890"/>
    <d v="2023-03-13T00:00:00"/>
    <d v="2023-04-04T00:00:00"/>
    <d v="2023-03-13T00:00:00"/>
    <d v="2023-04-04T00:00:00"/>
    <n v="22"/>
    <d v="2023-04-04T00:00:00"/>
    <n v="22"/>
    <x v="0"/>
    <x v="0"/>
    <x v="1"/>
    <x v="1"/>
    <s v="Durban"/>
    <s v="Small Business"/>
    <x v="3"/>
    <x v="1"/>
    <x v="6"/>
    <x v="37"/>
    <n v="1113.7"/>
    <n v="1620.6"/>
    <n v="1620.6"/>
    <n v="0.13900000000000001"/>
    <n v="11"/>
    <n v="15348.702599999999"/>
    <n v="12250.7"/>
    <n v="3098.002599999998"/>
    <n v="0.20184133348182787"/>
    <x v="2"/>
    <x v="0"/>
    <s v="Africa →South Africa →Durban"/>
    <s v="High"/>
    <x v="2"/>
    <x v="0"/>
  </r>
  <r>
    <s v="ORD-2023-946143"/>
    <d v="2023-03-14T00:00:00"/>
    <d v="2023-03-30T00:00:00"/>
    <d v="2023-03-14T00:00:00"/>
    <d v="2023-03-30T00:00:00"/>
    <n v="16"/>
    <d v="2023-03-30T00:00:00"/>
    <n v="16"/>
    <x v="0"/>
    <x v="0"/>
    <x v="1"/>
    <x v="1"/>
    <s v="Cape Town"/>
    <s v="Consumer"/>
    <x v="0"/>
    <x v="10"/>
    <x v="6"/>
    <x v="38"/>
    <n v="1309.77"/>
    <n v="1589.07"/>
    <n v="1589.07"/>
    <n v="0.10199999999999999"/>
    <n v="10"/>
    <n v="14269.848599999999"/>
    <n v="13097.7"/>
    <n v="1172.1485999999986"/>
    <n v="8.2141628328137886E-2"/>
    <x v="2"/>
    <x v="0"/>
    <s v="Africa →South Africa →Cape Town"/>
    <s v="Medium"/>
    <x v="2"/>
    <x v="0"/>
  </r>
  <r>
    <s v="ORD-2023-799597"/>
    <d v="2023-03-14T00:00:00"/>
    <d v="2023-03-18T00:00:00"/>
    <d v="2023-03-14T00:00:00"/>
    <d v="2023-03-18T00:00:00"/>
    <n v="4"/>
    <d v="2023-03-18T00:00:00"/>
    <n v="4"/>
    <x v="1"/>
    <x v="0"/>
    <x v="2"/>
    <x v="8"/>
    <s v="Frankfurt"/>
    <s v="Enterprise"/>
    <x v="2"/>
    <x v="1"/>
    <x v="6"/>
    <x v="39"/>
    <n v="472.33"/>
    <n v="360.34"/>
    <n v="360.34"/>
    <n v="0.16500000000000001"/>
    <n v="14"/>
    <n v="4212.3745999999992"/>
    <n v="6612.62"/>
    <n v="-2400.2454000000007"/>
    <n v="-0.56980815523861561"/>
    <x v="2"/>
    <x v="0"/>
    <s v="Europe →Germany →Frankfurt"/>
    <s v="Low"/>
    <x v="2"/>
    <x v="0"/>
  </r>
  <r>
    <s v="ORD-2023-933238"/>
    <d v="2023-03-17T00:00:00"/>
    <d v="2023-04-06T00:00:00"/>
    <d v="2023-03-17T00:00:00"/>
    <d v="2023-04-06T00:00:00"/>
    <n v="20"/>
    <d v="2023-04-06T00:00:00"/>
    <n v="20"/>
    <x v="0"/>
    <x v="0"/>
    <x v="2"/>
    <x v="8"/>
    <s v="Munich"/>
    <s v="Consumer"/>
    <x v="3"/>
    <x v="5"/>
    <x v="2"/>
    <x v="40"/>
    <n v="692.18"/>
    <n v="1159.3499999999999"/>
    <n v="1159.3499999999999"/>
    <n v="0.112"/>
    <n v="2"/>
    <n v="2059.0056"/>
    <n v="1384.36"/>
    <n v="674.64560000000006"/>
    <n v="0.32765602968734037"/>
    <x v="2"/>
    <x v="0"/>
    <s v="Europe →Germany →Munich"/>
    <s v="Medium"/>
    <x v="2"/>
    <x v="0"/>
  </r>
  <r>
    <s v="ORD-2023-548874"/>
    <d v="2023-03-19T00:00:00"/>
    <d v="2023-04-09T00:00:00"/>
    <d v="2023-03-19T00:00:00"/>
    <d v="2023-04-09T00:00:00"/>
    <n v="21"/>
    <d v="2023-04-09T00:00:00"/>
    <n v="21"/>
    <x v="0"/>
    <x v="0"/>
    <x v="2"/>
    <x v="6"/>
    <s v="Manchester"/>
    <s v="Consumer"/>
    <x v="3"/>
    <x v="9"/>
    <x v="3"/>
    <x v="41"/>
    <n v="1082.17"/>
    <n v="1234.0999999999999"/>
    <n v="1234.0999999999999"/>
    <n v="0.189"/>
    <n v="16"/>
    <n v="16013.681599999998"/>
    <n v="17314.72"/>
    <n v="-1301.0384000000031"/>
    <n v="-8.124542703534228E-2"/>
    <x v="2"/>
    <x v="0"/>
    <s v="Europe →United Kingdom →Manchester"/>
    <s v="Medium"/>
    <x v="2"/>
    <x v="0"/>
  </r>
  <r>
    <s v="ORD-2023-835010"/>
    <d v="2023-03-23T00:00:00"/>
    <d v="2023-04-15T00:00:00"/>
    <d v="2023-03-23T00:00:00"/>
    <d v="2023-04-15T00:00:00"/>
    <n v="23"/>
    <d v="2023-04-15T00:00:00"/>
    <n v="23"/>
    <x v="0"/>
    <x v="0"/>
    <x v="1"/>
    <x v="7"/>
    <s v="Mombasa"/>
    <s v="Small Business"/>
    <x v="3"/>
    <x v="11"/>
    <x v="3"/>
    <x v="42"/>
    <n v="875.36"/>
    <n v="1178.6199999999999"/>
    <n v="1178.6199999999999"/>
    <n v="0.151"/>
    <n v="53"/>
    <n v="53034.364139999991"/>
    <n v="46394.080000000002"/>
    <n v="6640.2841399999888"/>
    <n v="0.12520719815685888"/>
    <x v="2"/>
    <x v="0"/>
    <s v="Africa →Kenya →Mombasa"/>
    <s v="Medium"/>
    <x v="2"/>
    <x v="0"/>
  </r>
  <r>
    <s v="ORD-2023-240507"/>
    <d v="2023-03-25T00:00:00"/>
    <d v="2023-03-26T00:00:00"/>
    <d v="2023-03-25T00:00:00"/>
    <d v="2023-03-26T00:00:00"/>
    <n v="1"/>
    <d v="2023-03-26T00:00:00"/>
    <n v="1"/>
    <x v="1"/>
    <x v="0"/>
    <x v="3"/>
    <x v="11"/>
    <s v="Osaka"/>
    <s v="Small Business"/>
    <x v="0"/>
    <x v="12"/>
    <x v="5"/>
    <x v="43"/>
    <n v="135.12"/>
    <n v="301.7"/>
    <n v="301.7"/>
    <n v="0.14000000000000001"/>
    <n v="47"/>
    <n v="12194.714"/>
    <n v="6350.64"/>
    <n v="5844.0739999999996"/>
    <n v="0.47923009920527859"/>
    <x v="2"/>
    <x v="0"/>
    <s v="Asia →Japan →Osaka"/>
    <s v="Low"/>
    <x v="2"/>
    <x v="0"/>
  </r>
  <r>
    <s v="ORD-2023-864121"/>
    <d v="2023-03-27T00:00:00"/>
    <d v="2023-04-22T00:00:00"/>
    <d v="2023-03-27T00:00:00"/>
    <d v="2023-04-22T00:00:00"/>
    <n v="26"/>
    <d v="2023-04-22T00:00:00"/>
    <n v="26"/>
    <x v="0"/>
    <x v="0"/>
    <x v="3"/>
    <x v="9"/>
    <s v="Delhi"/>
    <s v="Non-Profit"/>
    <x v="4"/>
    <x v="13"/>
    <x v="1"/>
    <x v="44"/>
    <n v="178.53"/>
    <n v="199.37"/>
    <n v="199.37"/>
    <n v="0.10100000000000001"/>
    <n v="37"/>
    <n v="6631.6443100000006"/>
    <n v="6605.61"/>
    <n v="26.034310000000914"/>
    <n v="3.9257699573457538E-3"/>
    <x v="2"/>
    <x v="0"/>
    <s v="Asia →India →Delhi"/>
    <s v="Low"/>
    <x v="2"/>
    <x v="0"/>
  </r>
  <r>
    <s v="ORD-2023-419187"/>
    <d v="2023-03-31T00:00:00"/>
    <d v="2023-04-05T00:00:00"/>
    <d v="2023-03-31T00:00:00"/>
    <d v="2023-04-05T00:00:00"/>
    <n v="5"/>
    <d v="2023-04-05T00:00:00"/>
    <n v="5"/>
    <x v="1"/>
    <x v="0"/>
    <x v="1"/>
    <x v="7"/>
    <s v="Nakuru"/>
    <s v="Education"/>
    <x v="4"/>
    <x v="0"/>
    <x v="0"/>
    <x v="45"/>
    <n v="533.26"/>
    <n v="385.72"/>
    <n v="385.72"/>
    <n v="0"/>
    <n v="15"/>
    <n v="5785.8"/>
    <n v="7998.9"/>
    <n v="-2213.0999999999995"/>
    <n v="-0.38250544436378708"/>
    <x v="2"/>
    <x v="0"/>
    <s v="Africa →Kenya →Nakuru"/>
    <s v="Low"/>
    <x v="2"/>
    <x v="0"/>
  </r>
  <r>
    <s v="ORD-2023-613287"/>
    <d v="2023-03-31T00:00:00"/>
    <d v="2023-04-12T00:00:00"/>
    <d v="2023-03-31T00:00:00"/>
    <d v="2023-04-12T00:00:00"/>
    <n v="12"/>
    <d v="2023-04-12T00:00:00"/>
    <n v="12"/>
    <x v="0"/>
    <x v="1"/>
    <x v="1"/>
    <x v="7"/>
    <s v="Mombasa"/>
    <s v="Small Business"/>
    <x v="1"/>
    <x v="11"/>
    <x v="2"/>
    <x v="46"/>
    <n v="304.22000000000003"/>
    <n v="393.31"/>
    <n v="393.31"/>
    <n v="0.26500000000000001"/>
    <n v="15"/>
    <n v="4336.2427499999994"/>
    <n v="4563.3"/>
    <n v="-227.05725000000075"/>
    <n v="-5.2362670424759034E-2"/>
    <x v="2"/>
    <x v="0"/>
    <s v="Africa →Kenya →Mombasa"/>
    <s v="Low"/>
    <x v="2"/>
    <x v="0"/>
  </r>
  <r>
    <s v="ORD-2023-727290"/>
    <d v="2023-04-03T00:00:00"/>
    <d v="2023-04-16T00:00:00"/>
    <d v="2023-04-03T00:00:00"/>
    <d v="2023-04-16T00:00:00"/>
    <n v="13"/>
    <d v="2023-04-16T00:00:00"/>
    <n v="13"/>
    <x v="0"/>
    <x v="0"/>
    <x v="2"/>
    <x v="2"/>
    <s v="Marseille"/>
    <s v="Non-Profit"/>
    <x v="4"/>
    <x v="3"/>
    <x v="3"/>
    <x v="47"/>
    <n v="790.54"/>
    <n v="601.49"/>
    <n v="601.49"/>
    <n v="0"/>
    <n v="15"/>
    <n v="9022.35"/>
    <n v="11858.099999999999"/>
    <n v="-2835.7499999999982"/>
    <n v="-0.31430281467688553"/>
    <x v="3"/>
    <x v="1"/>
    <s v="Europe →France →Marseille"/>
    <s v="Low"/>
    <x v="3"/>
    <x v="0"/>
  </r>
  <r>
    <s v="ORD-2023-987700"/>
    <d v="2023-04-05T00:00:00"/>
    <d v="2023-04-16T00:00:00"/>
    <d v="2023-04-05T00:00:00"/>
    <d v="2023-04-16T00:00:00"/>
    <n v="11"/>
    <d v="2023-04-16T00:00:00"/>
    <n v="11"/>
    <x v="0"/>
    <x v="0"/>
    <x v="0"/>
    <x v="0"/>
    <s v="Vancouver"/>
    <s v="Non-Profit"/>
    <x v="1"/>
    <x v="5"/>
    <x v="5"/>
    <x v="48"/>
    <n v="213.1"/>
    <n v="501.31"/>
    <n v="501.31"/>
    <n v="5.6000000000000001E-2"/>
    <n v="15"/>
    <n v="7098.5495999999994"/>
    <n v="3196.5"/>
    <n v="3902.0495999999994"/>
    <n v="0.54969674368409005"/>
    <x v="3"/>
    <x v="1"/>
    <s v="Americas →Canada →Vancouver"/>
    <s v="Low"/>
    <x v="3"/>
    <x v="0"/>
  </r>
  <r>
    <s v="ORD-2023-868734"/>
    <d v="2023-04-06T00:00:00"/>
    <d v="2023-04-27T00:00:00"/>
    <d v="2023-04-06T00:00:00"/>
    <d v="2023-04-27T00:00:00"/>
    <n v="21"/>
    <d v="2023-04-27T00:00:00"/>
    <n v="21"/>
    <x v="0"/>
    <x v="0"/>
    <x v="2"/>
    <x v="6"/>
    <s v="Manchester"/>
    <s v="Enterprise"/>
    <x v="0"/>
    <x v="12"/>
    <x v="1"/>
    <x v="49"/>
    <n v="1084.79"/>
    <n v="2484.9899999999998"/>
    <n v="2484.9899999999998"/>
    <n v="3.4000000000000002E-2"/>
    <n v="18"/>
    <n v="43209.006119999991"/>
    <n v="19526.22"/>
    <n v="23682.78611999999"/>
    <n v="0.54809837685755114"/>
    <x v="3"/>
    <x v="1"/>
    <s v="Europe →United Kingdom →Manchester"/>
    <s v="High"/>
    <x v="3"/>
    <x v="0"/>
  </r>
  <r>
    <s v="ORD-2023-545150"/>
    <d v="2023-04-06T00:00:00"/>
    <d v="2023-04-08T00:00:00"/>
    <d v="2023-04-06T00:00:00"/>
    <d v="2023-04-08T00:00:00"/>
    <n v="2"/>
    <d v="2023-04-08T00:00:00"/>
    <n v="2"/>
    <x v="1"/>
    <x v="0"/>
    <x v="1"/>
    <x v="5"/>
    <s v="Abuja"/>
    <s v="Small Business"/>
    <x v="4"/>
    <x v="10"/>
    <x v="5"/>
    <x v="50"/>
    <n v="720.35"/>
    <n v="1571.66"/>
    <n v="1571.66"/>
    <n v="0.107"/>
    <n v="23"/>
    <n v="32280.32474"/>
    <n v="16568.05"/>
    <n v="15712.274740000001"/>
    <n v="0.4867446305622265"/>
    <x v="3"/>
    <x v="1"/>
    <s v="Africa →Nigeria →Abuja"/>
    <s v="Medium"/>
    <x v="3"/>
    <x v="0"/>
  </r>
  <r>
    <s v="ORD-2023-294716"/>
    <d v="2023-04-10T00:00:00"/>
    <d v="2023-04-25T00:00:00"/>
    <d v="2023-04-10T00:00:00"/>
    <d v="2023-04-25T00:00:00"/>
    <n v="15"/>
    <d v="2023-04-25T00:00:00"/>
    <n v="15"/>
    <x v="0"/>
    <x v="0"/>
    <x v="2"/>
    <x v="6"/>
    <s v="London"/>
    <s v="Small Business"/>
    <x v="3"/>
    <x v="2"/>
    <x v="1"/>
    <x v="51"/>
    <n v="405.66"/>
    <n v="962.51"/>
    <n v="962.51"/>
    <n v="0.19"/>
    <n v="7"/>
    <n v="5457.4317000000001"/>
    <n v="2839.6200000000003"/>
    <n v="2617.8116999999997"/>
    <n v="0.47967832561239376"/>
    <x v="3"/>
    <x v="1"/>
    <s v="Europe →United Kingdom →London"/>
    <s v="Medium"/>
    <x v="3"/>
    <x v="0"/>
  </r>
  <r>
    <s v="ORD-2023-867285"/>
    <d v="2023-04-12T00:00:00"/>
    <d v="2023-04-17T00:00:00"/>
    <d v="2023-04-12T00:00:00"/>
    <d v="2023-04-17T00:00:00"/>
    <n v="5"/>
    <d v="2023-04-17T00:00:00"/>
    <n v="5"/>
    <x v="1"/>
    <x v="0"/>
    <x v="2"/>
    <x v="2"/>
    <s v="Lyon"/>
    <s v="Enterprise"/>
    <x v="2"/>
    <x v="14"/>
    <x v="5"/>
    <x v="52"/>
    <n v="1087.81"/>
    <n v="2323.87"/>
    <n v="2323.87"/>
    <n v="9.4E-2"/>
    <n v="13"/>
    <n v="27370.540859999997"/>
    <n v="14141.529999999999"/>
    <n v="13229.010859999999"/>
    <n v="0.48333026839572651"/>
    <x v="3"/>
    <x v="1"/>
    <s v="Europe →France →Lyon"/>
    <s v="High"/>
    <x v="3"/>
    <x v="0"/>
  </r>
  <r>
    <s v="ORD-2023-766015"/>
    <d v="2023-04-13T00:00:00"/>
    <d v="2023-04-11T00:00:00"/>
    <d v="2023-04-11T00:00:00"/>
    <d v="2023-04-13T00:00:00"/>
    <n v="2"/>
    <d v="2023-04-20T00:00:00"/>
    <n v="7"/>
    <x v="1"/>
    <x v="1"/>
    <x v="0"/>
    <x v="4"/>
    <s v="San Francisco"/>
    <s v="Education"/>
    <x v="4"/>
    <x v="6"/>
    <x v="4"/>
    <x v="53"/>
    <n v="32.1"/>
    <n v="70.599999999999994"/>
    <n v="70.599999999999994"/>
    <n v="0.28199999999999997"/>
    <n v="22"/>
    <n v="1115.1975999999997"/>
    <n v="706.2"/>
    <n v="408.99759999999969"/>
    <n v="0.36674899587301818"/>
    <x v="3"/>
    <x v="1"/>
    <s v="Americas →USA →San Francisco"/>
    <s v="Low"/>
    <x v="3"/>
    <x v="0"/>
  </r>
  <r>
    <s v="ORD-2023-867166"/>
    <d v="2023-04-13T00:00:00"/>
    <d v="2023-04-20T00:00:00"/>
    <d v="2023-04-13T00:00:00"/>
    <d v="2023-04-20T00:00:00"/>
    <n v="7"/>
    <d v="2023-04-20T00:00:00"/>
    <n v="7"/>
    <x v="1"/>
    <x v="0"/>
    <x v="2"/>
    <x v="2"/>
    <s v="Lyon"/>
    <s v="Small Business"/>
    <x v="1"/>
    <x v="1"/>
    <x v="0"/>
    <x v="54"/>
    <n v="227.02"/>
    <n v="434.72"/>
    <n v="434.72"/>
    <n v="9.8000000000000004E-2"/>
    <n v="10"/>
    <n v="3921.1744000000008"/>
    <n v="2270.2000000000003"/>
    <n v="1650.9744000000005"/>
    <n v="0.42104079838938052"/>
    <x v="3"/>
    <x v="1"/>
    <s v="Europe →France →Lyon"/>
    <s v="Low"/>
    <x v="3"/>
    <x v="0"/>
  </r>
  <r>
    <s v="ORD-2023-356427"/>
    <d v="2023-04-13T00:00:00"/>
    <d v="2023-05-02T00:00:00"/>
    <d v="2023-04-13T00:00:00"/>
    <d v="2023-05-02T00:00:00"/>
    <n v="19"/>
    <d v="2023-05-02T00:00:00"/>
    <n v="19"/>
    <x v="0"/>
    <x v="0"/>
    <x v="0"/>
    <x v="0"/>
    <s v="Montreal"/>
    <s v="Consumer"/>
    <x v="0"/>
    <x v="14"/>
    <x v="5"/>
    <x v="55"/>
    <n v="671.05"/>
    <n v="1645.48"/>
    <n v="1645.48"/>
    <n v="0.13700000000000001"/>
    <n v="6"/>
    <n v="8520.2954399999999"/>
    <n v="4026.2999999999997"/>
    <n v="4493.9954400000006"/>
    <n v="0.52744596377517172"/>
    <x v="3"/>
    <x v="1"/>
    <s v="Americas →Canada →Montreal"/>
    <s v="High"/>
    <x v="3"/>
    <x v="0"/>
  </r>
  <r>
    <s v="ORD-2023-897079"/>
    <d v="2023-04-14T00:00:00"/>
    <d v="2023-05-14T00:00:00"/>
    <d v="2023-04-14T00:00:00"/>
    <d v="2023-05-14T00:00:00"/>
    <n v="30"/>
    <d v="2023-05-14T00:00:00"/>
    <n v="30"/>
    <x v="0"/>
    <x v="0"/>
    <x v="1"/>
    <x v="7"/>
    <s v="Nakuru"/>
    <s v="Consumer"/>
    <x v="4"/>
    <x v="3"/>
    <x v="2"/>
    <x v="56"/>
    <n v="209.25"/>
    <n v="434.8"/>
    <n v="434.8"/>
    <n v="0"/>
    <n v="9"/>
    <n v="3913.2000000000003"/>
    <n v="1883.25"/>
    <n v="2029.9500000000003"/>
    <n v="0.51874425022999082"/>
    <x v="3"/>
    <x v="1"/>
    <s v="Africa →Kenya →Nakuru"/>
    <s v="Low"/>
    <x v="3"/>
    <x v="0"/>
  </r>
  <r>
    <s v="ORD-2023-701153"/>
    <d v="2023-04-14T00:00:00"/>
    <d v="2023-05-13T00:00:00"/>
    <d v="2023-04-14T00:00:00"/>
    <d v="2023-05-13T00:00:00"/>
    <n v="29"/>
    <d v="2023-05-13T00:00:00"/>
    <n v="29"/>
    <x v="0"/>
    <x v="0"/>
    <x v="2"/>
    <x v="8"/>
    <s v="Frankfurt"/>
    <s v="Consumer"/>
    <x v="2"/>
    <x v="13"/>
    <x v="1"/>
    <x v="57"/>
    <n v="1320.33"/>
    <n v="2645.23"/>
    <n v="2645.23"/>
    <n v="0.155"/>
    <n v="25"/>
    <n v="55880.483749999999"/>
    <n v="33008.25"/>
    <n v="22872.233749999999"/>
    <n v="0.40930629470436536"/>
    <x v="3"/>
    <x v="1"/>
    <s v="Europe →Germany →Frankfurt"/>
    <s v="High"/>
    <x v="3"/>
    <x v="0"/>
  </r>
  <r>
    <s v="ORD-2023-609394"/>
    <d v="2023-04-16T00:00:00"/>
    <d v="2023-04-19T00:00:00"/>
    <d v="2023-04-16T00:00:00"/>
    <d v="2023-04-19T00:00:00"/>
    <n v="3"/>
    <d v="2023-04-19T00:00:00"/>
    <n v="3"/>
    <x v="1"/>
    <x v="0"/>
    <x v="2"/>
    <x v="8"/>
    <s v="Munich"/>
    <s v="Corporate"/>
    <x v="2"/>
    <x v="0"/>
    <x v="3"/>
    <x v="58"/>
    <n v="553.61"/>
    <n v="699.47"/>
    <n v="699.47"/>
    <n v="0.02"/>
    <n v="33"/>
    <n v="22620.859800000002"/>
    <n v="18269.13"/>
    <n v="4351.729800000001"/>
    <n v="0.19237685209472014"/>
    <x v="3"/>
    <x v="1"/>
    <s v="Europe →Germany →Munich"/>
    <s v="Low"/>
    <x v="3"/>
    <x v="0"/>
  </r>
  <r>
    <s v="ORD-2023-664790"/>
    <d v="2023-04-16T00:00:00"/>
    <d v="2023-04-23T00:00:00"/>
    <d v="2023-04-16T00:00:00"/>
    <d v="2023-04-23T00:00:00"/>
    <n v="7"/>
    <d v="2023-04-23T00:00:00"/>
    <n v="7"/>
    <x v="1"/>
    <x v="0"/>
    <x v="0"/>
    <x v="4"/>
    <s v="Austin"/>
    <s v="Corporate"/>
    <x v="0"/>
    <x v="5"/>
    <x v="1"/>
    <x v="59"/>
    <n v="1099.1500000000001"/>
    <n v="1431.37"/>
    <n v="1431.37"/>
    <n v="0.104"/>
    <n v="8"/>
    <n v="10260.060159999999"/>
    <n v="8793.2000000000007"/>
    <n v="1466.8601599999984"/>
    <n v="0.14296798821109433"/>
    <x v="3"/>
    <x v="1"/>
    <s v="Americas →USA →Austin"/>
    <s v="Medium"/>
    <x v="3"/>
    <x v="0"/>
  </r>
  <r>
    <s v="ORD-2023-157993"/>
    <d v="2023-04-18T00:00:00"/>
    <d v="2023-05-18T00:00:00"/>
    <d v="2023-04-18T00:00:00"/>
    <d v="2023-05-18T00:00:00"/>
    <n v="30"/>
    <d v="2023-05-18T00:00:00"/>
    <n v="30"/>
    <x v="0"/>
    <x v="0"/>
    <x v="3"/>
    <x v="3"/>
    <s v="Shenzhen"/>
    <s v="Non-Profit"/>
    <x v="3"/>
    <x v="4"/>
    <x v="0"/>
    <x v="60"/>
    <n v="329.03"/>
    <n v="391.15"/>
    <n v="391.15"/>
    <n v="0.19700000000000001"/>
    <n v="46"/>
    <n v="14448.298699999998"/>
    <n v="15135.38"/>
    <n v="-687.08130000000165"/>
    <n v="-4.7554477815440081E-2"/>
    <x v="3"/>
    <x v="1"/>
    <s v="Asia →China →Shenzhen"/>
    <s v="Low"/>
    <x v="3"/>
    <x v="0"/>
  </r>
  <r>
    <s v="ORD-2023-308124"/>
    <d v="2023-04-19T00:00:00"/>
    <d v="2023-04-30T00:00:00"/>
    <d v="2023-04-19T00:00:00"/>
    <d v="2023-04-30T00:00:00"/>
    <n v="11"/>
    <d v="2023-04-30T00:00:00"/>
    <n v="11"/>
    <x v="0"/>
    <x v="0"/>
    <x v="3"/>
    <x v="9"/>
    <s v="Delhi"/>
    <s v="Small Business"/>
    <x v="3"/>
    <x v="1"/>
    <x v="4"/>
    <x v="61"/>
    <n v="826.55"/>
    <n v="1397.05"/>
    <n v="1397.05"/>
    <n v="0.16900000000000001"/>
    <n v="28"/>
    <n v="32506.559399999998"/>
    <n v="23143.399999999998"/>
    <n v="9363.1594000000005"/>
    <n v="0.28803907804527601"/>
    <x v="3"/>
    <x v="1"/>
    <s v="Asia →India →Delhi"/>
    <s v="Medium"/>
    <x v="3"/>
    <x v="0"/>
  </r>
  <r>
    <s v="ORD-2023-390998"/>
    <d v="2023-04-19T00:00:00"/>
    <d v="2023-04-28T00:00:00"/>
    <d v="2023-04-19T00:00:00"/>
    <d v="2023-04-28T00:00:00"/>
    <n v="9"/>
    <d v="2023-04-28T00:00:00"/>
    <n v="9"/>
    <x v="0"/>
    <x v="0"/>
    <x v="2"/>
    <x v="8"/>
    <s v="Berlin"/>
    <s v="Education"/>
    <x v="1"/>
    <x v="14"/>
    <x v="5"/>
    <x v="62"/>
    <n v="1178.42"/>
    <n v="2446.56"/>
    <n v="2446.56"/>
    <n v="2.9000000000000001E-2"/>
    <n v="11"/>
    <n v="26131.70736"/>
    <n v="12962.62"/>
    <n v="13169.08736"/>
    <n v="0.5039505141618883"/>
    <x v="3"/>
    <x v="1"/>
    <s v="Europe →Germany →Berlin"/>
    <s v="High"/>
    <x v="3"/>
    <x v="0"/>
  </r>
  <r>
    <s v="ORD-2023-501220"/>
    <d v="2023-04-19T00:00:00"/>
    <d v="2023-05-07T00:00:00"/>
    <d v="2023-04-19T00:00:00"/>
    <d v="2023-05-07T00:00:00"/>
    <n v="18"/>
    <d v="2023-05-07T00:00:00"/>
    <n v="18"/>
    <x v="0"/>
    <x v="0"/>
    <x v="2"/>
    <x v="6"/>
    <s v="Birmingham"/>
    <s v="Enterprise"/>
    <x v="3"/>
    <x v="8"/>
    <x v="0"/>
    <x v="63"/>
    <n v="1089.1500000000001"/>
    <n v="1088.2"/>
    <n v="1088.2"/>
    <n v="5.0999999999999997E-2"/>
    <n v="15"/>
    <n v="15490.527"/>
    <n v="16337.250000000002"/>
    <n v="-846.72300000000178"/>
    <n v="-5.4660696824582002E-2"/>
    <x v="3"/>
    <x v="1"/>
    <s v="Europe →United Kingdom →Birmingham"/>
    <s v="Medium"/>
    <x v="3"/>
    <x v="0"/>
  </r>
  <r>
    <s v="ORD-2023-747341"/>
    <d v="2023-04-19T00:00:00"/>
    <d v="2023-04-28T00:00:00"/>
    <d v="2023-04-19T00:00:00"/>
    <d v="2023-04-28T00:00:00"/>
    <n v="9"/>
    <d v="2023-04-28T00:00:00"/>
    <n v="9"/>
    <x v="0"/>
    <x v="0"/>
    <x v="0"/>
    <x v="10"/>
    <s v="Rio de Janeiro"/>
    <s v="Corporate"/>
    <x v="0"/>
    <x v="3"/>
    <x v="2"/>
    <x v="64"/>
    <n v="1013.54"/>
    <n v="927.93"/>
    <n v="927.93"/>
    <n v="0.17499999999999999"/>
    <n v="16"/>
    <n v="12248.675999999999"/>
    <n v="16216.64"/>
    <n v="-3967.9639999999999"/>
    <n v="-0.32395044166406234"/>
    <x v="3"/>
    <x v="1"/>
    <s v="Americas →Brazil →Rio de Janeiro"/>
    <s v="Medium"/>
    <x v="3"/>
    <x v="0"/>
  </r>
  <r>
    <s v="ORD-2023-256951"/>
    <d v="2023-04-19T00:00:00"/>
    <d v="2023-05-07T00:00:00"/>
    <d v="2023-04-19T00:00:00"/>
    <d v="2023-05-07T00:00:00"/>
    <n v="18"/>
    <d v="2023-05-07T00:00:00"/>
    <n v="18"/>
    <x v="0"/>
    <x v="0"/>
    <x v="2"/>
    <x v="6"/>
    <s v="London"/>
    <s v="Non-Profit"/>
    <x v="2"/>
    <x v="4"/>
    <x v="4"/>
    <x v="65"/>
    <n v="516.96"/>
    <n v="745.38"/>
    <n v="745.38"/>
    <n v="0.19700000000000001"/>
    <n v="4"/>
    <n v="2394.1605599999998"/>
    <n v="2067.84"/>
    <n v="326.32055999999966"/>
    <n v="0.13629852794835101"/>
    <x v="3"/>
    <x v="1"/>
    <s v="Europe →United Kingdom →London"/>
    <s v="Low"/>
    <x v="3"/>
    <x v="0"/>
  </r>
  <r>
    <s v="ORD-2023-809913"/>
    <d v="2023-04-21T00:00:00"/>
    <d v="2023-05-10T00:00:00"/>
    <d v="2023-04-21T00:00:00"/>
    <d v="2023-05-10T00:00:00"/>
    <n v="19"/>
    <d v="2023-05-10T00:00:00"/>
    <n v="19"/>
    <x v="0"/>
    <x v="0"/>
    <x v="3"/>
    <x v="3"/>
    <s v="Shanghai"/>
    <s v="Corporate"/>
    <x v="3"/>
    <x v="1"/>
    <x v="6"/>
    <x v="66"/>
    <n v="882.33"/>
    <n v="1880.15"/>
    <n v="1880.15"/>
    <n v="0.05"/>
    <n v="5"/>
    <n v="8930.7124999999996"/>
    <n v="4411.6500000000005"/>
    <n v="4519.0624999999991"/>
    <n v="0.50601365792482955"/>
    <x v="3"/>
    <x v="1"/>
    <s v="Asia →China →Shanghai"/>
    <s v="High"/>
    <x v="3"/>
    <x v="0"/>
  </r>
  <r>
    <s v="ORD-2023-752962"/>
    <d v="2023-04-21T00:00:00"/>
    <d v="2023-04-19T00:00:00"/>
    <d v="2023-04-19T00:00:00"/>
    <d v="2023-04-21T00:00:00"/>
    <n v="2"/>
    <d v="2023-04-28T00:00:00"/>
    <n v="7"/>
    <x v="1"/>
    <x v="0"/>
    <x v="3"/>
    <x v="11"/>
    <s v="Nagoya"/>
    <s v="Small Business"/>
    <x v="2"/>
    <x v="3"/>
    <x v="6"/>
    <x v="67"/>
    <n v="607.04"/>
    <n v="1229.3399999999999"/>
    <n v="1229.3399999999999"/>
    <n v="0.14699999999999999"/>
    <n v="7"/>
    <n v="7340.3891399999993"/>
    <n v="4249.28"/>
    <n v="3091.1091399999996"/>
    <n v="0.42110970972310058"/>
    <x v="3"/>
    <x v="1"/>
    <s v="Asia →Japan →Nagoya"/>
    <s v="Medium"/>
    <x v="3"/>
    <x v="0"/>
  </r>
  <r>
    <s v="ORD-2023-107265"/>
    <d v="2023-04-22T00:00:00"/>
    <d v="2023-05-14T00:00:00"/>
    <d v="2023-04-22T00:00:00"/>
    <d v="2023-05-14T00:00:00"/>
    <n v="22"/>
    <d v="2023-05-14T00:00:00"/>
    <n v="22"/>
    <x v="0"/>
    <x v="0"/>
    <x v="3"/>
    <x v="11"/>
    <s v="Nagoya"/>
    <s v="Enterprise"/>
    <x v="3"/>
    <x v="1"/>
    <x v="3"/>
    <x v="68"/>
    <n v="1209.22"/>
    <n v="1404.33"/>
    <n v="1404.33"/>
    <n v="0.10299999999999999"/>
    <n v="11"/>
    <n v="13856.52411"/>
    <n v="13301.42"/>
    <n v="555.10411000000022"/>
    <n v="4.0060848275751328E-2"/>
    <x v="3"/>
    <x v="1"/>
    <s v="Asia →Japan →Nagoya"/>
    <s v="Medium"/>
    <x v="3"/>
    <x v="0"/>
  </r>
  <r>
    <s v="ORD-2023-937291"/>
    <d v="2023-04-23T00:00:00"/>
    <d v="2023-04-22T00:00:00"/>
    <d v="2023-04-22T00:00:00"/>
    <d v="2023-04-23T00:00:00"/>
    <n v="1"/>
    <d v="2023-04-30T00:00:00"/>
    <n v="7"/>
    <x v="1"/>
    <x v="0"/>
    <x v="1"/>
    <x v="7"/>
    <s v="Nairobi"/>
    <s v="Small Business"/>
    <x v="2"/>
    <x v="14"/>
    <x v="0"/>
    <x v="69"/>
    <n v="756.51"/>
    <n v="850.8"/>
    <n v="850.8"/>
    <n v="7.3999999999999996E-2"/>
    <n v="9"/>
    <n v="7090.5672000000004"/>
    <n v="6808.59"/>
    <n v="281.97720000000027"/>
    <n v="3.9767932810791252E-2"/>
    <x v="3"/>
    <x v="1"/>
    <s v="Africa →Kenya →Nairobi"/>
    <s v="Medium"/>
    <x v="3"/>
    <x v="0"/>
  </r>
  <r>
    <s v="ORD-2023-340056"/>
    <d v="2023-04-26T00:00:00"/>
    <d v="2023-04-26T00:00:00"/>
    <d v="2023-04-26T00:00:00"/>
    <d v="2023-04-26T00:00:00"/>
    <n v="0"/>
    <d v="2023-04-26T00:00:00"/>
    <n v="0"/>
    <x v="1"/>
    <x v="0"/>
    <x v="2"/>
    <x v="2"/>
    <s v="Marseille"/>
    <s v="Consumer"/>
    <x v="2"/>
    <x v="3"/>
    <x v="6"/>
    <x v="70"/>
    <n v="81.489999999999995"/>
    <n v="113.08"/>
    <n v="113.08"/>
    <n v="0.121"/>
    <n v="5"/>
    <n v="496.98660000000001"/>
    <n v="407.45"/>
    <n v="89.536600000000021"/>
    <n v="0.18015898215364362"/>
    <x v="3"/>
    <x v="1"/>
    <s v="Europe →France →Marseille"/>
    <s v="Low"/>
    <x v="3"/>
    <x v="0"/>
  </r>
  <r>
    <s v="ORD-2023-125739"/>
    <d v="2023-05-01T00:00:00"/>
    <d v="2023-05-18T00:00:00"/>
    <d v="2023-05-01T00:00:00"/>
    <d v="2023-05-18T00:00:00"/>
    <n v="17"/>
    <d v="2023-05-18T00:00:00"/>
    <n v="17"/>
    <x v="0"/>
    <x v="0"/>
    <x v="1"/>
    <x v="5"/>
    <s v="Port Harcourt"/>
    <s v="Corporate"/>
    <x v="2"/>
    <x v="7"/>
    <x v="6"/>
    <x v="71"/>
    <n v="327.97"/>
    <n v="299.94"/>
    <n v="299.94"/>
    <n v="4.9000000000000002E-2"/>
    <n v="3"/>
    <n v="855.72881999999993"/>
    <n v="983.91000000000008"/>
    <n v="-128.18118000000015"/>
    <n v="-0.14979182306843442"/>
    <x v="4"/>
    <x v="1"/>
    <s v="Africa →Nigeria →Port Harcourt"/>
    <s v="Low"/>
    <x v="4"/>
    <x v="0"/>
  </r>
  <r>
    <s v="ORD-2023-906481"/>
    <d v="2023-05-02T00:00:00"/>
    <d v="2023-05-18T00:00:00"/>
    <d v="2023-05-02T00:00:00"/>
    <d v="2023-05-18T00:00:00"/>
    <n v="16"/>
    <d v="2023-05-18T00:00:00"/>
    <n v="16"/>
    <x v="0"/>
    <x v="0"/>
    <x v="3"/>
    <x v="9"/>
    <s v="Delhi"/>
    <s v="Small Business"/>
    <x v="4"/>
    <x v="10"/>
    <x v="5"/>
    <x v="72"/>
    <n v="1463.92"/>
    <n v="2252.2399999999998"/>
    <n v="2252.2399999999998"/>
    <n v="0.11799999999999999"/>
    <n v="44"/>
    <n v="87404.929919999995"/>
    <n v="64412.480000000003"/>
    <n v="22992.449919999992"/>
    <n v="0.26305667130040061"/>
    <x v="4"/>
    <x v="1"/>
    <s v="Asia →India →Delhi"/>
    <s v="High"/>
    <x v="4"/>
    <x v="0"/>
  </r>
  <r>
    <s v="ORD-2023-880296"/>
    <d v="2023-05-02T00:00:00"/>
    <d v="2023-05-19T00:00:00"/>
    <d v="2023-05-02T00:00:00"/>
    <d v="2023-05-19T00:00:00"/>
    <n v="17"/>
    <d v="2023-05-19T00:00:00"/>
    <n v="17"/>
    <x v="0"/>
    <x v="0"/>
    <x v="3"/>
    <x v="3"/>
    <s v="Shanghai"/>
    <s v="Non-Profit"/>
    <x v="2"/>
    <x v="13"/>
    <x v="5"/>
    <x v="73"/>
    <n v="714.28"/>
    <n v="757.59"/>
    <n v="757.59"/>
    <n v="0.13600000000000001"/>
    <n v="12"/>
    <n v="7854.6931199999999"/>
    <n v="8571.36"/>
    <n v="-716.66688000000067"/>
    <n v="-9.1240595787910383E-2"/>
    <x v="4"/>
    <x v="1"/>
    <s v="Asia →China →Shanghai"/>
    <s v="Low"/>
    <x v="4"/>
    <x v="0"/>
  </r>
  <r>
    <s v="ORD-2023-573656"/>
    <d v="2023-05-02T00:00:00"/>
    <d v="2023-05-16T00:00:00"/>
    <d v="2023-05-02T00:00:00"/>
    <d v="2023-05-16T00:00:00"/>
    <n v="14"/>
    <d v="2023-05-16T00:00:00"/>
    <n v="14"/>
    <x v="0"/>
    <x v="0"/>
    <x v="3"/>
    <x v="9"/>
    <s v="Bengaluru"/>
    <s v="Non-Profit"/>
    <x v="3"/>
    <x v="9"/>
    <x v="5"/>
    <x v="74"/>
    <n v="475.37"/>
    <n v="963.73"/>
    <n v="963.73"/>
    <n v="4.1000000000000002E-2"/>
    <n v="22"/>
    <n v="20332.775539999999"/>
    <n v="10458.14"/>
    <n v="9874.6355399999993"/>
    <n v="0.48565113604750881"/>
    <x v="4"/>
    <x v="1"/>
    <s v="Asia →India →Bengaluru"/>
    <s v="Medium"/>
    <x v="4"/>
    <x v="0"/>
  </r>
  <r>
    <s v="ORD-2023-378676"/>
    <d v="2023-05-03T00:00:00"/>
    <d v="2023-05-16T00:00:00"/>
    <d v="2023-05-03T00:00:00"/>
    <d v="2023-05-16T00:00:00"/>
    <n v="13"/>
    <d v="2023-05-16T00:00:00"/>
    <n v="13"/>
    <x v="0"/>
    <x v="0"/>
    <x v="0"/>
    <x v="4"/>
    <s v="New York"/>
    <s v="Corporate"/>
    <x v="4"/>
    <x v="9"/>
    <x v="2"/>
    <x v="75"/>
    <n v="64.5"/>
    <n v="123.62"/>
    <n v="123.62"/>
    <n v="0"/>
    <n v="3"/>
    <n v="370.86"/>
    <n v="193.5"/>
    <n v="177.36"/>
    <n v="0.47823976702798904"/>
    <x v="4"/>
    <x v="1"/>
    <s v="Americas →USA →New York"/>
    <s v="Low"/>
    <x v="4"/>
    <x v="0"/>
  </r>
  <r>
    <s v="ORD-2023-177794"/>
    <d v="2023-05-04T00:00:00"/>
    <d v="2023-05-26T00:00:00"/>
    <d v="2023-05-04T00:00:00"/>
    <d v="2023-05-26T00:00:00"/>
    <n v="22"/>
    <d v="2023-05-26T00:00:00"/>
    <n v="22"/>
    <x v="0"/>
    <x v="0"/>
    <x v="0"/>
    <x v="4"/>
    <s v="San Francisco"/>
    <s v="Enterprise"/>
    <x v="1"/>
    <x v="13"/>
    <x v="4"/>
    <x v="76"/>
    <n v="249.71"/>
    <n v="361.33"/>
    <n v="361.33"/>
    <n v="9.4E-2"/>
    <n v="12"/>
    <n v="3928.3797600000003"/>
    <n v="2996.52"/>
    <n v="931.85976000000028"/>
    <n v="0.23721223937881206"/>
    <x v="4"/>
    <x v="1"/>
    <s v="Americas →USA →San Francisco"/>
    <s v="Low"/>
    <x v="4"/>
    <x v="0"/>
  </r>
  <r>
    <s v="ORD-2023-898009"/>
    <d v="2023-05-04T00:00:00"/>
    <d v="2023-05-16T00:00:00"/>
    <d v="2023-05-04T00:00:00"/>
    <d v="2023-05-16T00:00:00"/>
    <n v="12"/>
    <d v="2023-05-16T00:00:00"/>
    <n v="12"/>
    <x v="0"/>
    <x v="0"/>
    <x v="1"/>
    <x v="5"/>
    <s v="Abuja"/>
    <s v="Small Business"/>
    <x v="4"/>
    <x v="13"/>
    <x v="2"/>
    <x v="77"/>
    <n v="77.739999999999995"/>
    <n v="147.12"/>
    <n v="147.12"/>
    <n v="0"/>
    <n v="15"/>
    <n v="2206.8000000000002"/>
    <n v="1166.0999999999999"/>
    <n v="1040.7000000000003"/>
    <n v="0.47158781946710177"/>
    <x v="4"/>
    <x v="1"/>
    <s v="Africa →Nigeria →Abuja"/>
    <s v="Low"/>
    <x v="4"/>
    <x v="0"/>
  </r>
  <r>
    <s v="ORD-2023-363031"/>
    <d v="2023-05-06T00:00:00"/>
    <d v="2023-05-14T00:00:00"/>
    <d v="2023-05-06T00:00:00"/>
    <d v="2023-05-14T00:00:00"/>
    <n v="8"/>
    <d v="2023-05-14T00:00:00"/>
    <n v="8"/>
    <x v="0"/>
    <x v="0"/>
    <x v="3"/>
    <x v="11"/>
    <s v="Osaka"/>
    <s v="Enterprise"/>
    <x v="4"/>
    <x v="0"/>
    <x v="2"/>
    <x v="78"/>
    <n v="291.18"/>
    <n v="479.54"/>
    <n v="479.54"/>
    <n v="0.14099999999999999"/>
    <n v="22"/>
    <n v="9062.34692"/>
    <n v="6405.96"/>
    <n v="2656.3869199999999"/>
    <n v="0.29312350801066001"/>
    <x v="4"/>
    <x v="1"/>
    <s v="Asia →Japan →Osaka"/>
    <s v="Low"/>
    <x v="4"/>
    <x v="0"/>
  </r>
  <r>
    <s v="ORD-2023-632893"/>
    <d v="2023-05-07T00:00:00"/>
    <d v="2023-05-05T00:00:00"/>
    <d v="2023-05-05T00:00:00"/>
    <d v="2023-05-07T00:00:00"/>
    <n v="2"/>
    <d v="2023-05-14T00:00:00"/>
    <n v="7"/>
    <x v="1"/>
    <x v="0"/>
    <x v="1"/>
    <x v="5"/>
    <s v="Port Harcourt"/>
    <s v="Non-Profit"/>
    <x v="4"/>
    <x v="1"/>
    <x v="6"/>
    <x v="79"/>
    <n v="1269.6500000000001"/>
    <n v="2462.77"/>
    <n v="2462.77"/>
    <n v="0.107"/>
    <n v="8"/>
    <n v="17594.028880000002"/>
    <n v="10157.200000000001"/>
    <n v="7436.8288800000009"/>
    <n v="0.42269050089225502"/>
    <x v="4"/>
    <x v="1"/>
    <s v="Africa →Nigeria →Port Harcourt"/>
    <s v="High"/>
    <x v="4"/>
    <x v="0"/>
  </r>
  <r>
    <s v="ORD-2023-144816"/>
    <d v="2023-05-07T00:00:00"/>
    <d v="2023-05-29T00:00:00"/>
    <d v="2023-05-07T00:00:00"/>
    <d v="2023-05-29T00:00:00"/>
    <n v="22"/>
    <d v="2023-05-29T00:00:00"/>
    <n v="22"/>
    <x v="0"/>
    <x v="0"/>
    <x v="1"/>
    <x v="1"/>
    <s v="Durban"/>
    <s v="Education"/>
    <x v="0"/>
    <x v="10"/>
    <x v="3"/>
    <x v="80"/>
    <n v="653.86"/>
    <n v="931.84"/>
    <n v="931.84"/>
    <n v="0.121"/>
    <n v="12"/>
    <n v="9829.0483199999999"/>
    <n v="7846.32"/>
    <n v="1982.7283200000002"/>
    <n v="0.20172129136506273"/>
    <x v="4"/>
    <x v="1"/>
    <s v="Africa →South Africa →Durban"/>
    <s v="Medium"/>
    <x v="4"/>
    <x v="0"/>
  </r>
  <r>
    <s v="ORD-2023-957692"/>
    <d v="2023-05-07T00:00:00"/>
    <d v="2023-05-20T00:00:00"/>
    <d v="2023-05-07T00:00:00"/>
    <d v="2023-05-20T00:00:00"/>
    <n v="13"/>
    <d v="2023-05-20T00:00:00"/>
    <n v="13"/>
    <x v="0"/>
    <x v="0"/>
    <x v="3"/>
    <x v="9"/>
    <s v="Mumbai"/>
    <s v="Enterprise"/>
    <x v="3"/>
    <x v="2"/>
    <x v="3"/>
    <x v="81"/>
    <n v="1443.28"/>
    <n v="2580.5700000000002"/>
    <n v="2580.5700000000002"/>
    <n v="0"/>
    <n v="18"/>
    <n v="46450.26"/>
    <n v="25979.040000000001"/>
    <n v="20471.22"/>
    <n v="0.4407127107577008"/>
    <x v="4"/>
    <x v="1"/>
    <s v="Asia →India →Mumbai"/>
    <s v="High"/>
    <x v="4"/>
    <x v="0"/>
  </r>
  <r>
    <s v="ORD-2023-913592"/>
    <d v="2023-05-10T00:00:00"/>
    <d v="2023-05-14T00:00:00"/>
    <d v="2023-05-10T00:00:00"/>
    <d v="2023-05-14T00:00:00"/>
    <n v="4"/>
    <d v="2023-05-14T00:00:00"/>
    <n v="4"/>
    <x v="1"/>
    <x v="1"/>
    <x v="3"/>
    <x v="9"/>
    <s v="Delhi"/>
    <s v="Non-Profit"/>
    <x v="0"/>
    <x v="11"/>
    <x v="5"/>
    <x v="82"/>
    <n v="622.6"/>
    <n v="833.69"/>
    <n v="833.69"/>
    <n v="0.20899999999999999"/>
    <n v="14"/>
    <n v="9232.2830599999998"/>
    <n v="8716.4"/>
    <n v="515.88306000000011"/>
    <n v="5.5878167582959715E-2"/>
    <x v="4"/>
    <x v="1"/>
    <s v="Asia →India →Delhi"/>
    <s v="Medium"/>
    <x v="4"/>
    <x v="0"/>
  </r>
  <r>
    <s v="ORD-2023-472050"/>
    <d v="2023-05-10T00:00:00"/>
    <d v="2023-05-27T00:00:00"/>
    <d v="2023-05-10T00:00:00"/>
    <d v="2023-05-27T00:00:00"/>
    <n v="17"/>
    <d v="2023-05-27T00:00:00"/>
    <n v="17"/>
    <x v="0"/>
    <x v="0"/>
    <x v="3"/>
    <x v="9"/>
    <s v="Mumbai"/>
    <s v="Consumer"/>
    <x v="3"/>
    <x v="3"/>
    <x v="0"/>
    <x v="83"/>
    <n v="1286.1600000000001"/>
    <n v="3101.11"/>
    <n v="3101.11"/>
    <n v="0.1"/>
    <n v="23"/>
    <n v="64192.976999999999"/>
    <n v="29581.68"/>
    <n v="34611.296999999999"/>
    <n v="0.53917575749758417"/>
    <x v="4"/>
    <x v="1"/>
    <s v="Asia →India →Mumbai"/>
    <s v="High"/>
    <x v="4"/>
    <x v="0"/>
  </r>
  <r>
    <s v="ORD-2023-867836"/>
    <d v="2023-05-11T00:00:00"/>
    <d v="2023-05-28T00:00:00"/>
    <d v="2023-05-11T00:00:00"/>
    <d v="2023-05-28T00:00:00"/>
    <n v="17"/>
    <d v="2023-05-28T00:00:00"/>
    <n v="17"/>
    <x v="0"/>
    <x v="0"/>
    <x v="3"/>
    <x v="3"/>
    <s v="Shenzhen"/>
    <s v="Enterprise"/>
    <x v="4"/>
    <x v="14"/>
    <x v="4"/>
    <x v="84"/>
    <n v="1331.19"/>
    <n v="2903.09"/>
    <n v="2903.09"/>
    <n v="0.14299999999999999"/>
    <n v="8"/>
    <n v="19903.585040000002"/>
    <n v="10649.52"/>
    <n v="9254.0650400000013"/>
    <n v="0.46494463290920784"/>
    <x v="4"/>
    <x v="1"/>
    <s v="Asia →China →Shenzhen"/>
    <s v="High"/>
    <x v="4"/>
    <x v="0"/>
  </r>
  <r>
    <s v="ORD-2023-251563"/>
    <d v="2023-05-11T00:00:00"/>
    <d v="2023-06-07T00:00:00"/>
    <d v="2023-05-11T00:00:00"/>
    <d v="2023-06-07T00:00:00"/>
    <n v="27"/>
    <d v="2023-06-07T00:00:00"/>
    <n v="27"/>
    <x v="0"/>
    <x v="0"/>
    <x v="1"/>
    <x v="7"/>
    <s v="Mombasa"/>
    <s v="Corporate"/>
    <x v="1"/>
    <x v="13"/>
    <x v="2"/>
    <x v="85"/>
    <n v="12.85"/>
    <n v="15.41"/>
    <n v="15.41"/>
    <n v="0.13700000000000001"/>
    <n v="39"/>
    <n v="518.65436999999997"/>
    <n v="501.15"/>
    <n v="17.504369999999994"/>
    <n v="3.3749585489851353E-2"/>
    <x v="4"/>
    <x v="1"/>
    <s v="Africa →Kenya →Mombasa"/>
    <s v="Low"/>
    <x v="4"/>
    <x v="0"/>
  </r>
  <r>
    <s v="ORD-2023-931633"/>
    <d v="2023-05-14T00:00:00"/>
    <d v="2023-05-22T00:00:00"/>
    <d v="2023-05-14T00:00:00"/>
    <d v="2023-05-22T00:00:00"/>
    <n v="8"/>
    <d v="2023-05-22T00:00:00"/>
    <n v="8"/>
    <x v="0"/>
    <x v="0"/>
    <x v="1"/>
    <x v="7"/>
    <s v="Mombasa"/>
    <s v="Small Business"/>
    <x v="0"/>
    <x v="7"/>
    <x v="1"/>
    <x v="86"/>
    <n v="432.01"/>
    <n v="913.78"/>
    <n v="913.78"/>
    <n v="4.9000000000000002E-2"/>
    <n v="12"/>
    <n v="10428.057360000001"/>
    <n v="5184.12"/>
    <n v="5243.9373600000008"/>
    <n v="0.50286809699711899"/>
    <x v="4"/>
    <x v="1"/>
    <s v="Africa →Kenya →Mombasa"/>
    <s v="Medium"/>
    <x v="4"/>
    <x v="0"/>
  </r>
  <r>
    <s v="ORD-2023-184577"/>
    <d v="2023-05-17T00:00:00"/>
    <d v="2023-06-03T00:00:00"/>
    <d v="2023-05-17T00:00:00"/>
    <d v="2023-06-03T00:00:00"/>
    <n v="17"/>
    <d v="2023-06-03T00:00:00"/>
    <n v="17"/>
    <x v="0"/>
    <x v="0"/>
    <x v="3"/>
    <x v="3"/>
    <s v="Beijing"/>
    <s v="Non-Profit"/>
    <x v="0"/>
    <x v="3"/>
    <x v="1"/>
    <x v="87"/>
    <n v="979.59"/>
    <n v="2210.94"/>
    <n v="2210.94"/>
    <n v="0.15"/>
    <n v="11"/>
    <n v="20672.289000000001"/>
    <n v="10775.49"/>
    <n v="9896.7990000000009"/>
    <n v="0.47874712858358359"/>
    <x v="4"/>
    <x v="1"/>
    <s v="Asia →China →Beijing"/>
    <s v="High"/>
    <x v="4"/>
    <x v="0"/>
  </r>
  <r>
    <s v="ORD-2023-704111"/>
    <d v="2023-05-17T00:00:00"/>
    <d v="2023-06-15T00:00:00"/>
    <d v="2023-05-17T00:00:00"/>
    <d v="2023-06-15T00:00:00"/>
    <n v="29"/>
    <d v="2023-06-15T00:00:00"/>
    <n v="29"/>
    <x v="0"/>
    <x v="0"/>
    <x v="1"/>
    <x v="1"/>
    <s v="Durban"/>
    <s v="Enterprise"/>
    <x v="3"/>
    <x v="10"/>
    <x v="3"/>
    <x v="88"/>
    <n v="40.89"/>
    <n v="62.82"/>
    <n v="62.82"/>
    <n v="0.129"/>
    <n v="17"/>
    <n v="930.17574000000002"/>
    <n v="695.13"/>
    <n v="235.04574000000002"/>
    <n v="0.25268960465470752"/>
    <x v="4"/>
    <x v="1"/>
    <s v="Africa →South Africa →Durban"/>
    <s v="Low"/>
    <x v="4"/>
    <x v="0"/>
  </r>
  <r>
    <s v="ORD-2023-382272"/>
    <d v="2023-05-20T00:00:00"/>
    <d v="2023-05-18T00:00:00"/>
    <d v="2023-05-18T00:00:00"/>
    <d v="2023-05-20T00:00:00"/>
    <n v="2"/>
    <d v="2023-05-27T00:00:00"/>
    <n v="7"/>
    <x v="1"/>
    <x v="1"/>
    <x v="1"/>
    <x v="1"/>
    <s v="Durban"/>
    <s v="Corporate"/>
    <x v="0"/>
    <x v="1"/>
    <x v="6"/>
    <x v="89"/>
    <n v="917.88"/>
    <n v="1347.92"/>
    <n v="1347.92"/>
    <n v="0.34300000000000003"/>
    <n v="5"/>
    <n v="4427.9172000000008"/>
    <n v="4589.3999999999996"/>
    <n v="-161.48279999999886"/>
    <n v="-3.6469245630880096E-2"/>
    <x v="4"/>
    <x v="1"/>
    <s v="Africa →South Africa →Durban"/>
    <s v="Medium"/>
    <x v="4"/>
    <x v="0"/>
  </r>
  <r>
    <s v="ORD-2023-638181"/>
    <d v="2023-05-20T00:00:00"/>
    <d v="2023-06-07T00:00:00"/>
    <d v="2023-05-20T00:00:00"/>
    <d v="2023-06-07T00:00:00"/>
    <n v="18"/>
    <d v="2023-06-07T00:00:00"/>
    <n v="18"/>
    <x v="0"/>
    <x v="0"/>
    <x v="1"/>
    <x v="5"/>
    <s v="Port Harcourt"/>
    <s v="Enterprise"/>
    <x v="0"/>
    <x v="14"/>
    <x v="6"/>
    <x v="90"/>
    <n v="1120.06"/>
    <n v="2068.21"/>
    <n v="2068.21"/>
    <n v="7.8E-2"/>
    <n v="12"/>
    <n v="22882.675440000003"/>
    <n v="13440.72"/>
    <n v="9441.9554400000034"/>
    <n v="0.41262462795303284"/>
    <x v="4"/>
    <x v="1"/>
    <s v="Africa →Nigeria →Port Harcourt"/>
    <s v="High"/>
    <x v="4"/>
    <x v="0"/>
  </r>
  <r>
    <s v="ORD-2023-676553"/>
    <d v="2023-05-20T00:00:00"/>
    <d v="2023-06-19T00:00:00"/>
    <d v="2023-05-20T00:00:00"/>
    <d v="2023-06-19T00:00:00"/>
    <n v="30"/>
    <d v="2023-06-19T00:00:00"/>
    <n v="30"/>
    <x v="0"/>
    <x v="0"/>
    <x v="3"/>
    <x v="9"/>
    <s v="Delhi"/>
    <s v="Non-Profit"/>
    <x v="4"/>
    <x v="4"/>
    <x v="0"/>
    <x v="91"/>
    <n v="1161.2"/>
    <n v="878.73"/>
    <n v="878.73"/>
    <n v="0.19"/>
    <n v="31"/>
    <n v="22064.910300000003"/>
    <n v="35997.200000000004"/>
    <n v="-13932.289700000001"/>
    <n v="-0.63142290227212028"/>
    <x v="4"/>
    <x v="1"/>
    <s v="Asia →India →Delhi"/>
    <s v="Medium"/>
    <x v="4"/>
    <x v="0"/>
  </r>
  <r>
    <s v="ORD-2023-603650"/>
    <d v="2023-05-23T00:00:00"/>
    <d v="2023-06-10T00:00:00"/>
    <d v="2023-05-23T00:00:00"/>
    <d v="2023-06-10T00:00:00"/>
    <n v="18"/>
    <d v="2023-06-10T00:00:00"/>
    <n v="18"/>
    <x v="0"/>
    <x v="0"/>
    <x v="3"/>
    <x v="3"/>
    <s v="Shanghai"/>
    <s v="Corporate"/>
    <x v="0"/>
    <x v="14"/>
    <x v="6"/>
    <x v="92"/>
    <n v="54.62"/>
    <n v="48.94"/>
    <n v="48.94"/>
    <n v="0.14799999999999999"/>
    <n v="16"/>
    <n v="667.15008"/>
    <n v="873.92"/>
    <n v="-206.76991999999996"/>
    <n v="-0.3099301434543783"/>
    <x v="4"/>
    <x v="1"/>
    <s v="Asia →China →Shanghai"/>
    <s v="Low"/>
    <x v="4"/>
    <x v="0"/>
  </r>
  <r>
    <s v="ORD-2023-588455"/>
    <d v="2023-05-23T00:00:00"/>
    <d v="2023-05-25T00:00:00"/>
    <d v="2023-05-23T00:00:00"/>
    <d v="2023-05-25T00:00:00"/>
    <n v="2"/>
    <d v="2023-05-25T00:00:00"/>
    <n v="2"/>
    <x v="1"/>
    <x v="0"/>
    <x v="0"/>
    <x v="10"/>
    <s v="Rio de Janeiro"/>
    <s v="Enterprise"/>
    <x v="3"/>
    <x v="3"/>
    <x v="1"/>
    <x v="93"/>
    <n v="690.49"/>
    <n v="1290.29"/>
    <n v="1290.29"/>
    <n v="4.2000000000000003E-2"/>
    <n v="22"/>
    <n v="27194.152039999997"/>
    <n v="15190.78"/>
    <n v="12003.372039999997"/>
    <n v="0.44139534199647718"/>
    <x v="4"/>
    <x v="1"/>
    <s v="Americas →Brazil →Rio de Janeiro"/>
    <s v="Medium"/>
    <x v="4"/>
    <x v="0"/>
  </r>
  <r>
    <s v="ORD-2023-172095"/>
    <d v="2023-05-24T00:00:00"/>
    <d v="2023-06-21T00:00:00"/>
    <d v="2023-05-24T00:00:00"/>
    <d v="2023-06-21T00:00:00"/>
    <n v="28"/>
    <d v="2023-06-21T00:00:00"/>
    <n v="28"/>
    <x v="0"/>
    <x v="0"/>
    <x v="0"/>
    <x v="4"/>
    <s v="Austin"/>
    <s v="Small Business"/>
    <x v="4"/>
    <x v="6"/>
    <x v="5"/>
    <x v="94"/>
    <n v="813.97"/>
    <n v="1568.83"/>
    <n v="1568.83"/>
    <n v="1.7000000000000001E-2"/>
    <n v="15"/>
    <n v="23132.398349999996"/>
    <n v="12209.550000000001"/>
    <n v="10922.848349999995"/>
    <n v="0.4721883215364911"/>
    <x v="4"/>
    <x v="1"/>
    <s v="Americas →USA →Austin"/>
    <s v="Medium"/>
    <x v="4"/>
    <x v="0"/>
  </r>
  <r>
    <s v="ORD-2023-521280"/>
    <d v="2023-05-27T00:00:00"/>
    <d v="2023-06-19T00:00:00"/>
    <d v="2023-05-27T00:00:00"/>
    <d v="2023-06-19T00:00:00"/>
    <n v="23"/>
    <d v="2023-06-19T00:00:00"/>
    <n v="23"/>
    <x v="0"/>
    <x v="0"/>
    <x v="2"/>
    <x v="8"/>
    <s v="Berlin"/>
    <s v="Education"/>
    <x v="3"/>
    <x v="5"/>
    <x v="3"/>
    <x v="95"/>
    <n v="1471.58"/>
    <n v="2576.65"/>
    <n v="2576.65"/>
    <n v="4.0000000000000001E-3"/>
    <n v="7"/>
    <n v="17964.4038"/>
    <n v="10301.06"/>
    <n v="7663.3438000000006"/>
    <n v="0.4265849223451546"/>
    <x v="4"/>
    <x v="1"/>
    <s v="Europe →Germany →Berlin"/>
    <s v="High"/>
    <x v="4"/>
    <x v="0"/>
  </r>
  <r>
    <s v="ORD-2023-927385"/>
    <d v="2023-05-29T00:00:00"/>
    <d v="2023-06-20T00:00:00"/>
    <d v="2023-05-29T00:00:00"/>
    <d v="2023-06-20T00:00:00"/>
    <n v="22"/>
    <d v="2023-06-20T00:00:00"/>
    <n v="22"/>
    <x v="0"/>
    <x v="0"/>
    <x v="2"/>
    <x v="6"/>
    <s v="London"/>
    <s v="Small Business"/>
    <x v="2"/>
    <x v="10"/>
    <x v="6"/>
    <x v="96"/>
    <n v="1295.3900000000001"/>
    <n v="2905.06"/>
    <n v="2905.06"/>
    <n v="0.14799999999999999"/>
    <n v="8"/>
    <n v="19800.88896"/>
    <n v="10363.120000000001"/>
    <n v="9437.7689599999994"/>
    <n v="0.47663359857556614"/>
    <x v="4"/>
    <x v="1"/>
    <s v="Europe →United Kingdom →London"/>
    <s v="High"/>
    <x v="4"/>
    <x v="0"/>
  </r>
  <r>
    <s v="ORD-2023-349264"/>
    <d v="2023-06-01T00:00:00"/>
    <d v="2023-06-08T00:00:00"/>
    <d v="2023-06-01T00:00:00"/>
    <d v="2023-06-08T00:00:00"/>
    <n v="7"/>
    <d v="2023-06-08T00:00:00"/>
    <n v="7"/>
    <x v="1"/>
    <x v="0"/>
    <x v="2"/>
    <x v="8"/>
    <s v="Frankfurt"/>
    <s v="Consumer"/>
    <x v="1"/>
    <x v="1"/>
    <x v="2"/>
    <x v="97"/>
    <n v="804.17"/>
    <n v="1072.29"/>
    <n v="1072.29"/>
    <n v="3.2000000000000001E-2"/>
    <n v="5"/>
    <n v="5189.8836000000001"/>
    <n v="4020.85"/>
    <n v="1169.0336000000002"/>
    <n v="0.2252523736755869"/>
    <x v="5"/>
    <x v="1"/>
    <s v="Europe →Germany →Frankfurt"/>
    <s v="Medium"/>
    <x v="5"/>
    <x v="0"/>
  </r>
  <r>
    <s v="ORD-2023-868460"/>
    <d v="2023-06-01T00:00:00"/>
    <d v="2023-06-01T00:00:00"/>
    <d v="2023-06-01T00:00:00"/>
    <d v="2023-06-01T00:00:00"/>
    <n v="0"/>
    <d v="2023-06-01T00:00:00"/>
    <n v="0"/>
    <x v="1"/>
    <x v="0"/>
    <x v="3"/>
    <x v="9"/>
    <s v="Bengaluru"/>
    <s v="Corporate"/>
    <x v="3"/>
    <x v="14"/>
    <x v="3"/>
    <x v="98"/>
    <n v="669.37"/>
    <n v="997.2"/>
    <n v="997.2"/>
    <n v="8.2000000000000003E-2"/>
    <n v="5"/>
    <n v="4577.1480000000001"/>
    <n v="3346.85"/>
    <n v="1230.2980000000002"/>
    <n v="0.26879139586484863"/>
    <x v="5"/>
    <x v="1"/>
    <s v="Asia →India →Bengaluru"/>
    <s v="Medium"/>
    <x v="5"/>
    <x v="0"/>
  </r>
  <r>
    <s v="ORD-2023-244375"/>
    <d v="2023-06-03T00:00:00"/>
    <d v="2023-07-01T00:00:00"/>
    <d v="2023-06-03T00:00:00"/>
    <d v="2023-07-01T00:00:00"/>
    <n v="28"/>
    <d v="2023-07-01T00:00:00"/>
    <n v="28"/>
    <x v="0"/>
    <x v="0"/>
    <x v="0"/>
    <x v="10"/>
    <s v="Brasília"/>
    <s v="Small Business"/>
    <x v="4"/>
    <x v="1"/>
    <x v="6"/>
    <x v="99"/>
    <n v="860.4"/>
    <n v="2066.6"/>
    <n v="2066.6"/>
    <n v="0.01"/>
    <n v="3"/>
    <n v="6137.8019999999988"/>
    <n v="2581.1999999999998"/>
    <n v="3556.601999999999"/>
    <n v="0.57945857491004105"/>
    <x v="5"/>
    <x v="1"/>
    <s v="Americas →Brazil →Brasília"/>
    <s v="High"/>
    <x v="5"/>
    <x v="0"/>
  </r>
  <r>
    <s v="ORD-2023-386663"/>
    <d v="2023-06-05T00:00:00"/>
    <d v="2023-06-28T00:00:00"/>
    <d v="2023-06-05T00:00:00"/>
    <d v="2023-06-28T00:00:00"/>
    <n v="23"/>
    <d v="2023-06-28T00:00:00"/>
    <n v="23"/>
    <x v="0"/>
    <x v="0"/>
    <x v="2"/>
    <x v="6"/>
    <s v="Birmingham"/>
    <s v="Corporate"/>
    <x v="2"/>
    <x v="10"/>
    <x v="1"/>
    <x v="100"/>
    <n v="605.82000000000005"/>
    <n v="771.12"/>
    <n v="771.12"/>
    <n v="0.13200000000000001"/>
    <n v="19"/>
    <n v="12717.311040000001"/>
    <n v="11510.580000000002"/>
    <n v="1206.7310399999988"/>
    <n v="9.4888851597986767E-2"/>
    <x v="5"/>
    <x v="1"/>
    <s v="Europe →United Kingdom →Birmingham"/>
    <s v="Low"/>
    <x v="5"/>
    <x v="0"/>
  </r>
  <r>
    <s v="ORD-2023-427304"/>
    <d v="2023-06-09T00:00:00"/>
    <d v="2023-06-19T00:00:00"/>
    <d v="2023-06-09T00:00:00"/>
    <d v="2023-06-19T00:00:00"/>
    <n v="10"/>
    <d v="2023-06-19T00:00:00"/>
    <n v="10"/>
    <x v="0"/>
    <x v="0"/>
    <x v="3"/>
    <x v="3"/>
    <s v="Beijing"/>
    <s v="Enterprise"/>
    <x v="3"/>
    <x v="7"/>
    <x v="5"/>
    <x v="101"/>
    <n v="339.61"/>
    <n v="621.02"/>
    <n v="621.02"/>
    <n v="7.0999999999999994E-2"/>
    <n v="10"/>
    <n v="5769.2758000000003"/>
    <n v="3396.1000000000004"/>
    <n v="2373.1758"/>
    <n v="0.41134726129750981"/>
    <x v="5"/>
    <x v="1"/>
    <s v="Asia →China →Beijing"/>
    <s v="Low"/>
    <x v="5"/>
    <x v="0"/>
  </r>
  <r>
    <s v="ORD-2023-536542"/>
    <d v="2023-06-10T00:00:00"/>
    <d v="2023-06-18T00:00:00"/>
    <d v="2023-06-10T00:00:00"/>
    <d v="2023-06-18T00:00:00"/>
    <n v="8"/>
    <d v="2023-06-18T00:00:00"/>
    <n v="8"/>
    <x v="0"/>
    <x v="0"/>
    <x v="1"/>
    <x v="7"/>
    <s v="Nakuru"/>
    <s v="Enterprise"/>
    <x v="2"/>
    <x v="4"/>
    <x v="2"/>
    <x v="102"/>
    <n v="894.23"/>
    <n v="1421.55"/>
    <n v="1421.55"/>
    <n v="0.109"/>
    <n v="3"/>
    <n v="3799.8031499999997"/>
    <n v="2682.69"/>
    <n v="1117.1131499999997"/>
    <n v="0.29399237431549574"/>
    <x v="5"/>
    <x v="1"/>
    <s v="Africa →Kenya →Nakuru"/>
    <s v="Medium"/>
    <x v="5"/>
    <x v="0"/>
  </r>
  <r>
    <s v="ORD-2023-769774"/>
    <d v="2023-06-13T00:00:00"/>
    <d v="2023-06-24T00:00:00"/>
    <d v="2023-06-13T00:00:00"/>
    <d v="2023-06-24T00:00:00"/>
    <n v="11"/>
    <d v="2023-06-24T00:00:00"/>
    <n v="11"/>
    <x v="0"/>
    <x v="0"/>
    <x v="0"/>
    <x v="0"/>
    <s v="Toronto"/>
    <s v="Corporate"/>
    <x v="1"/>
    <x v="11"/>
    <x v="1"/>
    <x v="103"/>
    <n v="247.07"/>
    <n v="495.19"/>
    <n v="495.19"/>
    <n v="2.8000000000000001E-2"/>
    <n v="4"/>
    <n v="1925.29872"/>
    <n v="988.28"/>
    <n v="937.01872000000003"/>
    <n v="0.48668744764968214"/>
    <x v="5"/>
    <x v="1"/>
    <s v="Americas →Canada →Toronto"/>
    <s v="Low"/>
    <x v="5"/>
    <x v="0"/>
  </r>
  <r>
    <s v="ORD-2023-290279"/>
    <d v="2023-06-14T00:00:00"/>
    <d v="2023-06-16T00:00:00"/>
    <d v="2023-06-14T00:00:00"/>
    <d v="2023-06-16T00:00:00"/>
    <n v="2"/>
    <d v="2023-06-16T00:00:00"/>
    <n v="2"/>
    <x v="1"/>
    <x v="1"/>
    <x v="2"/>
    <x v="6"/>
    <s v="Manchester"/>
    <s v="Non-Profit"/>
    <x v="2"/>
    <x v="10"/>
    <x v="6"/>
    <x v="104"/>
    <n v="357.36"/>
    <n v="703.62"/>
    <n v="703.62"/>
    <n v="0.25700000000000001"/>
    <n v="20"/>
    <n v="10455.7932"/>
    <n v="7147.2000000000007"/>
    <n v="3308.5931999999993"/>
    <n v="0.31643636563125593"/>
    <x v="5"/>
    <x v="1"/>
    <s v="Europe →United Kingdom →Manchester"/>
    <s v="Low"/>
    <x v="5"/>
    <x v="0"/>
  </r>
  <r>
    <s v="ORD-2023-715175"/>
    <d v="2023-06-15T00:00:00"/>
    <d v="2023-06-23T00:00:00"/>
    <d v="2023-06-15T00:00:00"/>
    <d v="2023-06-23T00:00:00"/>
    <n v="8"/>
    <d v="2023-06-23T00:00:00"/>
    <n v="8"/>
    <x v="0"/>
    <x v="0"/>
    <x v="0"/>
    <x v="4"/>
    <s v="San Francisco"/>
    <s v="Consumer"/>
    <x v="0"/>
    <x v="5"/>
    <x v="5"/>
    <x v="105"/>
    <n v="1097.0899999999999"/>
    <n v="2182.31"/>
    <n v="2182.31"/>
    <n v="0.112"/>
    <n v="9"/>
    <n v="17441.021520000002"/>
    <n v="9873.81"/>
    <n v="7567.2115200000026"/>
    <n v="0.43387432962699546"/>
    <x v="5"/>
    <x v="1"/>
    <s v="Americas →USA →San Francisco"/>
    <s v="High"/>
    <x v="5"/>
    <x v="0"/>
  </r>
  <r>
    <s v="ORD-2023-173313"/>
    <d v="2023-06-15T00:00:00"/>
    <d v="2023-07-12T00:00:00"/>
    <d v="2023-06-15T00:00:00"/>
    <d v="2023-07-12T00:00:00"/>
    <n v="27"/>
    <d v="2023-07-12T00:00:00"/>
    <n v="27"/>
    <x v="0"/>
    <x v="0"/>
    <x v="2"/>
    <x v="6"/>
    <s v="Manchester"/>
    <s v="Consumer"/>
    <x v="2"/>
    <x v="12"/>
    <x v="3"/>
    <x v="106"/>
    <n v="751.28"/>
    <n v="1111.8800000000001"/>
    <n v="1111.8800000000001"/>
    <n v="0.13500000000000001"/>
    <n v="7"/>
    <n v="6732.4334000000008"/>
    <n v="5258.96"/>
    <n v="1473.4734000000008"/>
    <n v="0.21886193482433863"/>
    <x v="5"/>
    <x v="1"/>
    <s v="Europe →United Kingdom →Manchester"/>
    <s v="Medium"/>
    <x v="5"/>
    <x v="0"/>
  </r>
  <r>
    <s v="ORD-2023-651638"/>
    <d v="2023-06-17T00:00:00"/>
    <d v="2023-06-24T00:00:00"/>
    <d v="2023-06-17T00:00:00"/>
    <d v="2023-06-24T00:00:00"/>
    <n v="7"/>
    <d v="2023-06-24T00:00:00"/>
    <n v="7"/>
    <x v="1"/>
    <x v="0"/>
    <x v="0"/>
    <x v="4"/>
    <s v="San Francisco"/>
    <s v="Corporate"/>
    <x v="3"/>
    <x v="12"/>
    <x v="1"/>
    <x v="107"/>
    <n v="313.99"/>
    <n v="454.42"/>
    <n v="454.42"/>
    <n v="0.129"/>
    <n v="9"/>
    <n v="3562.1983800000003"/>
    <n v="2825.91"/>
    <n v="736.28838000000042"/>
    <n v="0.20669493988147858"/>
    <x v="5"/>
    <x v="1"/>
    <s v="Americas →USA →San Francisco"/>
    <s v="Low"/>
    <x v="5"/>
    <x v="0"/>
  </r>
  <r>
    <s v="ORD-2023-602648"/>
    <d v="2023-06-20T00:00:00"/>
    <d v="2023-07-08T00:00:00"/>
    <d v="2023-06-20T00:00:00"/>
    <d v="2023-07-08T00:00:00"/>
    <n v="18"/>
    <d v="2023-07-08T00:00:00"/>
    <n v="18"/>
    <x v="0"/>
    <x v="0"/>
    <x v="0"/>
    <x v="4"/>
    <s v="Austin"/>
    <s v="Non-Profit"/>
    <x v="2"/>
    <x v="7"/>
    <x v="5"/>
    <x v="108"/>
    <n v="337"/>
    <n v="511.03"/>
    <n v="511.03"/>
    <n v="0.108"/>
    <n v="7"/>
    <n v="3190.8713200000002"/>
    <n v="2359"/>
    <n v="831.8713200000002"/>
    <n v="0.26070349963219458"/>
    <x v="5"/>
    <x v="1"/>
    <s v="Americas →USA →Austin"/>
    <s v="Low"/>
    <x v="5"/>
    <x v="0"/>
  </r>
  <r>
    <s v="ORD-2023-594955"/>
    <d v="2023-06-20T00:00:00"/>
    <d v="2023-07-08T00:00:00"/>
    <d v="2023-06-20T00:00:00"/>
    <d v="2023-07-08T00:00:00"/>
    <n v="18"/>
    <d v="2023-07-08T00:00:00"/>
    <n v="18"/>
    <x v="0"/>
    <x v="0"/>
    <x v="0"/>
    <x v="4"/>
    <s v="New York"/>
    <s v="Consumer"/>
    <x v="4"/>
    <x v="5"/>
    <x v="4"/>
    <x v="109"/>
    <n v="1145.53"/>
    <n v="1278.3"/>
    <n v="1278.3"/>
    <n v="0.09"/>
    <n v="41"/>
    <n v="47693.373"/>
    <n v="46966.729999999996"/>
    <n v="726.64300000000367"/>
    <n v="1.5235722581416158E-2"/>
    <x v="5"/>
    <x v="1"/>
    <s v="Americas →USA →New York"/>
    <s v="Medium"/>
    <x v="5"/>
    <x v="0"/>
  </r>
  <r>
    <s v="ORD-2023-434071"/>
    <d v="2023-06-20T00:00:00"/>
    <d v="2023-07-04T00:00:00"/>
    <d v="2023-06-20T00:00:00"/>
    <d v="2023-07-04T00:00:00"/>
    <n v="14"/>
    <d v="2023-07-04T00:00:00"/>
    <n v="14"/>
    <x v="0"/>
    <x v="0"/>
    <x v="0"/>
    <x v="10"/>
    <s v="Brasília"/>
    <s v="Non-Profit"/>
    <x v="2"/>
    <x v="11"/>
    <x v="4"/>
    <x v="110"/>
    <n v="1292.8599999999999"/>
    <n v="2981.01"/>
    <n v="2981.01"/>
    <n v="0.14199999999999999"/>
    <n v="12"/>
    <n v="30692.47896"/>
    <n v="15514.32"/>
    <n v="15178.158960000001"/>
    <n v="0.49452372288927687"/>
    <x v="5"/>
    <x v="1"/>
    <s v="Americas →Brazil →Brasília"/>
    <s v="High"/>
    <x v="5"/>
    <x v="0"/>
  </r>
  <r>
    <s v="ORD-2023-399631"/>
    <d v="2023-06-22T00:00:00"/>
    <d v="2023-07-21T00:00:00"/>
    <d v="2023-06-22T00:00:00"/>
    <d v="2023-07-21T00:00:00"/>
    <n v="29"/>
    <d v="2023-07-21T00:00:00"/>
    <n v="29"/>
    <x v="0"/>
    <x v="0"/>
    <x v="2"/>
    <x v="2"/>
    <s v="Lyon"/>
    <s v="Corporate"/>
    <x v="3"/>
    <x v="13"/>
    <x v="3"/>
    <x v="111"/>
    <n v="734.34"/>
    <n v="887.9"/>
    <n v="887.9"/>
    <n v="2.5000000000000001E-2"/>
    <n v="12"/>
    <n v="10388.429999999998"/>
    <n v="8812.08"/>
    <n v="1576.3499999999985"/>
    <n v="0.15174092716608753"/>
    <x v="5"/>
    <x v="1"/>
    <s v="Europe →France →Lyon"/>
    <s v="Medium"/>
    <x v="5"/>
    <x v="0"/>
  </r>
  <r>
    <s v="ORD-2023-128295"/>
    <d v="2023-06-23T00:00:00"/>
    <d v="2023-07-03T00:00:00"/>
    <d v="2023-06-23T00:00:00"/>
    <d v="2023-07-03T00:00:00"/>
    <n v="10"/>
    <d v="2023-07-03T00:00:00"/>
    <n v="10"/>
    <x v="0"/>
    <x v="0"/>
    <x v="1"/>
    <x v="5"/>
    <s v="Abuja"/>
    <s v="Consumer"/>
    <x v="1"/>
    <x v="13"/>
    <x v="1"/>
    <x v="112"/>
    <n v="337.75"/>
    <n v="548.89"/>
    <n v="548.89"/>
    <n v="0"/>
    <n v="13"/>
    <n v="7135.57"/>
    <n v="4390.75"/>
    <n v="2744.8199999999997"/>
    <n v="0.38466723751571352"/>
    <x v="5"/>
    <x v="1"/>
    <s v="Africa →Nigeria →Abuja"/>
    <s v="Low"/>
    <x v="5"/>
    <x v="0"/>
  </r>
  <r>
    <s v="ORD-2023-921939"/>
    <d v="2023-06-23T00:00:00"/>
    <d v="2023-07-18T00:00:00"/>
    <d v="2023-06-23T00:00:00"/>
    <d v="2023-07-18T00:00:00"/>
    <n v="25"/>
    <d v="2023-07-18T00:00:00"/>
    <n v="25"/>
    <x v="0"/>
    <x v="0"/>
    <x v="0"/>
    <x v="0"/>
    <s v="Vancouver"/>
    <s v="Enterprise"/>
    <x v="1"/>
    <x v="8"/>
    <x v="2"/>
    <x v="113"/>
    <n v="807.02"/>
    <n v="1435.54"/>
    <n v="1435.54"/>
    <n v="0"/>
    <n v="23"/>
    <n v="33017.42"/>
    <n v="18561.46"/>
    <n v="14455.96"/>
    <n v="0.43782827368098415"/>
    <x v="5"/>
    <x v="1"/>
    <s v="Americas →Canada →Vancouver"/>
    <s v="Medium"/>
    <x v="5"/>
    <x v="0"/>
  </r>
  <r>
    <s v="ORD-2023-374486"/>
    <d v="2023-06-24T00:00:00"/>
    <d v="2023-06-23T00:00:00"/>
    <d v="2023-06-23T00:00:00"/>
    <d v="2023-06-24T00:00:00"/>
    <n v="1"/>
    <d v="2023-07-01T00:00:00"/>
    <n v="7"/>
    <x v="1"/>
    <x v="0"/>
    <x v="0"/>
    <x v="10"/>
    <s v="Rio de Janeiro"/>
    <s v="Non-Profit"/>
    <x v="3"/>
    <x v="14"/>
    <x v="1"/>
    <x v="114"/>
    <n v="804.01"/>
    <n v="1405.07"/>
    <n v="1405.07"/>
    <n v="9.6000000000000002E-2"/>
    <n v="8"/>
    <n v="10161.46624"/>
    <n v="6432.08"/>
    <n v="3729.3862399999998"/>
    <n v="0.36701260939287439"/>
    <x v="5"/>
    <x v="1"/>
    <s v="Americas →Brazil →Rio de Janeiro"/>
    <s v="Medium"/>
    <x v="5"/>
    <x v="0"/>
  </r>
  <r>
    <s v="ORD-2023-610470"/>
    <d v="2023-06-24T00:00:00"/>
    <d v="2023-07-21T00:00:00"/>
    <d v="2023-06-24T00:00:00"/>
    <d v="2023-07-21T00:00:00"/>
    <n v="27"/>
    <d v="2023-07-21T00:00:00"/>
    <n v="27"/>
    <x v="0"/>
    <x v="1"/>
    <x v="3"/>
    <x v="11"/>
    <s v="Nagoya"/>
    <s v="Consumer"/>
    <x v="4"/>
    <x v="13"/>
    <x v="2"/>
    <x v="115"/>
    <n v="554.76"/>
    <n v="728.69"/>
    <n v="728.69"/>
    <n v="0.22"/>
    <n v="7"/>
    <n v="3978.6474000000003"/>
    <n v="3883.3199999999997"/>
    <n v="95.32740000000058"/>
    <n v="2.395975074343119E-2"/>
    <x v="5"/>
    <x v="1"/>
    <s v="Asia →Japan →Nagoya"/>
    <s v="Low"/>
    <x v="5"/>
    <x v="0"/>
  </r>
  <r>
    <s v="ORD-2023-890605"/>
    <d v="2023-06-24T00:00:00"/>
    <d v="2023-06-22T00:00:00"/>
    <d v="2023-06-22T00:00:00"/>
    <d v="2023-06-24T00:00:00"/>
    <n v="2"/>
    <d v="2023-07-01T00:00:00"/>
    <n v="7"/>
    <x v="1"/>
    <x v="0"/>
    <x v="0"/>
    <x v="0"/>
    <s v="Toronto"/>
    <s v="Non-Profit"/>
    <x v="3"/>
    <x v="3"/>
    <x v="3"/>
    <x v="116"/>
    <n v="471.42"/>
    <n v="824.81"/>
    <n v="824.81"/>
    <n v="8.7999999999999995E-2"/>
    <n v="15"/>
    <n v="11283.400799999999"/>
    <n v="7071.3"/>
    <n v="4212.1007999999993"/>
    <n v="0.37330064531608231"/>
    <x v="5"/>
    <x v="1"/>
    <s v="Americas →Canada →Toronto"/>
    <s v="Medium"/>
    <x v="5"/>
    <x v="0"/>
  </r>
  <r>
    <s v="ORD-2023-258768"/>
    <d v="2023-06-29T00:00:00"/>
    <d v="2023-07-02T00:00:00"/>
    <d v="2023-06-29T00:00:00"/>
    <d v="2023-07-02T00:00:00"/>
    <n v="3"/>
    <d v="2023-07-02T00:00:00"/>
    <n v="3"/>
    <x v="1"/>
    <x v="0"/>
    <x v="3"/>
    <x v="11"/>
    <s v="Nagoya"/>
    <s v="Education"/>
    <x v="4"/>
    <x v="7"/>
    <x v="5"/>
    <x v="117"/>
    <n v="55.65"/>
    <n v="83.57"/>
    <n v="83.57"/>
    <n v="6.6000000000000003E-2"/>
    <n v="8"/>
    <n v="624.43503999999996"/>
    <n v="445.2"/>
    <n v="179.23503999999997"/>
    <n v="0.2870355257449998"/>
    <x v="5"/>
    <x v="1"/>
    <s v="Asia →Japan →Nagoya"/>
    <s v="Low"/>
    <x v="5"/>
    <x v="0"/>
  </r>
  <r>
    <s v="ORD-2023-159821"/>
    <d v="2023-07-01T00:00:00"/>
    <d v="2023-07-08T00:00:00"/>
    <d v="2023-07-01T00:00:00"/>
    <d v="2023-07-08T00:00:00"/>
    <n v="7"/>
    <d v="2023-07-08T00:00:00"/>
    <n v="7"/>
    <x v="1"/>
    <x v="0"/>
    <x v="1"/>
    <x v="5"/>
    <s v="Port Harcourt"/>
    <s v="Corporate"/>
    <x v="3"/>
    <x v="1"/>
    <x v="0"/>
    <x v="118"/>
    <n v="834.26"/>
    <n v="1780.56"/>
    <n v="1780.56"/>
    <n v="1.4E-2"/>
    <n v="47"/>
    <n v="82514.711519999997"/>
    <n v="39210.22"/>
    <n v="43304.491519999996"/>
    <n v="0.5248093427497933"/>
    <x v="6"/>
    <x v="2"/>
    <s v="Africa →Nigeria →Port Harcourt"/>
    <s v="High"/>
    <x v="6"/>
    <x v="0"/>
  </r>
  <r>
    <s v="ORD-2023-215819"/>
    <d v="2023-07-01T00:00:00"/>
    <d v="2023-07-11T00:00:00"/>
    <d v="2023-07-01T00:00:00"/>
    <d v="2023-07-11T00:00:00"/>
    <n v="10"/>
    <d v="2023-07-11T00:00:00"/>
    <n v="10"/>
    <x v="0"/>
    <x v="0"/>
    <x v="2"/>
    <x v="2"/>
    <s v="Paris"/>
    <s v="Corporate"/>
    <x v="2"/>
    <x v="7"/>
    <x v="4"/>
    <x v="119"/>
    <n v="479.5"/>
    <n v="656.66"/>
    <n v="656.66"/>
    <n v="0.14899999999999999"/>
    <n v="14"/>
    <n v="7823.4472399999995"/>
    <n v="6713"/>
    <n v="1110.4472399999995"/>
    <n v="0.14193835606412289"/>
    <x v="6"/>
    <x v="2"/>
    <s v="Europe →France →Paris"/>
    <s v="Low"/>
    <x v="6"/>
    <x v="0"/>
  </r>
  <r>
    <s v="ORD-2023-453699"/>
    <d v="2023-07-01T00:00:00"/>
    <d v="2023-07-08T00:00:00"/>
    <d v="2023-07-01T00:00:00"/>
    <d v="2023-07-08T00:00:00"/>
    <n v="7"/>
    <d v="2023-07-08T00:00:00"/>
    <n v="7"/>
    <x v="1"/>
    <x v="0"/>
    <x v="2"/>
    <x v="8"/>
    <s v="Frankfurt"/>
    <s v="Small Business"/>
    <x v="0"/>
    <x v="8"/>
    <x v="0"/>
    <x v="120"/>
    <n v="460.21"/>
    <n v="1139.1500000000001"/>
    <n v="1139.1500000000001"/>
    <n v="0.115"/>
    <n v="14"/>
    <n v="14114.068500000001"/>
    <n v="6442.94"/>
    <n v="7671.1285000000016"/>
    <n v="0.54350937151821255"/>
    <x v="6"/>
    <x v="2"/>
    <s v="Europe →Germany →Frankfurt"/>
    <s v="Medium"/>
    <x v="6"/>
    <x v="0"/>
  </r>
  <r>
    <s v="ORD-2023-920483"/>
    <d v="2023-07-02T00:00:00"/>
    <d v="2023-08-01T00:00:00"/>
    <d v="2023-07-02T00:00:00"/>
    <d v="2023-08-01T00:00:00"/>
    <n v="30"/>
    <d v="2023-08-01T00:00:00"/>
    <n v="30"/>
    <x v="0"/>
    <x v="0"/>
    <x v="2"/>
    <x v="6"/>
    <s v="Birmingham"/>
    <s v="Small Business"/>
    <x v="3"/>
    <x v="0"/>
    <x v="6"/>
    <x v="121"/>
    <n v="137.46"/>
    <n v="188.3"/>
    <n v="188.3"/>
    <n v="3.7999999999999999E-2"/>
    <n v="37"/>
    <n v="6702.3501999999999"/>
    <n v="5086.0200000000004"/>
    <n v="1616.3301999999994"/>
    <n v="0.24115872071262398"/>
    <x v="6"/>
    <x v="2"/>
    <s v="Europe →United Kingdom →Birmingham"/>
    <s v="Low"/>
    <x v="6"/>
    <x v="0"/>
  </r>
  <r>
    <s v="ORD-2023-497686"/>
    <d v="2023-07-03T00:00:00"/>
    <d v="2023-07-23T00:00:00"/>
    <d v="2023-07-03T00:00:00"/>
    <d v="2023-07-23T00:00:00"/>
    <n v="20"/>
    <d v="2023-07-23T00:00:00"/>
    <n v="20"/>
    <x v="0"/>
    <x v="0"/>
    <x v="1"/>
    <x v="1"/>
    <s v="Johannesburg"/>
    <s v="Small Business"/>
    <x v="0"/>
    <x v="7"/>
    <x v="0"/>
    <x v="122"/>
    <n v="1001.96"/>
    <n v="1254.95"/>
    <n v="1254.95"/>
    <n v="4.4999999999999998E-2"/>
    <n v="18"/>
    <n v="21572.590500000002"/>
    <n v="18035.28"/>
    <n v="3537.3105000000032"/>
    <n v="0.16397244920585699"/>
    <x v="6"/>
    <x v="2"/>
    <s v="Africa →South Africa →Johannesburg"/>
    <s v="Medium"/>
    <x v="6"/>
    <x v="0"/>
  </r>
  <r>
    <s v="ORD-2023-309373"/>
    <d v="2023-07-05T00:00:00"/>
    <d v="2023-07-14T00:00:00"/>
    <d v="2023-07-05T00:00:00"/>
    <d v="2023-07-14T00:00:00"/>
    <n v="9"/>
    <d v="2023-07-14T00:00:00"/>
    <n v="9"/>
    <x v="0"/>
    <x v="0"/>
    <x v="0"/>
    <x v="10"/>
    <s v="Brasília"/>
    <s v="Enterprise"/>
    <x v="2"/>
    <x v="0"/>
    <x v="4"/>
    <x v="123"/>
    <n v="578.85"/>
    <n v="998.76"/>
    <n v="998.76"/>
    <n v="8.2000000000000003E-2"/>
    <n v="28"/>
    <n v="25672.127039999999"/>
    <n v="16207.800000000001"/>
    <n v="9464.3270399999983"/>
    <n v="0.36866158480960831"/>
    <x v="6"/>
    <x v="2"/>
    <s v="Americas →Brazil →Brasília"/>
    <s v="Medium"/>
    <x v="6"/>
    <x v="0"/>
  </r>
  <r>
    <s v="ORD-2023-621393"/>
    <d v="2023-07-07T00:00:00"/>
    <d v="2023-07-13T00:00:00"/>
    <d v="2023-07-07T00:00:00"/>
    <d v="2023-07-13T00:00:00"/>
    <n v="6"/>
    <d v="2023-07-13T00:00:00"/>
    <n v="6"/>
    <x v="1"/>
    <x v="0"/>
    <x v="1"/>
    <x v="1"/>
    <s v="Cape Town"/>
    <s v="Small Business"/>
    <x v="4"/>
    <x v="0"/>
    <x v="3"/>
    <x v="124"/>
    <n v="612.59"/>
    <n v="1424.74"/>
    <n v="1424.74"/>
    <n v="4.3999999999999997E-2"/>
    <n v="15"/>
    <n v="20430.771599999996"/>
    <n v="9188.85"/>
    <n v="11241.921599999996"/>
    <n v="0.55024459281802152"/>
    <x v="6"/>
    <x v="2"/>
    <s v="Africa →South Africa →Cape Town"/>
    <s v="Medium"/>
    <x v="6"/>
    <x v="0"/>
  </r>
  <r>
    <s v="ORD-2023-286720"/>
    <d v="2023-07-08T00:00:00"/>
    <d v="2023-07-09T00:00:00"/>
    <d v="2023-07-08T00:00:00"/>
    <d v="2023-07-09T00:00:00"/>
    <n v="1"/>
    <d v="2023-07-09T00:00:00"/>
    <n v="1"/>
    <x v="1"/>
    <x v="0"/>
    <x v="1"/>
    <x v="7"/>
    <s v="Nairobi"/>
    <s v="Consumer"/>
    <x v="1"/>
    <x v="2"/>
    <x v="0"/>
    <x v="125"/>
    <n v="1258.72"/>
    <n v="2797.41"/>
    <n v="2797.41"/>
    <n v="0"/>
    <n v="7"/>
    <n v="19581.87"/>
    <n v="8811.0400000000009"/>
    <n v="10770.829999999998"/>
    <n v="0.55004093071805704"/>
    <x v="6"/>
    <x v="2"/>
    <s v="Africa →Kenya →Nairobi"/>
    <s v="High"/>
    <x v="6"/>
    <x v="0"/>
  </r>
  <r>
    <s v="ORD-2023-539967"/>
    <d v="2023-07-09T00:00:00"/>
    <d v="2023-07-19T00:00:00"/>
    <d v="2023-07-09T00:00:00"/>
    <d v="2023-07-19T00:00:00"/>
    <n v="10"/>
    <d v="2023-07-19T00:00:00"/>
    <n v="10"/>
    <x v="0"/>
    <x v="0"/>
    <x v="3"/>
    <x v="11"/>
    <s v="Tokyo"/>
    <s v="Enterprise"/>
    <x v="0"/>
    <x v="8"/>
    <x v="6"/>
    <x v="126"/>
    <n v="141.26"/>
    <n v="206.88"/>
    <n v="206.88"/>
    <n v="0.107"/>
    <n v="9"/>
    <n v="1662.6945600000001"/>
    <n v="1271.3399999999999"/>
    <n v="391.35456000000022"/>
    <n v="0.23537369365062469"/>
    <x v="6"/>
    <x v="2"/>
    <s v="Asia →Japan →Tokyo"/>
    <s v="Low"/>
    <x v="6"/>
    <x v="0"/>
  </r>
  <r>
    <s v="ORD-2023-292714"/>
    <d v="2023-07-10T00:00:00"/>
    <d v="2023-08-01T00:00:00"/>
    <d v="2023-07-10T00:00:00"/>
    <d v="2023-08-01T00:00:00"/>
    <n v="22"/>
    <d v="2023-08-01T00:00:00"/>
    <n v="22"/>
    <x v="0"/>
    <x v="0"/>
    <x v="2"/>
    <x v="2"/>
    <s v="Marseille"/>
    <s v="Consumer"/>
    <x v="4"/>
    <x v="0"/>
    <x v="1"/>
    <x v="127"/>
    <n v="1303.56"/>
    <n v="1791.37"/>
    <n v="1791.37"/>
    <n v="0.126"/>
    <n v="22"/>
    <n v="34444.462359999998"/>
    <n v="28678.32"/>
    <n v="5766.142359999998"/>
    <n v="0.16740404596055358"/>
    <x v="6"/>
    <x v="2"/>
    <s v="Europe →France →Marseille"/>
    <s v="High"/>
    <x v="6"/>
    <x v="0"/>
  </r>
  <r>
    <s v="ORD-2023-825084"/>
    <d v="2023-07-14T00:00:00"/>
    <d v="2023-07-21T00:00:00"/>
    <d v="2023-07-14T00:00:00"/>
    <d v="2023-07-21T00:00:00"/>
    <n v="7"/>
    <d v="2023-07-21T00:00:00"/>
    <n v="7"/>
    <x v="1"/>
    <x v="1"/>
    <x v="1"/>
    <x v="1"/>
    <s v="Durban"/>
    <s v="Enterprise"/>
    <x v="4"/>
    <x v="15"/>
    <x v="5"/>
    <x v="128"/>
    <n v="620.74"/>
    <n v="1330.07"/>
    <n v="1330.07"/>
    <n v="0.29899999999999999"/>
    <n v="28"/>
    <n v="26106.613960000002"/>
    <n v="17380.72"/>
    <n v="8725.8939600000012"/>
    <n v="0.33424073965967516"/>
    <x v="6"/>
    <x v="2"/>
    <s v="Africa →South Africa →Durban"/>
    <s v="Medium"/>
    <x v="6"/>
    <x v="0"/>
  </r>
  <r>
    <s v="ORD-2023-479747"/>
    <d v="2023-07-14T00:00:00"/>
    <d v="2023-07-14T00:00:00"/>
    <d v="2023-07-14T00:00:00"/>
    <d v="2023-07-14T00:00:00"/>
    <n v="0"/>
    <d v="2023-07-14T00:00:00"/>
    <n v="0"/>
    <x v="1"/>
    <x v="0"/>
    <x v="1"/>
    <x v="5"/>
    <s v="Lagos"/>
    <s v="Education"/>
    <x v="3"/>
    <x v="12"/>
    <x v="3"/>
    <x v="129"/>
    <n v="956.38"/>
    <n v="1454.22"/>
    <n v="1454.22"/>
    <n v="3.9E-2"/>
    <n v="19"/>
    <n v="26552.60298"/>
    <n v="18171.22"/>
    <n v="8381.3829799999985"/>
    <n v="0.31565202802576603"/>
    <x v="6"/>
    <x v="2"/>
    <s v="Africa →Nigeria →Lagos"/>
    <s v="Medium"/>
    <x v="6"/>
    <x v="0"/>
  </r>
  <r>
    <s v="ORD-2023-569862"/>
    <d v="2023-07-16T00:00:00"/>
    <d v="2023-08-13T00:00:00"/>
    <d v="2023-07-16T00:00:00"/>
    <d v="2023-08-13T00:00:00"/>
    <n v="28"/>
    <d v="2023-08-13T00:00:00"/>
    <n v="28"/>
    <x v="0"/>
    <x v="1"/>
    <x v="2"/>
    <x v="6"/>
    <s v="Manchester"/>
    <s v="Non-Profit"/>
    <x v="1"/>
    <x v="13"/>
    <x v="0"/>
    <x v="130"/>
    <n v="1039.03"/>
    <n v="2545.81"/>
    <n v="2545.81"/>
    <n v="0.216"/>
    <n v="21"/>
    <n v="41914.215840000004"/>
    <n v="21819.63"/>
    <n v="20094.585840000003"/>
    <n v="0.47942172929364774"/>
    <x v="6"/>
    <x v="2"/>
    <s v="Europe →United Kingdom →Manchester"/>
    <s v="High"/>
    <x v="6"/>
    <x v="0"/>
  </r>
  <r>
    <s v="ORD-2023-369150"/>
    <d v="2023-07-18T00:00:00"/>
    <d v="2023-08-10T00:00:00"/>
    <d v="2023-07-18T00:00:00"/>
    <d v="2023-08-10T00:00:00"/>
    <n v="23"/>
    <d v="2023-08-10T00:00:00"/>
    <n v="23"/>
    <x v="0"/>
    <x v="0"/>
    <x v="1"/>
    <x v="1"/>
    <s v="Johannesburg"/>
    <s v="Small Business"/>
    <x v="3"/>
    <x v="9"/>
    <x v="6"/>
    <x v="131"/>
    <n v="1271.56"/>
    <n v="995.47"/>
    <n v="995.47"/>
    <n v="0.192"/>
    <n v="13"/>
    <n v="10456.416880000001"/>
    <n v="16530.28"/>
    <n v="-6073.8631199999982"/>
    <n v="-0.58087423155607754"/>
    <x v="6"/>
    <x v="2"/>
    <s v="Africa →South Africa →Johannesburg"/>
    <s v="Medium"/>
    <x v="6"/>
    <x v="0"/>
  </r>
  <r>
    <s v="ORD-2023-594700"/>
    <d v="2023-07-18T00:00:00"/>
    <d v="2023-07-22T00:00:00"/>
    <d v="2023-07-18T00:00:00"/>
    <d v="2023-07-22T00:00:00"/>
    <n v="4"/>
    <d v="2023-07-22T00:00:00"/>
    <n v="4"/>
    <x v="1"/>
    <x v="0"/>
    <x v="0"/>
    <x v="10"/>
    <s v="São Paulo"/>
    <s v="Consumer"/>
    <x v="2"/>
    <x v="7"/>
    <x v="4"/>
    <x v="132"/>
    <n v="1269.55"/>
    <n v="2071.1"/>
    <n v="2071.1"/>
    <n v="0.129"/>
    <n v="22"/>
    <n v="39686.4182"/>
    <n v="27930.1"/>
    <n v="11756.318200000002"/>
    <n v="0.29623026549672354"/>
    <x v="6"/>
    <x v="2"/>
    <s v="Americas →Brazil →São Paulo"/>
    <s v="High"/>
    <x v="6"/>
    <x v="0"/>
  </r>
  <r>
    <s v="ORD-2023-825836"/>
    <d v="2023-07-19T00:00:00"/>
    <d v="2023-07-31T00:00:00"/>
    <d v="2023-07-19T00:00:00"/>
    <d v="2023-07-31T00:00:00"/>
    <n v="12"/>
    <d v="2023-07-31T00:00:00"/>
    <n v="12"/>
    <x v="0"/>
    <x v="0"/>
    <x v="0"/>
    <x v="10"/>
    <s v="Rio de Janeiro"/>
    <s v="Corporate"/>
    <x v="3"/>
    <x v="11"/>
    <x v="5"/>
    <x v="133"/>
    <n v="1334.64"/>
    <n v="2273.42"/>
    <n v="2273.42"/>
    <n v="0.11799999999999999"/>
    <n v="14"/>
    <n v="28072.190160000002"/>
    <n v="18684.960000000003"/>
    <n v="9387.2301599999992"/>
    <n v="0.33439607335575267"/>
    <x v="6"/>
    <x v="2"/>
    <s v="Americas →Brazil →Rio de Janeiro"/>
    <s v="High"/>
    <x v="6"/>
    <x v="0"/>
  </r>
  <r>
    <s v="ORD-2023-109927"/>
    <d v="2023-07-22T00:00:00"/>
    <d v="2023-07-21T00:00:00"/>
    <d v="2023-07-21T00:00:00"/>
    <d v="2023-07-22T00:00:00"/>
    <n v="1"/>
    <d v="2023-07-29T00:00:00"/>
    <n v="7"/>
    <x v="1"/>
    <x v="0"/>
    <x v="3"/>
    <x v="9"/>
    <s v="Delhi"/>
    <s v="Small Business"/>
    <x v="0"/>
    <x v="14"/>
    <x v="1"/>
    <x v="134"/>
    <n v="946.99"/>
    <n v="2132.19"/>
    <n v="2132.19"/>
    <n v="0.16500000000000001"/>
    <n v="7"/>
    <n v="12462.65055"/>
    <n v="6628.93"/>
    <n v="5833.72055"/>
    <n v="0.46809629513362228"/>
    <x v="6"/>
    <x v="2"/>
    <s v="Asia →India →Delhi"/>
    <s v="High"/>
    <x v="6"/>
    <x v="0"/>
  </r>
  <r>
    <s v="ORD-2023-369160"/>
    <d v="2023-07-24T00:00:00"/>
    <d v="2023-08-13T00:00:00"/>
    <d v="2023-07-24T00:00:00"/>
    <d v="2023-08-13T00:00:00"/>
    <n v="20"/>
    <d v="2023-08-13T00:00:00"/>
    <n v="20"/>
    <x v="0"/>
    <x v="0"/>
    <x v="0"/>
    <x v="0"/>
    <s v="Montreal"/>
    <s v="Education"/>
    <x v="2"/>
    <x v="11"/>
    <x v="5"/>
    <x v="135"/>
    <n v="1082.3800000000001"/>
    <n v="1766.55"/>
    <n v="1766.55"/>
    <n v="0.16400000000000001"/>
    <n v="20"/>
    <n v="29536.716"/>
    <n v="21647.600000000002"/>
    <n v="7889.1159999999982"/>
    <n v="0.26709523157550752"/>
    <x v="6"/>
    <x v="2"/>
    <s v="Americas →Canada →Montreal"/>
    <s v="High"/>
    <x v="6"/>
    <x v="0"/>
  </r>
  <r>
    <s v="ORD-2023-261081"/>
    <d v="2023-07-24T00:00:00"/>
    <d v="2023-08-19T00:00:00"/>
    <d v="2023-07-24T00:00:00"/>
    <d v="2023-08-19T00:00:00"/>
    <n v="26"/>
    <d v="2023-08-19T00:00:00"/>
    <n v="26"/>
    <x v="0"/>
    <x v="1"/>
    <x v="1"/>
    <x v="7"/>
    <s v="Nairobi"/>
    <s v="Enterprise"/>
    <x v="0"/>
    <x v="3"/>
    <x v="3"/>
    <x v="136"/>
    <n v="661.45"/>
    <n v="1634.86"/>
    <n v="1634.86"/>
    <n v="0.56499999999999995"/>
    <n v="24"/>
    <n v="17067.938400000003"/>
    <n v="15874.800000000001"/>
    <n v="1193.1384000000016"/>
    <n v="6.9905244092045793E-2"/>
    <x v="6"/>
    <x v="2"/>
    <s v="Africa →Kenya →Nairobi"/>
    <s v="High"/>
    <x v="6"/>
    <x v="0"/>
  </r>
  <r>
    <s v="ORD-2023-660608"/>
    <d v="2023-07-25T00:00:00"/>
    <d v="2023-08-10T00:00:00"/>
    <d v="2023-07-25T00:00:00"/>
    <d v="2023-08-10T00:00:00"/>
    <n v="16"/>
    <d v="2023-08-10T00:00:00"/>
    <n v="16"/>
    <x v="0"/>
    <x v="1"/>
    <x v="1"/>
    <x v="5"/>
    <s v="Port Harcourt"/>
    <s v="Corporate"/>
    <x v="0"/>
    <x v="12"/>
    <x v="3"/>
    <x v="137"/>
    <n v="506.83"/>
    <n v="441.74"/>
    <n v="441.74"/>
    <n v="0.24"/>
    <n v="9"/>
    <n v="3021.5016000000001"/>
    <n v="4561.47"/>
    <n v="-1539.9684000000002"/>
    <n v="-0.50966989393618067"/>
    <x v="6"/>
    <x v="2"/>
    <s v="Africa →Nigeria →Port Harcourt"/>
    <s v="Low"/>
    <x v="6"/>
    <x v="0"/>
  </r>
  <r>
    <s v="ORD-2023-912395"/>
    <d v="2023-07-26T00:00:00"/>
    <d v="2023-08-25T00:00:00"/>
    <d v="2023-07-26T00:00:00"/>
    <d v="2023-08-25T00:00:00"/>
    <n v="30"/>
    <d v="2023-08-25T00:00:00"/>
    <n v="30"/>
    <x v="0"/>
    <x v="0"/>
    <x v="0"/>
    <x v="4"/>
    <s v="New York"/>
    <s v="Consumer"/>
    <x v="3"/>
    <x v="3"/>
    <x v="3"/>
    <x v="138"/>
    <n v="1261.48"/>
    <n v="1643.18"/>
    <n v="1643.18"/>
    <n v="0.151"/>
    <n v="23"/>
    <n v="32086.37586"/>
    <n v="29014.04"/>
    <n v="3072.3358599999992"/>
    <n v="9.5752037357079045E-2"/>
    <x v="6"/>
    <x v="2"/>
    <s v="Americas →USA →New York"/>
    <s v="High"/>
    <x v="6"/>
    <x v="0"/>
  </r>
  <r>
    <s v="ORD-2023-290237"/>
    <d v="2023-07-30T00:00:00"/>
    <d v="2023-08-07T00:00:00"/>
    <d v="2023-07-30T00:00:00"/>
    <d v="2023-08-07T00:00:00"/>
    <n v="8"/>
    <d v="2023-08-07T00:00:00"/>
    <n v="8"/>
    <x v="0"/>
    <x v="0"/>
    <x v="3"/>
    <x v="11"/>
    <s v="Nagoya"/>
    <s v="Education"/>
    <x v="4"/>
    <x v="1"/>
    <x v="4"/>
    <x v="139"/>
    <n v="1352.44"/>
    <n v="2698.01"/>
    <n v="2698.01"/>
    <n v="0.13100000000000001"/>
    <n v="13"/>
    <n v="30479.418970000002"/>
    <n v="17581.72"/>
    <n v="12897.698970000001"/>
    <n v="0.42316091992090887"/>
    <x v="6"/>
    <x v="2"/>
    <s v="Asia →Japan →Nagoya"/>
    <s v="High"/>
    <x v="6"/>
    <x v="0"/>
  </r>
  <r>
    <s v="ORD-2023-451931"/>
    <d v="2023-07-30T00:00:00"/>
    <d v="2023-08-19T00:00:00"/>
    <d v="2023-07-30T00:00:00"/>
    <d v="2023-08-19T00:00:00"/>
    <n v="20"/>
    <d v="2023-08-19T00:00:00"/>
    <n v="20"/>
    <x v="0"/>
    <x v="0"/>
    <x v="2"/>
    <x v="2"/>
    <s v="Paris"/>
    <s v="Enterprise"/>
    <x v="4"/>
    <x v="6"/>
    <x v="4"/>
    <x v="140"/>
    <n v="1418.51"/>
    <n v="2789.61"/>
    <n v="2789.61"/>
    <n v="0.17100000000000001"/>
    <n v="8"/>
    <n v="18500.693520000001"/>
    <n v="11348.08"/>
    <n v="7152.6135200000008"/>
    <n v="0.38661326464695689"/>
    <x v="6"/>
    <x v="2"/>
    <s v="Europe →France →Paris"/>
    <s v="High"/>
    <x v="6"/>
    <x v="0"/>
  </r>
  <r>
    <s v="ORD-2023-713614"/>
    <d v="2023-08-02T00:00:00"/>
    <d v="2023-08-19T00:00:00"/>
    <d v="2023-08-02T00:00:00"/>
    <d v="2023-08-19T00:00:00"/>
    <n v="17"/>
    <d v="2023-08-19T00:00:00"/>
    <n v="17"/>
    <x v="0"/>
    <x v="0"/>
    <x v="0"/>
    <x v="0"/>
    <s v="Vancouver"/>
    <s v="Corporate"/>
    <x v="1"/>
    <x v="7"/>
    <x v="4"/>
    <x v="141"/>
    <n v="175.38"/>
    <n v="347.9"/>
    <n v="347.9"/>
    <n v="7.1999999999999995E-2"/>
    <n v="43"/>
    <n v="13882.6016"/>
    <n v="7541.34"/>
    <n v="6341.2615999999998"/>
    <n v="0.45677761148169804"/>
    <x v="7"/>
    <x v="2"/>
    <s v="Americas →Canada →Vancouver"/>
    <s v="Low"/>
    <x v="7"/>
    <x v="0"/>
  </r>
  <r>
    <s v="ORD-2023-253245"/>
    <d v="2023-08-03T00:00:00"/>
    <d v="2023-08-14T00:00:00"/>
    <d v="2023-08-03T00:00:00"/>
    <d v="2023-08-14T00:00:00"/>
    <n v="11"/>
    <d v="2023-08-14T00:00:00"/>
    <n v="11"/>
    <x v="0"/>
    <x v="0"/>
    <x v="0"/>
    <x v="10"/>
    <s v="Brasília"/>
    <s v="Corporate"/>
    <x v="2"/>
    <x v="13"/>
    <x v="3"/>
    <x v="142"/>
    <n v="232.73"/>
    <n v="334.19"/>
    <n v="334.19"/>
    <n v="0.13400000000000001"/>
    <n v="25"/>
    <n v="7235.2134999999998"/>
    <n v="5818.25"/>
    <n v="1416.9634999999998"/>
    <n v="0.1958426658729559"/>
    <x v="7"/>
    <x v="2"/>
    <s v="Americas →Brazil →Brasília"/>
    <s v="Low"/>
    <x v="7"/>
    <x v="0"/>
  </r>
  <r>
    <s v="ORD-2023-885216"/>
    <d v="2023-08-03T00:00:00"/>
    <d v="2023-08-02T00:00:00"/>
    <d v="2023-08-02T00:00:00"/>
    <d v="2023-08-03T00:00:00"/>
    <n v="1"/>
    <d v="2023-08-10T00:00:00"/>
    <n v="7"/>
    <x v="1"/>
    <x v="0"/>
    <x v="3"/>
    <x v="3"/>
    <s v="Shanghai"/>
    <s v="Non-Profit"/>
    <x v="2"/>
    <x v="13"/>
    <x v="4"/>
    <x v="143"/>
    <n v="1021.97"/>
    <n v="2296.25"/>
    <n v="2296.25"/>
    <n v="0.161"/>
    <n v="26"/>
    <n v="50090.397499999999"/>
    <n v="26571.22"/>
    <n v="23519.177499999998"/>
    <n v="0.46953465482081669"/>
    <x v="7"/>
    <x v="2"/>
    <s v="Asia →China →Shanghai"/>
    <s v="High"/>
    <x v="7"/>
    <x v="0"/>
  </r>
  <r>
    <s v="ORD-2023-548934"/>
    <d v="2023-08-03T00:00:00"/>
    <d v="2023-08-30T00:00:00"/>
    <d v="2023-08-03T00:00:00"/>
    <d v="2023-08-30T00:00:00"/>
    <n v="27"/>
    <d v="2023-08-30T00:00:00"/>
    <n v="27"/>
    <x v="0"/>
    <x v="0"/>
    <x v="3"/>
    <x v="3"/>
    <s v="Shanghai"/>
    <s v="Consumer"/>
    <x v="0"/>
    <x v="8"/>
    <x v="5"/>
    <x v="144"/>
    <n v="226.04"/>
    <n v="545.72"/>
    <n v="545.72"/>
    <n v="0.151"/>
    <n v="11"/>
    <n v="5096.4790800000001"/>
    <n v="2486.44"/>
    <n v="2610.03908"/>
    <n v="0.51212592831834014"/>
    <x v="7"/>
    <x v="2"/>
    <s v="Asia →China →Shanghai"/>
    <s v="Low"/>
    <x v="7"/>
    <x v="0"/>
  </r>
  <r>
    <s v="ORD-2023-630430"/>
    <d v="2023-08-04T00:00:00"/>
    <d v="2023-08-24T00:00:00"/>
    <d v="2023-08-04T00:00:00"/>
    <d v="2023-08-24T00:00:00"/>
    <n v="20"/>
    <d v="2023-08-24T00:00:00"/>
    <n v="20"/>
    <x v="0"/>
    <x v="1"/>
    <x v="0"/>
    <x v="10"/>
    <s v="Brasília"/>
    <s v="Non-Profit"/>
    <x v="2"/>
    <x v="15"/>
    <x v="4"/>
    <x v="145"/>
    <n v="582.88"/>
    <n v="1044.1400000000001"/>
    <n v="1044.1400000000001"/>
    <n v="0.216"/>
    <n v="10"/>
    <n v="8186.057600000001"/>
    <n v="5828.8"/>
    <n v="2357.2576000000008"/>
    <n v="0.28796005539956138"/>
    <x v="7"/>
    <x v="2"/>
    <s v="Americas →Brazil →Brasília"/>
    <s v="Medium"/>
    <x v="7"/>
    <x v="0"/>
  </r>
  <r>
    <s v="ORD-2023-197661"/>
    <d v="2023-08-08T00:00:00"/>
    <d v="2023-08-22T00:00:00"/>
    <d v="2023-08-08T00:00:00"/>
    <d v="2023-08-22T00:00:00"/>
    <n v="14"/>
    <d v="2023-08-22T00:00:00"/>
    <n v="14"/>
    <x v="0"/>
    <x v="0"/>
    <x v="2"/>
    <x v="6"/>
    <s v="Birmingham"/>
    <s v="Non-Profit"/>
    <x v="2"/>
    <x v="8"/>
    <x v="5"/>
    <x v="146"/>
    <n v="446.69"/>
    <n v="967.25"/>
    <n v="967.25"/>
    <n v="9.4E-2"/>
    <n v="10"/>
    <n v="8763.2849999999999"/>
    <n v="4466.8999999999996"/>
    <n v="4296.3850000000002"/>
    <n v="0.49027105702941309"/>
    <x v="7"/>
    <x v="2"/>
    <s v="Europe →United Kingdom →Birmingham"/>
    <s v="Medium"/>
    <x v="7"/>
    <x v="0"/>
  </r>
  <r>
    <s v="ORD-2023-867175"/>
    <d v="2023-08-10T00:00:00"/>
    <d v="2023-08-15T00:00:00"/>
    <d v="2023-08-10T00:00:00"/>
    <d v="2023-08-15T00:00:00"/>
    <n v="5"/>
    <d v="2023-08-15T00:00:00"/>
    <n v="5"/>
    <x v="1"/>
    <x v="0"/>
    <x v="0"/>
    <x v="10"/>
    <s v="São Paulo"/>
    <s v="Education"/>
    <x v="2"/>
    <x v="6"/>
    <x v="4"/>
    <x v="147"/>
    <n v="1307.52"/>
    <n v="1921.65"/>
    <n v="1921.65"/>
    <n v="0.123"/>
    <n v="13"/>
    <n v="21908.731650000002"/>
    <n v="16997.759999999998"/>
    <n v="4910.9716500000031"/>
    <n v="0.22415590863289445"/>
    <x v="7"/>
    <x v="2"/>
    <s v="Americas →Brazil →São Paulo"/>
    <s v="High"/>
    <x v="7"/>
    <x v="0"/>
  </r>
  <r>
    <s v="ORD-2023-883066"/>
    <d v="2023-08-12T00:00:00"/>
    <d v="2023-09-06T00:00:00"/>
    <d v="2023-08-12T00:00:00"/>
    <d v="2023-09-06T00:00:00"/>
    <n v="25"/>
    <d v="2023-09-06T00:00:00"/>
    <n v="25"/>
    <x v="0"/>
    <x v="0"/>
    <x v="3"/>
    <x v="3"/>
    <s v="Shanghai"/>
    <s v="Small Business"/>
    <x v="3"/>
    <x v="0"/>
    <x v="6"/>
    <x v="148"/>
    <n v="950.77"/>
    <n v="694.78"/>
    <n v="694.78"/>
    <n v="8.4000000000000005E-2"/>
    <n v="14"/>
    <n v="8909.8587200000002"/>
    <n v="13310.779999999999"/>
    <n v="-4400.9212799999987"/>
    <n v="-0.49393839097821279"/>
    <x v="7"/>
    <x v="2"/>
    <s v="Asia →China →Shanghai"/>
    <s v="Low"/>
    <x v="7"/>
    <x v="0"/>
  </r>
  <r>
    <s v="ORD-2023-133848"/>
    <d v="2023-08-15T00:00:00"/>
    <d v="2023-09-07T00:00:00"/>
    <d v="2023-08-15T00:00:00"/>
    <d v="2023-09-07T00:00:00"/>
    <n v="23"/>
    <d v="2023-09-07T00:00:00"/>
    <n v="23"/>
    <x v="0"/>
    <x v="0"/>
    <x v="0"/>
    <x v="4"/>
    <s v="New York"/>
    <s v="Enterprise"/>
    <x v="1"/>
    <x v="10"/>
    <x v="2"/>
    <x v="149"/>
    <n v="590.33000000000004"/>
    <n v="973.04"/>
    <n v="973.04"/>
    <n v="0"/>
    <n v="26"/>
    <n v="25299.040000000001"/>
    <n v="15348.580000000002"/>
    <n v="9950.4599999999991"/>
    <n v="0.39331373838691108"/>
    <x v="7"/>
    <x v="2"/>
    <s v="Americas →USA →New York"/>
    <s v="Medium"/>
    <x v="7"/>
    <x v="0"/>
  </r>
  <r>
    <s v="ORD-2023-274037"/>
    <d v="2023-08-15T00:00:00"/>
    <d v="2023-08-25T00:00:00"/>
    <d v="2023-08-15T00:00:00"/>
    <d v="2023-08-25T00:00:00"/>
    <n v="10"/>
    <d v="2023-08-25T00:00:00"/>
    <n v="10"/>
    <x v="0"/>
    <x v="0"/>
    <x v="1"/>
    <x v="7"/>
    <s v="Nairobi"/>
    <s v="Small Business"/>
    <x v="3"/>
    <x v="8"/>
    <x v="2"/>
    <x v="150"/>
    <n v="91.85"/>
    <n v="111.29"/>
    <n v="111.29"/>
    <n v="0"/>
    <n v="6"/>
    <n v="667.74"/>
    <n v="551.09999999999991"/>
    <n v="116.6400000000001"/>
    <n v="0.17467876718483258"/>
    <x v="7"/>
    <x v="2"/>
    <s v="Africa →Kenya →Nairobi"/>
    <s v="Low"/>
    <x v="7"/>
    <x v="0"/>
  </r>
  <r>
    <s v="ORD-2023-525643"/>
    <d v="2023-08-17T00:00:00"/>
    <d v="2023-09-03T00:00:00"/>
    <d v="2023-08-17T00:00:00"/>
    <d v="2023-09-03T00:00:00"/>
    <n v="17"/>
    <d v="2023-09-03T00:00:00"/>
    <n v="17"/>
    <x v="0"/>
    <x v="0"/>
    <x v="1"/>
    <x v="1"/>
    <s v="Durban"/>
    <s v="Enterprise"/>
    <x v="3"/>
    <x v="1"/>
    <x v="2"/>
    <x v="151"/>
    <n v="676.37"/>
    <n v="1276.67"/>
    <n v="1276.67"/>
    <n v="6.6000000000000003E-2"/>
    <n v="10"/>
    <n v="11924.0978"/>
    <n v="6763.7"/>
    <n v="5160.3977999999997"/>
    <n v="0.4327705027712872"/>
    <x v="7"/>
    <x v="2"/>
    <s v="Africa →South Africa →Durban"/>
    <s v="Medium"/>
    <x v="7"/>
    <x v="0"/>
  </r>
  <r>
    <s v="ORD-2023-749324"/>
    <d v="2023-08-19T00:00:00"/>
    <d v="2023-09-07T00:00:00"/>
    <d v="2023-08-19T00:00:00"/>
    <d v="2023-09-07T00:00:00"/>
    <n v="19"/>
    <d v="2023-09-07T00:00:00"/>
    <n v="19"/>
    <x v="0"/>
    <x v="1"/>
    <x v="1"/>
    <x v="1"/>
    <s v="Johannesburg"/>
    <s v="Enterprise"/>
    <x v="3"/>
    <x v="2"/>
    <x v="5"/>
    <x v="152"/>
    <n v="494.61"/>
    <n v="605.23"/>
    <n v="605.23"/>
    <n v="0.20399999999999999"/>
    <n v="18"/>
    <n v="8671.7354400000004"/>
    <n v="8902.98"/>
    <n v="-231.24455999999918"/>
    <n v="-2.6666468505639647E-2"/>
    <x v="7"/>
    <x v="2"/>
    <s v="Africa →South Africa →Johannesburg"/>
    <s v="Low"/>
    <x v="7"/>
    <x v="0"/>
  </r>
  <r>
    <s v="ORD-2023-343322"/>
    <d v="2023-08-19T00:00:00"/>
    <d v="2023-09-12T00:00:00"/>
    <d v="2023-08-19T00:00:00"/>
    <d v="2023-09-12T00:00:00"/>
    <n v="24"/>
    <d v="2023-09-12T00:00:00"/>
    <n v="24"/>
    <x v="0"/>
    <x v="1"/>
    <x v="0"/>
    <x v="0"/>
    <s v="Vancouver"/>
    <s v="Enterprise"/>
    <x v="3"/>
    <x v="12"/>
    <x v="1"/>
    <x v="153"/>
    <n v="1183.95"/>
    <n v="1503.53"/>
    <n v="1503.53"/>
    <n v="0.24099999999999999"/>
    <n v="16"/>
    <n v="18258.868320000001"/>
    <n v="18943.2"/>
    <n v="-684.33167999999932"/>
    <n v="-3.7479413729623705E-2"/>
    <x v="7"/>
    <x v="2"/>
    <s v="Americas →Canada →Vancouver"/>
    <s v="Medium"/>
    <x v="7"/>
    <x v="0"/>
  </r>
  <r>
    <s v="ORD-2023-334213"/>
    <d v="2023-08-19T00:00:00"/>
    <d v="2023-08-23T00:00:00"/>
    <d v="2023-08-19T00:00:00"/>
    <d v="2023-08-23T00:00:00"/>
    <n v="4"/>
    <d v="2023-08-23T00:00:00"/>
    <n v="4"/>
    <x v="1"/>
    <x v="0"/>
    <x v="1"/>
    <x v="5"/>
    <s v="Abuja"/>
    <s v="Small Business"/>
    <x v="1"/>
    <x v="13"/>
    <x v="5"/>
    <x v="154"/>
    <n v="790.63"/>
    <n v="1382.31"/>
    <n v="1382.31"/>
    <n v="0.10100000000000001"/>
    <n v="7"/>
    <n v="8698.8768300000011"/>
    <n v="5534.41"/>
    <n v="3164.4668300000012"/>
    <n v="0.36377878338116448"/>
    <x v="7"/>
    <x v="2"/>
    <s v="Africa →Nigeria →Abuja"/>
    <s v="Medium"/>
    <x v="7"/>
    <x v="0"/>
  </r>
  <r>
    <s v="ORD-2023-603238"/>
    <d v="2023-08-21T00:00:00"/>
    <d v="2023-09-04T00:00:00"/>
    <d v="2023-08-21T00:00:00"/>
    <d v="2023-09-04T00:00:00"/>
    <n v="14"/>
    <d v="2023-09-04T00:00:00"/>
    <n v="14"/>
    <x v="0"/>
    <x v="0"/>
    <x v="0"/>
    <x v="0"/>
    <s v="Montreal"/>
    <s v="Education"/>
    <x v="0"/>
    <x v="7"/>
    <x v="6"/>
    <x v="155"/>
    <n v="178.19"/>
    <n v="284.43"/>
    <n v="284.43"/>
    <n v="8.8999999999999996E-2"/>
    <n v="8"/>
    <n v="2072.9258400000003"/>
    <n v="1425.52"/>
    <n v="647.40584000000035"/>
    <n v="0.31231500302972742"/>
    <x v="7"/>
    <x v="2"/>
    <s v="Americas →Canada →Montreal"/>
    <s v="Low"/>
    <x v="7"/>
    <x v="0"/>
  </r>
  <r>
    <s v="ORD-2023-375011"/>
    <d v="2023-08-23T00:00:00"/>
    <d v="2023-09-22T00:00:00"/>
    <d v="2023-08-23T00:00:00"/>
    <d v="2023-09-22T00:00:00"/>
    <n v="30"/>
    <d v="2023-09-22T00:00:00"/>
    <n v="30"/>
    <x v="0"/>
    <x v="0"/>
    <x v="2"/>
    <x v="6"/>
    <s v="London"/>
    <s v="Consumer"/>
    <x v="0"/>
    <x v="5"/>
    <x v="3"/>
    <x v="156"/>
    <n v="209.81"/>
    <n v="523"/>
    <n v="523"/>
    <n v="5.8999999999999997E-2"/>
    <n v="15"/>
    <n v="7382.1450000000004"/>
    <n v="3147.15"/>
    <n v="4234.9950000000008"/>
    <n v="0.57368082041195356"/>
    <x v="7"/>
    <x v="2"/>
    <s v="Europe →United Kingdom →London"/>
    <s v="Low"/>
    <x v="7"/>
    <x v="0"/>
  </r>
  <r>
    <s v="ORD-2023-640022"/>
    <d v="2023-08-24T00:00:00"/>
    <d v="2023-09-20T00:00:00"/>
    <d v="2023-08-24T00:00:00"/>
    <d v="2023-09-20T00:00:00"/>
    <n v="27"/>
    <d v="2023-09-20T00:00:00"/>
    <n v="27"/>
    <x v="0"/>
    <x v="0"/>
    <x v="1"/>
    <x v="1"/>
    <s v="Durban"/>
    <s v="Small Business"/>
    <x v="4"/>
    <x v="3"/>
    <x v="1"/>
    <x v="157"/>
    <n v="1399.64"/>
    <n v="3342.11"/>
    <n v="3342.11"/>
    <n v="0"/>
    <n v="10"/>
    <n v="33421.1"/>
    <n v="13996.400000000001"/>
    <n v="19424.699999999997"/>
    <n v="0.58121067229983447"/>
    <x v="7"/>
    <x v="2"/>
    <s v="Africa →South Africa →Durban"/>
    <s v="High"/>
    <x v="7"/>
    <x v="0"/>
  </r>
  <r>
    <s v="ORD-2023-732585"/>
    <d v="2023-08-25T00:00:00"/>
    <d v="2023-09-16T00:00:00"/>
    <d v="2023-08-25T00:00:00"/>
    <d v="2023-09-16T00:00:00"/>
    <n v="22"/>
    <d v="2023-09-16T00:00:00"/>
    <n v="22"/>
    <x v="0"/>
    <x v="0"/>
    <x v="1"/>
    <x v="5"/>
    <s v="Abuja"/>
    <s v="Corporate"/>
    <x v="4"/>
    <x v="9"/>
    <x v="2"/>
    <x v="158"/>
    <n v="1196.83"/>
    <n v="2513.5100000000002"/>
    <n v="2513.5100000000002"/>
    <n v="8.3000000000000004E-2"/>
    <n v="7"/>
    <n v="16134.22069"/>
    <n v="8377.81"/>
    <n v="7756.4106900000006"/>
    <n v="0.48074281609445374"/>
    <x v="7"/>
    <x v="2"/>
    <s v="Africa →Nigeria →Abuja"/>
    <s v="High"/>
    <x v="7"/>
    <x v="0"/>
  </r>
  <r>
    <s v="ORD-2023-713375"/>
    <d v="2023-08-26T00:00:00"/>
    <d v="2023-09-10T00:00:00"/>
    <d v="2023-08-26T00:00:00"/>
    <d v="2023-09-10T00:00:00"/>
    <n v="15"/>
    <d v="2023-09-10T00:00:00"/>
    <n v="15"/>
    <x v="0"/>
    <x v="0"/>
    <x v="1"/>
    <x v="1"/>
    <s v="Cape Town"/>
    <s v="Non-Profit"/>
    <x v="2"/>
    <x v="8"/>
    <x v="6"/>
    <x v="159"/>
    <n v="241.14"/>
    <n v="496.52"/>
    <n v="496.52"/>
    <n v="9.2999999999999999E-2"/>
    <n v="10"/>
    <n v="4503.4363999999996"/>
    <n v="2411.3999999999996"/>
    <n v="2092.0364"/>
    <n v="0.46454223268257994"/>
    <x v="7"/>
    <x v="2"/>
    <s v="Africa →South Africa →Cape Town"/>
    <s v="Low"/>
    <x v="7"/>
    <x v="0"/>
  </r>
  <r>
    <s v="ORD-2023-664749"/>
    <d v="2023-08-27T00:00:00"/>
    <d v="2023-09-11T00:00:00"/>
    <d v="2023-08-27T00:00:00"/>
    <d v="2023-09-11T00:00:00"/>
    <n v="15"/>
    <d v="2023-09-11T00:00:00"/>
    <n v="15"/>
    <x v="0"/>
    <x v="0"/>
    <x v="2"/>
    <x v="6"/>
    <s v="London"/>
    <s v="Consumer"/>
    <x v="4"/>
    <x v="8"/>
    <x v="1"/>
    <x v="160"/>
    <n v="943.79"/>
    <n v="1913.76"/>
    <n v="1913.76"/>
    <n v="9.0999999999999998E-2"/>
    <n v="9"/>
    <n v="15656.47056"/>
    <n v="8494.11"/>
    <n v="7162.3605599999992"/>
    <n v="0.45746967891338081"/>
    <x v="7"/>
    <x v="2"/>
    <s v="Europe →United Kingdom →London"/>
    <s v="High"/>
    <x v="7"/>
    <x v="0"/>
  </r>
  <r>
    <s v="ORD-2023-987081"/>
    <d v="2023-08-29T00:00:00"/>
    <d v="2023-09-13T00:00:00"/>
    <d v="2023-08-29T00:00:00"/>
    <d v="2023-09-13T00:00:00"/>
    <n v="15"/>
    <d v="2023-09-13T00:00:00"/>
    <n v="15"/>
    <x v="0"/>
    <x v="0"/>
    <x v="0"/>
    <x v="0"/>
    <s v="Vancouver"/>
    <s v="Small Business"/>
    <x v="4"/>
    <x v="5"/>
    <x v="1"/>
    <x v="161"/>
    <n v="1287.6400000000001"/>
    <n v="2717.15"/>
    <n v="2717.15"/>
    <n v="3.2000000000000001E-2"/>
    <n v="7"/>
    <n v="18411.4084"/>
    <n v="9013.4800000000014"/>
    <n v="9397.9283999999989"/>
    <n v="0.51044049405802105"/>
    <x v="7"/>
    <x v="2"/>
    <s v="Americas →Canada →Vancouver"/>
    <s v="High"/>
    <x v="7"/>
    <x v="0"/>
  </r>
  <r>
    <s v="ORD-2023-243704"/>
    <d v="2023-08-29T00:00:00"/>
    <d v="2023-09-19T00:00:00"/>
    <d v="2023-08-29T00:00:00"/>
    <d v="2023-09-19T00:00:00"/>
    <n v="21"/>
    <d v="2023-09-19T00:00:00"/>
    <n v="21"/>
    <x v="0"/>
    <x v="0"/>
    <x v="2"/>
    <x v="2"/>
    <s v="Lyon"/>
    <s v="Small Business"/>
    <x v="2"/>
    <x v="0"/>
    <x v="1"/>
    <x v="162"/>
    <n v="784.46"/>
    <n v="1843.51"/>
    <n v="1843.51"/>
    <n v="0.13800000000000001"/>
    <n v="23"/>
    <n v="36549.429260000004"/>
    <n v="18042.580000000002"/>
    <n v="18506.849260000003"/>
    <n v="0.50635125184441798"/>
    <x v="7"/>
    <x v="2"/>
    <s v="Europe →France →Lyon"/>
    <s v="High"/>
    <x v="7"/>
    <x v="0"/>
  </r>
  <r>
    <s v="ORD-2023-235230"/>
    <d v="2023-08-30T00:00:00"/>
    <d v="2023-09-01T00:00:00"/>
    <d v="2023-08-30T00:00:00"/>
    <d v="2023-09-01T00:00:00"/>
    <n v="2"/>
    <d v="2023-09-01T00:00:00"/>
    <n v="2"/>
    <x v="1"/>
    <x v="0"/>
    <x v="2"/>
    <x v="8"/>
    <s v="Munich"/>
    <s v="Corporate"/>
    <x v="2"/>
    <x v="8"/>
    <x v="4"/>
    <x v="163"/>
    <n v="44.42"/>
    <n v="41.9"/>
    <n v="41.9"/>
    <n v="0.14399999999999999"/>
    <n v="6"/>
    <n v="215.19839999999996"/>
    <n v="266.52"/>
    <n v="-51.321600000000018"/>
    <n v="-0.23848504449847224"/>
    <x v="7"/>
    <x v="2"/>
    <s v="Europe →Germany →Munich"/>
    <s v="Low"/>
    <x v="7"/>
    <x v="0"/>
  </r>
  <r>
    <s v="ORD-2023-944052"/>
    <d v="2023-08-30T00:00:00"/>
    <d v="2023-09-03T00:00:00"/>
    <d v="2023-08-30T00:00:00"/>
    <d v="2023-09-03T00:00:00"/>
    <n v="4"/>
    <d v="2023-09-03T00:00:00"/>
    <n v="4"/>
    <x v="1"/>
    <x v="1"/>
    <x v="3"/>
    <x v="9"/>
    <s v="Delhi"/>
    <s v="Small Business"/>
    <x v="4"/>
    <x v="9"/>
    <x v="3"/>
    <x v="164"/>
    <n v="1082.25"/>
    <n v="2433.34"/>
    <n v="2433.34"/>
    <n v="0.27"/>
    <n v="4"/>
    <n v="7105.3528000000006"/>
    <n v="4329"/>
    <n v="2776.3528000000006"/>
    <n v="0.3907410199251472"/>
    <x v="7"/>
    <x v="2"/>
    <s v="Asia →India →Delhi"/>
    <s v="High"/>
    <x v="7"/>
    <x v="0"/>
  </r>
  <r>
    <s v="ORD-2023-488227"/>
    <d v="2023-09-08T00:00:00"/>
    <d v="2023-10-02T00:00:00"/>
    <d v="2023-09-08T00:00:00"/>
    <d v="2023-10-02T00:00:00"/>
    <n v="24"/>
    <d v="2023-10-02T00:00:00"/>
    <n v="24"/>
    <x v="0"/>
    <x v="1"/>
    <x v="0"/>
    <x v="0"/>
    <s v="Toronto"/>
    <s v="Education"/>
    <x v="2"/>
    <x v="1"/>
    <x v="3"/>
    <x v="165"/>
    <n v="1299.03"/>
    <n v="2451.2199999999998"/>
    <n v="2451.2199999999998"/>
    <n v="0.20799999999999999"/>
    <n v="8"/>
    <n v="15530.929919999999"/>
    <n v="10392.24"/>
    <n v="5138.6899199999989"/>
    <n v="0.3308681416032041"/>
    <x v="8"/>
    <x v="2"/>
    <s v="Americas →Canada →Toronto"/>
    <s v="High"/>
    <x v="8"/>
    <x v="0"/>
  </r>
  <r>
    <s v="ORD-2023-755337"/>
    <d v="2023-09-08T00:00:00"/>
    <d v="2023-09-14T00:00:00"/>
    <d v="2023-09-08T00:00:00"/>
    <d v="2023-09-14T00:00:00"/>
    <n v="6"/>
    <d v="2023-09-14T00:00:00"/>
    <n v="6"/>
    <x v="1"/>
    <x v="0"/>
    <x v="1"/>
    <x v="7"/>
    <s v="Nakuru"/>
    <s v="Education"/>
    <x v="2"/>
    <x v="12"/>
    <x v="3"/>
    <x v="166"/>
    <n v="251.03"/>
    <n v="411.48"/>
    <n v="411.48"/>
    <n v="0.16500000000000001"/>
    <n v="3"/>
    <n v="1030.7574"/>
    <n v="753.09"/>
    <n v="277.66739999999993"/>
    <n v="0.26938191275658069"/>
    <x v="8"/>
    <x v="2"/>
    <s v="Africa →Kenya →Nakuru"/>
    <s v="Low"/>
    <x v="8"/>
    <x v="0"/>
  </r>
  <r>
    <s v="ORD-2023-192324"/>
    <d v="2023-09-14T00:00:00"/>
    <d v="2023-09-16T00:00:00"/>
    <d v="2023-09-14T00:00:00"/>
    <d v="2023-09-16T00:00:00"/>
    <n v="2"/>
    <d v="2023-09-16T00:00:00"/>
    <n v="2"/>
    <x v="1"/>
    <x v="0"/>
    <x v="2"/>
    <x v="2"/>
    <s v="Lyon"/>
    <s v="Non-Profit"/>
    <x v="2"/>
    <x v="0"/>
    <x v="1"/>
    <x v="167"/>
    <n v="376.83"/>
    <n v="732.88"/>
    <n v="732.88"/>
    <n v="0.188"/>
    <n v="25"/>
    <n v="14877.464000000002"/>
    <n v="9420.75"/>
    <n v="5456.7140000000018"/>
    <n v="0.36677716040852132"/>
    <x v="8"/>
    <x v="2"/>
    <s v="Europe →France →Lyon"/>
    <s v="Low"/>
    <x v="8"/>
    <x v="0"/>
  </r>
  <r>
    <s v="ORD-2023-552115"/>
    <d v="2023-09-17T00:00:00"/>
    <d v="2023-10-02T00:00:00"/>
    <d v="2023-09-17T00:00:00"/>
    <d v="2023-10-02T00:00:00"/>
    <n v="15"/>
    <d v="2023-10-02T00:00:00"/>
    <n v="15"/>
    <x v="0"/>
    <x v="0"/>
    <x v="0"/>
    <x v="10"/>
    <s v="Rio de Janeiro"/>
    <s v="Small Business"/>
    <x v="3"/>
    <x v="0"/>
    <x v="0"/>
    <x v="168"/>
    <n v="689.33"/>
    <n v="668.27"/>
    <n v="668.27"/>
    <n v="0.186"/>
    <n v="13"/>
    <n v="7071.6331400000008"/>
    <n v="8961.2900000000009"/>
    <n v="-1889.6568600000001"/>
    <n v="-0.26721647214861033"/>
    <x v="8"/>
    <x v="2"/>
    <s v="Americas →Brazil →Rio de Janeiro"/>
    <s v="Low"/>
    <x v="8"/>
    <x v="0"/>
  </r>
  <r>
    <s v="ORD-2023-722117"/>
    <d v="2023-09-18T00:00:00"/>
    <d v="2023-10-08T00:00:00"/>
    <d v="2023-09-18T00:00:00"/>
    <d v="2023-10-08T00:00:00"/>
    <n v="20"/>
    <d v="2023-10-08T00:00:00"/>
    <n v="20"/>
    <x v="0"/>
    <x v="0"/>
    <x v="3"/>
    <x v="9"/>
    <s v="Delhi"/>
    <s v="Small Business"/>
    <x v="2"/>
    <x v="0"/>
    <x v="6"/>
    <x v="169"/>
    <n v="825.64"/>
    <n v="1108.43"/>
    <n v="1108.43"/>
    <n v="0.114"/>
    <n v="7"/>
    <n v="6874.4828600000001"/>
    <n v="5779.48"/>
    <n v="1095.0028600000005"/>
    <n v="0.15928512475773349"/>
    <x v="8"/>
    <x v="2"/>
    <s v="Asia →India →Delhi"/>
    <s v="Medium"/>
    <x v="8"/>
    <x v="0"/>
  </r>
  <r>
    <s v="ORD-2023-517216"/>
    <d v="2023-09-19T00:00:00"/>
    <d v="2023-10-08T00:00:00"/>
    <d v="2023-09-19T00:00:00"/>
    <d v="2023-10-08T00:00:00"/>
    <n v="19"/>
    <d v="2023-10-08T00:00:00"/>
    <n v="19"/>
    <x v="0"/>
    <x v="0"/>
    <x v="3"/>
    <x v="9"/>
    <s v="Bengaluru"/>
    <s v="Education"/>
    <x v="2"/>
    <x v="13"/>
    <x v="1"/>
    <x v="170"/>
    <n v="385.32"/>
    <n v="606.76"/>
    <n v="606.76"/>
    <n v="8.5999999999999993E-2"/>
    <n v="8"/>
    <n v="4436.6291200000005"/>
    <n v="3082.56"/>
    <n v="1354.0691200000006"/>
    <n v="0.30520223425842735"/>
    <x v="8"/>
    <x v="2"/>
    <s v="Asia →India →Bengaluru"/>
    <s v="Low"/>
    <x v="8"/>
    <x v="0"/>
  </r>
  <r>
    <s v="ORD-2023-842820"/>
    <d v="2023-09-20T00:00:00"/>
    <d v="2023-09-28T00:00:00"/>
    <d v="2023-09-20T00:00:00"/>
    <d v="2023-09-28T00:00:00"/>
    <n v="8"/>
    <d v="2023-09-28T00:00:00"/>
    <n v="8"/>
    <x v="0"/>
    <x v="0"/>
    <x v="3"/>
    <x v="9"/>
    <s v="N/A"/>
    <s v="Corporate"/>
    <x v="5"/>
    <x v="0"/>
    <x v="3"/>
    <x v="171"/>
    <n v="1362.06"/>
    <n v="3398.37"/>
    <n v="3398.37"/>
    <n v="0.157"/>
    <n v="11"/>
    <n v="31513.085009999999"/>
    <n v="14982.66"/>
    <n v="16530.425009999999"/>
    <n v="0.52455749745714919"/>
    <x v="8"/>
    <x v="2"/>
    <s v="Asia →India →N/A"/>
    <s v="High"/>
    <x v="8"/>
    <x v="0"/>
  </r>
  <r>
    <s v="ORD-2023-450877"/>
    <d v="2023-09-21T00:00:00"/>
    <d v="2023-10-10T00:00:00"/>
    <d v="2023-09-21T00:00:00"/>
    <d v="2023-10-10T00:00:00"/>
    <n v="19"/>
    <d v="2023-10-10T00:00:00"/>
    <n v="19"/>
    <x v="0"/>
    <x v="0"/>
    <x v="3"/>
    <x v="11"/>
    <s v="Tokyo"/>
    <s v="Education"/>
    <x v="1"/>
    <x v="2"/>
    <x v="6"/>
    <x v="172"/>
    <n v="845.63"/>
    <n v="2062.12"/>
    <n v="2062.12"/>
    <n v="0.13400000000000001"/>
    <n v="5"/>
    <n v="8928.9795999999988"/>
    <n v="4228.1499999999996"/>
    <n v="4700.8295999999991"/>
    <n v="0.52646884757133949"/>
    <x v="8"/>
    <x v="2"/>
    <s v="Asia →Japan →Tokyo"/>
    <s v="High"/>
    <x v="8"/>
    <x v="0"/>
  </r>
  <r>
    <s v="ORD-2023-271918"/>
    <d v="2023-09-25T00:00:00"/>
    <d v="2023-10-02T00:00:00"/>
    <d v="2023-09-25T00:00:00"/>
    <d v="2023-10-02T00:00:00"/>
    <n v="7"/>
    <d v="2023-10-02T00:00:00"/>
    <n v="7"/>
    <x v="1"/>
    <x v="1"/>
    <x v="0"/>
    <x v="4"/>
    <s v="New York"/>
    <s v="Education"/>
    <x v="4"/>
    <x v="12"/>
    <x v="3"/>
    <x v="173"/>
    <n v="145.58000000000001"/>
    <n v="228.15"/>
    <n v="228.15"/>
    <n v="0.20399999999999999"/>
    <n v="5"/>
    <n v="908.03700000000003"/>
    <n v="727.90000000000009"/>
    <n v="180.13699999999994"/>
    <n v="0.19838068272548359"/>
    <x v="8"/>
    <x v="2"/>
    <s v="Americas →USA →New York"/>
    <s v="Low"/>
    <x v="8"/>
    <x v="0"/>
  </r>
  <r>
    <s v="ORD-2023-132101"/>
    <d v="2023-09-25T00:00:00"/>
    <d v="2023-10-09T00:00:00"/>
    <d v="2023-09-25T00:00:00"/>
    <d v="2023-10-09T00:00:00"/>
    <n v="14"/>
    <d v="2023-10-09T00:00:00"/>
    <n v="14"/>
    <x v="0"/>
    <x v="0"/>
    <x v="0"/>
    <x v="4"/>
    <s v="New York"/>
    <s v="Small Business"/>
    <x v="4"/>
    <x v="13"/>
    <x v="0"/>
    <x v="174"/>
    <n v="1279.56"/>
    <n v="3083.8"/>
    <n v="3083.8"/>
    <n v="0.106"/>
    <n v="5"/>
    <n v="13784.586000000001"/>
    <n v="6397.7999999999993"/>
    <n v="7386.7860000000019"/>
    <n v="0.53587289455047848"/>
    <x v="8"/>
    <x v="2"/>
    <s v="Americas →USA →New York"/>
    <s v="High"/>
    <x v="8"/>
    <x v="0"/>
  </r>
  <r>
    <s v="ORD-2023-619385"/>
    <d v="2023-09-30T00:00:00"/>
    <d v="2023-10-03T00:00:00"/>
    <d v="2023-09-30T00:00:00"/>
    <d v="2023-10-03T00:00:00"/>
    <n v="3"/>
    <d v="2023-10-03T00:00:00"/>
    <n v="3"/>
    <x v="1"/>
    <x v="0"/>
    <x v="3"/>
    <x v="3"/>
    <s v="Beijing"/>
    <s v="Non-Profit"/>
    <x v="3"/>
    <x v="13"/>
    <x v="0"/>
    <x v="175"/>
    <n v="1019.36"/>
    <n v="972.91"/>
    <n v="972.91"/>
    <n v="0.14699999999999999"/>
    <n v="17"/>
    <n v="14108.16791"/>
    <n v="17329.12"/>
    <n v="-3220.9520899999989"/>
    <n v="-0.22830406545678819"/>
    <x v="8"/>
    <x v="2"/>
    <s v="Asia →China →Beijing"/>
    <s v="Medium"/>
    <x v="8"/>
    <x v="0"/>
  </r>
  <r>
    <s v="ORD-2023-568013"/>
    <d v="2023-09-30T00:00:00"/>
    <d v="2023-10-30T00:00:00"/>
    <d v="2023-09-30T00:00:00"/>
    <d v="2023-10-30T00:00:00"/>
    <n v="30"/>
    <d v="2023-10-30T00:00:00"/>
    <n v="30"/>
    <x v="0"/>
    <x v="0"/>
    <x v="3"/>
    <x v="11"/>
    <s v="Tokyo"/>
    <s v="Enterprise"/>
    <x v="1"/>
    <x v="2"/>
    <x v="1"/>
    <x v="176"/>
    <n v="649.13"/>
    <n v="975.43"/>
    <n v="975.43"/>
    <n v="0.157"/>
    <n v="27"/>
    <n v="22201.762229999997"/>
    <n v="17526.509999999998"/>
    <n v="4675.2522299999982"/>
    <n v="0.21058023149543473"/>
    <x v="8"/>
    <x v="2"/>
    <s v="Asia →Japan →Tokyo"/>
    <s v="Medium"/>
    <x v="8"/>
    <x v="0"/>
  </r>
  <r>
    <s v="ORD-2023-302041"/>
    <d v="2023-10-04T00:00:00"/>
    <d v="2023-10-29T00:00:00"/>
    <d v="2023-10-04T00:00:00"/>
    <d v="2023-10-29T00:00:00"/>
    <n v="25"/>
    <d v="2023-10-29T00:00:00"/>
    <n v="25"/>
    <x v="0"/>
    <x v="0"/>
    <x v="0"/>
    <x v="4"/>
    <s v="San Francisco"/>
    <s v="Small Business"/>
    <x v="0"/>
    <x v="5"/>
    <x v="3"/>
    <x v="177"/>
    <n v="1239.8399999999999"/>
    <n v="1482.75"/>
    <n v="1482.75"/>
    <n v="6.7000000000000004E-2"/>
    <n v="4"/>
    <n v="5533.6230000000005"/>
    <n v="4959.3599999999997"/>
    <n v="574.26300000000083"/>
    <n v="0.10377703721413634"/>
    <x v="9"/>
    <x v="3"/>
    <s v="Americas →USA →San Francisco"/>
    <s v="Medium"/>
    <x v="9"/>
    <x v="0"/>
  </r>
  <r>
    <s v="ORD-2023-474313"/>
    <d v="2023-10-05T00:00:00"/>
    <d v="2023-10-06T00:00:00"/>
    <d v="2023-10-05T00:00:00"/>
    <d v="2023-10-06T00:00:00"/>
    <n v="1"/>
    <d v="2023-10-06T00:00:00"/>
    <n v="1"/>
    <x v="1"/>
    <x v="0"/>
    <x v="3"/>
    <x v="9"/>
    <s v="Bengaluru"/>
    <s v="Non-Profit"/>
    <x v="1"/>
    <x v="12"/>
    <x v="6"/>
    <x v="178"/>
    <n v="1470.26"/>
    <n v="2562.5500000000002"/>
    <n v="2562.5500000000002"/>
    <n v="0.17299999999999999"/>
    <n v="9"/>
    <n v="19073.059649999999"/>
    <n v="13232.34"/>
    <n v="5840.7196499999991"/>
    <n v="0.30622877279157462"/>
    <x v="9"/>
    <x v="3"/>
    <s v="Asia →India →Bengaluru"/>
    <s v="High"/>
    <x v="9"/>
    <x v="0"/>
  </r>
  <r>
    <s v="ORD-2023-166668"/>
    <d v="2023-10-05T00:00:00"/>
    <d v="2023-10-31T00:00:00"/>
    <d v="2023-10-05T00:00:00"/>
    <d v="2023-10-31T00:00:00"/>
    <n v="26"/>
    <d v="2023-10-31T00:00:00"/>
    <n v="26"/>
    <x v="0"/>
    <x v="0"/>
    <x v="3"/>
    <x v="3"/>
    <s v="Shanghai"/>
    <s v="Consumer"/>
    <x v="5"/>
    <x v="13"/>
    <x v="1"/>
    <x v="179"/>
    <n v="649.91"/>
    <n v="1360.12"/>
    <n v="1360.12"/>
    <n v="0.19400000000000001"/>
    <n v="9"/>
    <n v="9866.3104799999983"/>
    <n v="5849.19"/>
    <n v="4017.1204799999987"/>
    <n v="0.40715528749506769"/>
    <x v="9"/>
    <x v="3"/>
    <s v="Asia →China →Shanghai"/>
    <s v="Medium"/>
    <x v="9"/>
    <x v="0"/>
  </r>
  <r>
    <s v="ORD-2023-304451"/>
    <d v="2023-10-07T00:00:00"/>
    <d v="2023-10-23T00:00:00"/>
    <d v="2023-10-07T00:00:00"/>
    <d v="2023-10-23T00:00:00"/>
    <n v="16"/>
    <d v="2023-10-23T00:00:00"/>
    <n v="16"/>
    <x v="0"/>
    <x v="0"/>
    <x v="3"/>
    <x v="9"/>
    <s v="Hyderabad"/>
    <s v="Consumer"/>
    <x v="3"/>
    <x v="6"/>
    <x v="5"/>
    <x v="180"/>
    <n v="906.81"/>
    <n v="1395.56"/>
    <n v="1395.56"/>
    <n v="0.185"/>
    <n v="6"/>
    <n v="6824.2884000000004"/>
    <n v="5440.86"/>
    <n v="1383.4284000000007"/>
    <n v="0.20272126834498974"/>
    <x v="9"/>
    <x v="3"/>
    <s v="Asia →India →Hyderabad"/>
    <s v="Medium"/>
    <x v="9"/>
    <x v="0"/>
  </r>
  <r>
    <s v="ORD-2023-368449"/>
    <d v="2023-10-09T00:00:00"/>
    <d v="2023-10-26T00:00:00"/>
    <d v="2023-10-09T00:00:00"/>
    <d v="2023-10-26T00:00:00"/>
    <n v="17"/>
    <d v="2023-10-26T00:00:00"/>
    <n v="17"/>
    <x v="0"/>
    <x v="1"/>
    <x v="3"/>
    <x v="3"/>
    <s v="Shanghai"/>
    <s v="Consumer"/>
    <x v="4"/>
    <x v="11"/>
    <x v="6"/>
    <x v="181"/>
    <n v="1132.03"/>
    <n v="2137.21"/>
    <n v="2137.21"/>
    <n v="0.35699999999999998"/>
    <n v="35"/>
    <n v="48097.911050000002"/>
    <n v="39621.049999999996"/>
    <n v="8476.8610500000068"/>
    <n v="0.17624177152284051"/>
    <x v="9"/>
    <x v="3"/>
    <s v="Asia →China →Shanghai"/>
    <s v="High"/>
    <x v="9"/>
    <x v="0"/>
  </r>
  <r>
    <s v="ORD-2023-502205"/>
    <d v="2023-10-09T00:00:00"/>
    <d v="2023-10-11T00:00:00"/>
    <d v="2023-10-09T00:00:00"/>
    <d v="2023-10-11T00:00:00"/>
    <n v="2"/>
    <d v="2023-10-11T00:00:00"/>
    <n v="2"/>
    <x v="1"/>
    <x v="0"/>
    <x v="1"/>
    <x v="5"/>
    <s v="Port Harcourt"/>
    <s v="Education"/>
    <x v="4"/>
    <x v="10"/>
    <x v="4"/>
    <x v="182"/>
    <n v="391.16"/>
    <n v="902.47"/>
    <n v="902.47"/>
    <n v="4.0000000000000001E-3"/>
    <n v="12"/>
    <n v="10786.32144"/>
    <n v="4693.92"/>
    <n v="6092.4014399999996"/>
    <n v="0.56482661618139207"/>
    <x v="9"/>
    <x v="3"/>
    <s v="Africa →Nigeria →Port Harcourt"/>
    <s v="Medium"/>
    <x v="9"/>
    <x v="0"/>
  </r>
  <r>
    <s v="ORD-2023-888140"/>
    <d v="2023-10-11T00:00:00"/>
    <d v="2023-10-13T00:00:00"/>
    <d v="2023-10-11T00:00:00"/>
    <d v="2023-10-13T00:00:00"/>
    <n v="2"/>
    <d v="2023-10-13T00:00:00"/>
    <n v="2"/>
    <x v="1"/>
    <x v="0"/>
    <x v="0"/>
    <x v="10"/>
    <s v="Brasília"/>
    <s v="Consumer"/>
    <x v="0"/>
    <x v="15"/>
    <x v="3"/>
    <x v="183"/>
    <n v="715.94"/>
    <n v="550.07000000000005"/>
    <n v="550.07000000000005"/>
    <n v="0.14000000000000001"/>
    <n v="16"/>
    <n v="7568.9632000000001"/>
    <n v="11455.04"/>
    <n v="-3886.0768000000007"/>
    <n v="-0.51342260456491595"/>
    <x v="9"/>
    <x v="3"/>
    <s v="Americas →Brazil →Brasília"/>
    <s v="Low"/>
    <x v="9"/>
    <x v="0"/>
  </r>
  <r>
    <s v="ORD-2023-623293"/>
    <d v="2023-10-12T00:00:00"/>
    <d v="2023-10-29T00:00:00"/>
    <d v="2023-10-12T00:00:00"/>
    <d v="2023-10-29T00:00:00"/>
    <n v="17"/>
    <d v="2023-10-29T00:00:00"/>
    <n v="17"/>
    <x v="0"/>
    <x v="0"/>
    <x v="3"/>
    <x v="11"/>
    <s v="Nagoya"/>
    <s v="Non-Profit"/>
    <x v="2"/>
    <x v="4"/>
    <x v="2"/>
    <x v="184"/>
    <n v="1102.19"/>
    <n v="1711.16"/>
    <n v="1711.16"/>
    <n v="0.151"/>
    <n v="10"/>
    <n v="14527.748400000002"/>
    <n v="11021.900000000001"/>
    <n v="3505.8484000000008"/>
    <n v="0.24132083675127525"/>
    <x v="9"/>
    <x v="3"/>
    <s v="Asia →Japan →Nagoya"/>
    <s v="High"/>
    <x v="9"/>
    <x v="0"/>
  </r>
  <r>
    <s v="ORD-2023-925146"/>
    <d v="2023-10-15T00:00:00"/>
    <d v="2023-11-13T00:00:00"/>
    <d v="2023-10-15T00:00:00"/>
    <d v="2023-11-13T00:00:00"/>
    <n v="29"/>
    <d v="2023-11-13T00:00:00"/>
    <n v="29"/>
    <x v="0"/>
    <x v="0"/>
    <x v="3"/>
    <x v="3"/>
    <s v="Shenzhen"/>
    <s v="Non-Profit"/>
    <x v="0"/>
    <x v="13"/>
    <x v="1"/>
    <x v="185"/>
    <n v="986.44"/>
    <n v="790.61"/>
    <n v="790.61"/>
    <n v="7.1999999999999995E-2"/>
    <n v="6"/>
    <n v="4402.1164799999997"/>
    <n v="5918.64"/>
    <n v="-1516.5235200000006"/>
    <n v="-0.34449872621271499"/>
    <x v="9"/>
    <x v="3"/>
    <s v="Asia →China →Shenzhen"/>
    <s v="Low"/>
    <x v="9"/>
    <x v="0"/>
  </r>
  <r>
    <s v="ORD-2023-378104"/>
    <d v="2023-10-18T00:00:00"/>
    <d v="2023-10-20T00:00:00"/>
    <d v="2023-10-18T00:00:00"/>
    <d v="2023-10-20T00:00:00"/>
    <n v="2"/>
    <d v="2023-10-20T00:00:00"/>
    <n v="2"/>
    <x v="1"/>
    <x v="0"/>
    <x v="1"/>
    <x v="7"/>
    <s v="Kisumu"/>
    <s v="Consumer"/>
    <x v="3"/>
    <x v="13"/>
    <x v="2"/>
    <x v="186"/>
    <n v="774.12"/>
    <n v="908.3"/>
    <n v="908.3"/>
    <n v="0"/>
    <n v="30"/>
    <n v="27249"/>
    <n v="23223.599999999999"/>
    <n v="4025.4000000000015"/>
    <n v="0.14772652207420461"/>
    <x v="9"/>
    <x v="3"/>
    <s v="Africa →Kenya →Kisumu"/>
    <s v="Medium"/>
    <x v="9"/>
    <x v="0"/>
  </r>
  <r>
    <s v="ORD-2023-667815"/>
    <d v="2023-10-21T00:00:00"/>
    <d v="2023-11-09T00:00:00"/>
    <d v="2023-10-21T00:00:00"/>
    <d v="2023-11-09T00:00:00"/>
    <n v="19"/>
    <d v="2023-11-09T00:00:00"/>
    <n v="19"/>
    <x v="0"/>
    <x v="1"/>
    <x v="2"/>
    <x v="6"/>
    <s v="London"/>
    <s v="Non-Profit"/>
    <x v="2"/>
    <x v="1"/>
    <x v="3"/>
    <x v="187"/>
    <n v="1142.48"/>
    <n v="2105.5300000000002"/>
    <n v="2105.5300000000002"/>
    <n v="0.20699999999999999"/>
    <n v="14"/>
    <n v="23375.594060000003"/>
    <n v="15994.720000000001"/>
    <n v="7380.8740600000019"/>
    <n v="0.31575129346680658"/>
    <x v="9"/>
    <x v="3"/>
    <s v="Europe →United Kingdom →London"/>
    <s v="High"/>
    <x v="9"/>
    <x v="0"/>
  </r>
  <r>
    <s v="ORD-2023-659070"/>
    <d v="2023-10-21T00:00:00"/>
    <d v="2023-10-21T00:00:00"/>
    <d v="2023-10-21T00:00:00"/>
    <d v="2023-10-21T00:00:00"/>
    <n v="0"/>
    <d v="2023-10-21T00:00:00"/>
    <n v="0"/>
    <x v="1"/>
    <x v="0"/>
    <x v="2"/>
    <x v="6"/>
    <s v="Manchester"/>
    <s v="Enterprise"/>
    <x v="0"/>
    <x v="13"/>
    <x v="5"/>
    <x v="188"/>
    <n v="384.19"/>
    <n v="278.35000000000002"/>
    <n v="278.35000000000002"/>
    <n v="5.6000000000000001E-2"/>
    <n v="10"/>
    <n v="2627.6239999999998"/>
    <n v="3841.9"/>
    <n v="-1214.2760000000003"/>
    <n v="-0.46211938998882657"/>
    <x v="9"/>
    <x v="3"/>
    <s v="Europe →United Kingdom →Manchester"/>
    <s v="Low"/>
    <x v="9"/>
    <x v="0"/>
  </r>
  <r>
    <s v="ORD-2023-163610"/>
    <d v="2023-10-22T00:00:00"/>
    <d v="2023-11-16T00:00:00"/>
    <d v="2023-10-22T00:00:00"/>
    <d v="2023-11-16T00:00:00"/>
    <n v="25"/>
    <d v="2023-11-16T00:00:00"/>
    <n v="25"/>
    <x v="0"/>
    <x v="0"/>
    <x v="0"/>
    <x v="0"/>
    <s v="Toronto"/>
    <s v="Small Business"/>
    <x v="4"/>
    <x v="12"/>
    <x v="0"/>
    <x v="189"/>
    <n v="1373.31"/>
    <n v="3154.14"/>
    <n v="3154.14"/>
    <n v="0.2"/>
    <n v="11"/>
    <n v="27756.432000000001"/>
    <n v="15106.41"/>
    <n v="12650.022000000001"/>
    <n v="0.45575101295440279"/>
    <x v="9"/>
    <x v="3"/>
    <s v="Americas →Canada →Toronto"/>
    <s v="High"/>
    <x v="9"/>
    <x v="0"/>
  </r>
  <r>
    <s v="ORD-2023-597666"/>
    <d v="2023-10-25T00:00:00"/>
    <d v="2023-11-24T00:00:00"/>
    <d v="2023-10-25T00:00:00"/>
    <d v="2023-11-24T00:00:00"/>
    <n v="30"/>
    <d v="2023-11-24T00:00:00"/>
    <n v="30"/>
    <x v="0"/>
    <x v="1"/>
    <x v="2"/>
    <x v="2"/>
    <s v="Paris"/>
    <s v="Enterprise"/>
    <x v="0"/>
    <x v="11"/>
    <x v="2"/>
    <x v="190"/>
    <n v="287.85000000000002"/>
    <n v="602.91999999999996"/>
    <n v="602.91999999999996"/>
    <n v="0.222"/>
    <n v="11"/>
    <n v="5159.7893599999998"/>
    <n v="3166.3500000000004"/>
    <n v="1993.4393599999994"/>
    <n v="0.38634122847216373"/>
    <x v="9"/>
    <x v="3"/>
    <s v="Europe →France →Paris"/>
    <s v="Low"/>
    <x v="9"/>
    <x v="0"/>
  </r>
  <r>
    <s v="ORD-2023-406606"/>
    <d v="2023-10-25T00:00:00"/>
    <d v="2023-10-28T00:00:00"/>
    <d v="2023-10-25T00:00:00"/>
    <d v="2023-10-28T00:00:00"/>
    <n v="3"/>
    <d v="2023-10-28T00:00:00"/>
    <n v="3"/>
    <x v="1"/>
    <x v="0"/>
    <x v="0"/>
    <x v="10"/>
    <s v="Brasília"/>
    <s v="Corporate"/>
    <x v="0"/>
    <x v="9"/>
    <x v="3"/>
    <x v="191"/>
    <n v="509.31"/>
    <n v="1145.9000000000001"/>
    <n v="1145.9000000000001"/>
    <n v="5.7000000000000002E-2"/>
    <n v="8"/>
    <n v="8644.6696000000011"/>
    <n v="4074.48"/>
    <n v="4570.1896000000015"/>
    <n v="0.52867140231709964"/>
    <x v="9"/>
    <x v="3"/>
    <s v="Americas →Brazil →Brasília"/>
    <s v="Medium"/>
    <x v="9"/>
    <x v="0"/>
  </r>
  <r>
    <s v="ORD-2023-835226"/>
    <d v="2023-10-26T00:00:00"/>
    <d v="2023-11-05T00:00:00"/>
    <d v="2023-10-26T00:00:00"/>
    <d v="2023-11-05T00:00:00"/>
    <n v="10"/>
    <d v="2023-11-05T00:00:00"/>
    <n v="10"/>
    <x v="0"/>
    <x v="0"/>
    <x v="1"/>
    <x v="1"/>
    <s v="Cape Town"/>
    <s v="Non-Profit"/>
    <x v="1"/>
    <x v="12"/>
    <x v="0"/>
    <x v="192"/>
    <n v="20.38"/>
    <n v="42.56"/>
    <n v="42.56"/>
    <n v="7.1999999999999995E-2"/>
    <n v="11"/>
    <n v="434.45248000000004"/>
    <n v="224.17999999999998"/>
    <n v="210.27248000000006"/>
    <n v="0.48399419885921713"/>
    <x v="9"/>
    <x v="3"/>
    <s v="Africa →South Africa →Cape Town"/>
    <s v="Low"/>
    <x v="9"/>
    <x v="0"/>
  </r>
  <r>
    <s v="ORD-2023-211715"/>
    <d v="2023-10-30T00:00:00"/>
    <d v="2023-11-14T00:00:00"/>
    <d v="2023-10-30T00:00:00"/>
    <d v="2023-11-14T00:00:00"/>
    <n v="15"/>
    <d v="2023-11-14T00:00:00"/>
    <n v="15"/>
    <x v="0"/>
    <x v="0"/>
    <x v="3"/>
    <x v="9"/>
    <s v="Bengaluru"/>
    <s v="Corporate"/>
    <x v="1"/>
    <x v="7"/>
    <x v="0"/>
    <x v="193"/>
    <n v="953.46"/>
    <n v="2066.75"/>
    <n v="2066.75"/>
    <n v="0.13800000000000001"/>
    <n v="5"/>
    <n v="8907.6924999999992"/>
    <n v="4767.3"/>
    <n v="4140.392499999999"/>
    <n v="0.46481089238318446"/>
    <x v="9"/>
    <x v="3"/>
    <s v="Asia →India →Bengaluru"/>
    <s v="High"/>
    <x v="9"/>
    <x v="0"/>
  </r>
  <r>
    <s v="ORD-2023-842488"/>
    <d v="2023-10-31T00:00:00"/>
    <d v="2023-11-02T00:00:00"/>
    <d v="2023-10-31T00:00:00"/>
    <d v="2023-11-02T00:00:00"/>
    <n v="2"/>
    <d v="2023-11-02T00:00:00"/>
    <n v="2"/>
    <x v="1"/>
    <x v="0"/>
    <x v="1"/>
    <x v="7"/>
    <s v="Kisumu"/>
    <s v="Education"/>
    <x v="3"/>
    <x v="5"/>
    <x v="3"/>
    <x v="194"/>
    <n v="867.89"/>
    <n v="1349.94"/>
    <n v="1349.94"/>
    <n v="0.184"/>
    <n v="10"/>
    <n v="11015.510400000003"/>
    <n v="8678.9"/>
    <n v="2336.6104000000032"/>
    <n v="0.21212003031652557"/>
    <x v="9"/>
    <x v="3"/>
    <s v="Africa →Kenya →Kisumu"/>
    <s v="Medium"/>
    <x v="9"/>
    <x v="0"/>
  </r>
  <r>
    <s v="ORD-2023-653343"/>
    <d v="2023-11-10T00:00:00"/>
    <d v="2023-11-28T00:00:00"/>
    <d v="2023-11-10T00:00:00"/>
    <d v="2023-11-28T00:00:00"/>
    <n v="18"/>
    <d v="2023-11-28T00:00:00"/>
    <n v="18"/>
    <x v="0"/>
    <x v="0"/>
    <x v="0"/>
    <x v="10"/>
    <s v="Brasília"/>
    <s v="Education"/>
    <x v="4"/>
    <x v="9"/>
    <x v="3"/>
    <x v="195"/>
    <n v="388.51"/>
    <n v="776.46"/>
    <n v="776.46"/>
    <n v="0.157"/>
    <n v="12"/>
    <n v="7854.6693599999999"/>
    <n v="4662.12"/>
    <n v="3192.54936"/>
    <n v="0.40645241876864946"/>
    <x v="10"/>
    <x v="3"/>
    <s v="Americas →Brazil →Brasília"/>
    <s v="Low"/>
    <x v="10"/>
    <x v="0"/>
  </r>
  <r>
    <s v="ORD-2023-619570"/>
    <d v="2023-11-14T00:00:00"/>
    <d v="2023-11-30T00:00:00"/>
    <d v="2023-11-14T00:00:00"/>
    <d v="2023-11-30T00:00:00"/>
    <n v="16"/>
    <d v="2023-11-30T00:00:00"/>
    <n v="16"/>
    <x v="0"/>
    <x v="0"/>
    <x v="0"/>
    <x v="10"/>
    <s v="São Paulo"/>
    <s v="Enterprise"/>
    <x v="2"/>
    <x v="10"/>
    <x v="4"/>
    <x v="196"/>
    <n v="1017.92"/>
    <n v="1175.25"/>
    <n v="1175.25"/>
    <n v="7.4999999999999997E-2"/>
    <n v="15"/>
    <n v="16306.59375"/>
    <n v="15268.8"/>
    <n v="1037.7937500000007"/>
    <n v="6.3642583234159542E-2"/>
    <x v="10"/>
    <x v="3"/>
    <s v="Americas →Brazil →São Paulo"/>
    <s v="Medium"/>
    <x v="10"/>
    <x v="0"/>
  </r>
  <r>
    <s v="ORD-2023-181257"/>
    <d v="2023-11-15T00:00:00"/>
    <d v="2023-12-06T00:00:00"/>
    <d v="2023-11-15T00:00:00"/>
    <d v="2023-12-06T00:00:00"/>
    <n v="21"/>
    <d v="2023-12-06T00:00:00"/>
    <n v="21"/>
    <x v="0"/>
    <x v="0"/>
    <x v="2"/>
    <x v="6"/>
    <s v="Manchester"/>
    <s v="Education"/>
    <x v="2"/>
    <x v="4"/>
    <x v="3"/>
    <x v="197"/>
    <n v="1184.99"/>
    <n v="1154.3399999999999"/>
    <n v="1154.3399999999999"/>
    <n v="2.8000000000000001E-2"/>
    <n v="5"/>
    <n v="5610.0923999999995"/>
    <n v="5924.95"/>
    <n v="-314.85760000000028"/>
    <n v="-5.6123424990290764E-2"/>
    <x v="10"/>
    <x v="3"/>
    <s v="Europe →United Kingdom →Manchester"/>
    <s v="Medium"/>
    <x v="10"/>
    <x v="0"/>
  </r>
  <r>
    <s v="ORD-2023-576840"/>
    <d v="2023-11-19T00:00:00"/>
    <d v="2023-12-13T00:00:00"/>
    <d v="2023-11-19T00:00:00"/>
    <d v="2023-12-13T00:00:00"/>
    <n v="24"/>
    <d v="2023-12-13T00:00:00"/>
    <n v="24"/>
    <x v="0"/>
    <x v="0"/>
    <x v="2"/>
    <x v="2"/>
    <s v="Lyon"/>
    <s v="Non-Profit"/>
    <x v="2"/>
    <x v="4"/>
    <x v="5"/>
    <x v="198"/>
    <n v="1297.42"/>
    <n v="2742.97"/>
    <n v="2742.97"/>
    <n v="6.9000000000000006E-2"/>
    <n v="9"/>
    <n v="22983.34563"/>
    <n v="11676.78"/>
    <n v="11306.565629999999"/>
    <n v="0.49194602961727291"/>
    <x v="10"/>
    <x v="3"/>
    <s v="Europe →France →Lyon"/>
    <s v="High"/>
    <x v="10"/>
    <x v="0"/>
  </r>
  <r>
    <s v="ORD-2023-561823"/>
    <d v="2023-11-19T00:00:00"/>
    <d v="2023-12-12T00:00:00"/>
    <d v="2023-11-19T00:00:00"/>
    <d v="2023-12-12T00:00:00"/>
    <n v="23"/>
    <d v="2023-12-12T00:00:00"/>
    <n v="23"/>
    <x v="0"/>
    <x v="0"/>
    <x v="3"/>
    <x v="9"/>
    <s v="Delhi"/>
    <s v="Small Business"/>
    <x v="2"/>
    <x v="11"/>
    <x v="4"/>
    <x v="199"/>
    <n v="1349.04"/>
    <n v="2636.6"/>
    <n v="2636.6"/>
    <n v="0.114"/>
    <n v="14"/>
    <n v="32704.386400000003"/>
    <n v="18886.559999999998"/>
    <n v="13817.826400000005"/>
    <n v="0.42250682312143928"/>
    <x v="10"/>
    <x v="3"/>
    <s v="Asia →India →Delhi"/>
    <s v="High"/>
    <x v="10"/>
    <x v="0"/>
  </r>
  <r>
    <s v="ORD-2023-455933"/>
    <d v="2023-11-19T00:00:00"/>
    <d v="2023-12-19T00:00:00"/>
    <d v="2023-11-19T00:00:00"/>
    <d v="2023-12-19T00:00:00"/>
    <n v="30"/>
    <d v="2023-12-19T00:00:00"/>
    <n v="30"/>
    <x v="0"/>
    <x v="0"/>
    <x v="3"/>
    <x v="11"/>
    <s v="Nagoya"/>
    <s v="Consumer"/>
    <x v="3"/>
    <x v="15"/>
    <x v="2"/>
    <x v="200"/>
    <n v="807.11"/>
    <n v="1853.86"/>
    <n v="1853.86"/>
    <n v="0.13900000000000001"/>
    <n v="8"/>
    <n v="12769.38768"/>
    <n v="6456.88"/>
    <n v="6312.5076799999997"/>
    <n v="0.49434693645388639"/>
    <x v="10"/>
    <x v="3"/>
    <s v="Asia →Japan →Nagoya"/>
    <s v="High"/>
    <x v="10"/>
    <x v="0"/>
  </r>
  <r>
    <s v="ORD-2023-975863"/>
    <d v="2023-11-20T00:00:00"/>
    <d v="2023-12-05T00:00:00"/>
    <d v="2023-11-20T00:00:00"/>
    <d v="2023-12-05T00:00:00"/>
    <n v="15"/>
    <d v="2023-12-05T00:00:00"/>
    <n v="15"/>
    <x v="0"/>
    <x v="0"/>
    <x v="3"/>
    <x v="11"/>
    <s v="Tokyo"/>
    <s v="Enterprise"/>
    <x v="3"/>
    <x v="9"/>
    <x v="4"/>
    <x v="201"/>
    <n v="354.24"/>
    <n v="249.87"/>
    <n v="249.87"/>
    <n v="0"/>
    <n v="6"/>
    <n v="1499.22"/>
    <n v="2125.44"/>
    <n v="-626.22"/>
    <n v="-0.41769720254532355"/>
    <x v="10"/>
    <x v="3"/>
    <s v="Asia →Japan →Tokyo"/>
    <s v="Low"/>
    <x v="10"/>
    <x v="0"/>
  </r>
  <r>
    <s v="ORD-2023-964434"/>
    <d v="2023-11-28T00:00:00"/>
    <d v="2023-12-07T00:00:00"/>
    <d v="2023-11-28T00:00:00"/>
    <d v="2023-12-07T00:00:00"/>
    <n v="9"/>
    <d v="2023-12-07T00:00:00"/>
    <n v="9"/>
    <x v="0"/>
    <x v="1"/>
    <x v="3"/>
    <x v="9"/>
    <s v="Delhi"/>
    <s v="Enterprise"/>
    <x v="4"/>
    <x v="9"/>
    <x v="2"/>
    <x v="202"/>
    <n v="699.33"/>
    <n v="873.75"/>
    <n v="873.75"/>
    <n v="0.23499999999999999"/>
    <n v="10"/>
    <n v="6684.1875"/>
    <n v="6993.3"/>
    <n v="-309.11250000000018"/>
    <n v="-4.6245336475076469E-2"/>
    <x v="10"/>
    <x v="3"/>
    <s v="Asia →India →Delhi"/>
    <s v="Medium"/>
    <x v="10"/>
    <x v="0"/>
  </r>
  <r>
    <s v="ORD-2023-825495"/>
    <d v="2023-11-30T00:00:00"/>
    <d v="2023-11-29T00:00:00"/>
    <d v="2023-11-29T00:00:00"/>
    <d v="2023-11-30T00:00:00"/>
    <n v="1"/>
    <d v="2023-12-07T00:00:00"/>
    <n v="7"/>
    <x v="1"/>
    <x v="0"/>
    <x v="1"/>
    <x v="1"/>
    <s v="Durban"/>
    <s v="Small Business"/>
    <x v="4"/>
    <x v="14"/>
    <x v="0"/>
    <x v="203"/>
    <n v="275.56"/>
    <n v="630.72"/>
    <n v="630.72"/>
    <n v="0.107"/>
    <n v="23"/>
    <n v="12954.358080000002"/>
    <n v="6337.88"/>
    <n v="6616.4780800000017"/>
    <n v="0.5107530638831933"/>
    <x v="10"/>
    <x v="3"/>
    <s v="Africa →South Africa →Durban"/>
    <s v="Low"/>
    <x v="10"/>
    <x v="0"/>
  </r>
  <r>
    <s v="ORD-2023-191563"/>
    <d v="2023-11-30T00:00:00"/>
    <d v="2023-12-10T00:00:00"/>
    <d v="2023-11-30T00:00:00"/>
    <d v="2023-12-10T00:00:00"/>
    <n v="10"/>
    <d v="2023-12-10T00:00:00"/>
    <n v="10"/>
    <x v="0"/>
    <x v="0"/>
    <x v="2"/>
    <x v="8"/>
    <s v="Munich"/>
    <s v="Small Business"/>
    <x v="2"/>
    <x v="7"/>
    <x v="0"/>
    <x v="204"/>
    <n v="174.74"/>
    <n v="415.96"/>
    <n v="415.96"/>
    <n v="0.125"/>
    <n v="21"/>
    <n v="7643.2649999999994"/>
    <n v="3669.54"/>
    <n v="3973.7249999999995"/>
    <n v="0.51989889137691803"/>
    <x v="10"/>
    <x v="3"/>
    <s v="Europe →Germany →Munich"/>
    <s v="Low"/>
    <x v="10"/>
    <x v="0"/>
  </r>
  <r>
    <s v="ORD-2023-573146"/>
    <d v="2023-12-01T00:00:00"/>
    <d v="2023-12-18T00:00:00"/>
    <d v="2023-12-01T00:00:00"/>
    <d v="2023-12-18T00:00:00"/>
    <n v="17"/>
    <d v="2023-12-18T00:00:00"/>
    <n v="17"/>
    <x v="0"/>
    <x v="0"/>
    <x v="3"/>
    <x v="11"/>
    <s v="Nagoya"/>
    <s v="Small Business"/>
    <x v="2"/>
    <x v="8"/>
    <x v="0"/>
    <x v="205"/>
    <n v="1495.79"/>
    <n v="2783.12"/>
    <n v="2783.12"/>
    <n v="0.02"/>
    <n v="5"/>
    <n v="13637.287999999999"/>
    <n v="7478.95"/>
    <n v="6158.3379999999988"/>
    <n v="0.45158084217331185"/>
    <x v="11"/>
    <x v="3"/>
    <s v="Asia →Japan →Nagoya"/>
    <s v="High"/>
    <x v="11"/>
    <x v="0"/>
  </r>
  <r>
    <s v="ORD-2023-212701"/>
    <d v="2023-12-02T00:00:00"/>
    <d v="2023-12-16T00:00:00"/>
    <d v="2023-12-02T00:00:00"/>
    <d v="2023-12-16T00:00:00"/>
    <n v="14"/>
    <d v="2023-12-16T00:00:00"/>
    <n v="14"/>
    <x v="0"/>
    <x v="0"/>
    <x v="2"/>
    <x v="8"/>
    <s v="Frankfurt"/>
    <s v="Education"/>
    <x v="2"/>
    <x v="8"/>
    <x v="5"/>
    <x v="206"/>
    <n v="879.08"/>
    <n v="1093.3900000000001"/>
    <n v="1093.3900000000001"/>
    <n v="0.113"/>
    <n v="17"/>
    <n v="16487.22781"/>
    <n v="14944.36"/>
    <n v="1542.8678099999997"/>
    <n v="9.3579577341935186E-2"/>
    <x v="11"/>
    <x v="3"/>
    <s v="Europe →Germany →Frankfurt"/>
    <s v="Medium"/>
    <x v="11"/>
    <x v="0"/>
  </r>
  <r>
    <s v="ORD-2023-239789"/>
    <d v="2023-12-03T00:00:00"/>
    <d v="2023-12-26T00:00:00"/>
    <d v="2023-12-03T00:00:00"/>
    <d v="2023-12-26T00:00:00"/>
    <n v="23"/>
    <d v="2023-12-26T00:00:00"/>
    <n v="23"/>
    <x v="0"/>
    <x v="0"/>
    <x v="0"/>
    <x v="10"/>
    <s v="Rio de Janeiro"/>
    <s v="Education"/>
    <x v="3"/>
    <x v="5"/>
    <x v="2"/>
    <x v="207"/>
    <n v="1303.1099999999999"/>
    <n v="1145.67"/>
    <n v="1145.67"/>
    <n v="0.184"/>
    <n v="13"/>
    <n v="12153.267360000002"/>
    <n v="16940.43"/>
    <n v="-4787.1626399999986"/>
    <n v="-0.39389922875851208"/>
    <x v="11"/>
    <x v="3"/>
    <s v="Americas →Brazil →Rio de Janeiro"/>
    <s v="Medium"/>
    <x v="11"/>
    <x v="0"/>
  </r>
  <r>
    <s v="ORD-2023-581799"/>
    <d v="2023-12-05T00:00:00"/>
    <d v="2023-12-12T00:00:00"/>
    <d v="2023-12-05T00:00:00"/>
    <d v="2023-12-12T00:00:00"/>
    <n v="7"/>
    <d v="2023-12-12T00:00:00"/>
    <n v="7"/>
    <x v="1"/>
    <x v="0"/>
    <x v="0"/>
    <x v="10"/>
    <s v="Brasília"/>
    <s v="Corporate"/>
    <x v="2"/>
    <x v="7"/>
    <x v="2"/>
    <x v="208"/>
    <n v="307.43"/>
    <n v="495.19"/>
    <n v="495.19"/>
    <n v="0"/>
    <n v="42"/>
    <n v="20797.98"/>
    <n v="12912.06"/>
    <n v="7885.92"/>
    <n v="0.37916759223732305"/>
    <x v="11"/>
    <x v="3"/>
    <s v="Americas →Brazil →Brasília"/>
    <s v="Low"/>
    <x v="11"/>
    <x v="0"/>
  </r>
  <r>
    <s v="ORD-2023-824839"/>
    <d v="2023-12-06T00:00:00"/>
    <d v="2023-12-31T00:00:00"/>
    <d v="2023-12-06T00:00:00"/>
    <d v="2023-12-31T00:00:00"/>
    <n v="25"/>
    <d v="2023-12-31T00:00:00"/>
    <n v="25"/>
    <x v="0"/>
    <x v="0"/>
    <x v="3"/>
    <x v="11"/>
    <s v="Osaka"/>
    <s v="Consumer"/>
    <x v="3"/>
    <x v="9"/>
    <x v="1"/>
    <x v="209"/>
    <n v="663.03"/>
    <n v="813.51"/>
    <n v="813.51"/>
    <n v="0.10199999999999999"/>
    <n v="15"/>
    <n v="10957.9797"/>
    <n v="9945.4499999999989"/>
    <n v="1012.529700000001"/>
    <n v="9.2401129379715952E-2"/>
    <x v="11"/>
    <x v="3"/>
    <s v="Asia →Japan →Osaka"/>
    <s v="Low"/>
    <x v="11"/>
    <x v="0"/>
  </r>
  <r>
    <s v="ORD-2023-596758"/>
    <d v="2023-12-07T00:00:00"/>
    <d v="2023-12-05T00:00:00"/>
    <d v="2023-12-05T00:00:00"/>
    <d v="2023-12-07T00:00:00"/>
    <n v="2"/>
    <d v="2023-12-14T00:00:00"/>
    <n v="7"/>
    <x v="1"/>
    <x v="0"/>
    <x v="3"/>
    <x v="11"/>
    <s v="Tokyo"/>
    <s v="Non-Profit"/>
    <x v="4"/>
    <x v="4"/>
    <x v="1"/>
    <x v="210"/>
    <n v="1097.5899999999999"/>
    <n v="845.55"/>
    <n v="845.55"/>
    <n v="0.184"/>
    <n v="6"/>
    <n v="4139.8127999999997"/>
    <n v="6585.5399999999991"/>
    <n v="-2445.7271999999994"/>
    <n v="-0.59078207594314402"/>
    <x v="11"/>
    <x v="3"/>
    <s v="Asia →Japan →Tokyo"/>
    <s v="Medium"/>
    <x v="11"/>
    <x v="0"/>
  </r>
  <r>
    <s v="ORD-2023-961864"/>
    <d v="2023-12-07T00:00:00"/>
    <d v="2024-01-02T00:00:00"/>
    <d v="2023-12-07T00:00:00"/>
    <d v="2024-01-02T00:00:00"/>
    <n v="26"/>
    <d v="2024-01-02T00:00:00"/>
    <n v="26"/>
    <x v="0"/>
    <x v="0"/>
    <x v="2"/>
    <x v="8"/>
    <s v="Frankfurt"/>
    <s v="Enterprise"/>
    <x v="0"/>
    <x v="14"/>
    <x v="6"/>
    <x v="211"/>
    <n v="1071.99"/>
    <n v="2397.3000000000002"/>
    <n v="2397.3000000000002"/>
    <n v="6.2E-2"/>
    <n v="18"/>
    <n v="40476.013200000001"/>
    <n v="19295.82"/>
    <n v="21180.193200000002"/>
    <n v="0.52327765324476183"/>
    <x v="11"/>
    <x v="3"/>
    <s v="Europe →Germany →Frankfurt"/>
    <s v="High"/>
    <x v="11"/>
    <x v="0"/>
  </r>
  <r>
    <s v="ORD-2023-674887"/>
    <d v="2023-12-16T00:00:00"/>
    <d v="2023-12-19T00:00:00"/>
    <d v="2023-12-16T00:00:00"/>
    <d v="2023-12-19T00:00:00"/>
    <n v="3"/>
    <d v="2023-12-19T00:00:00"/>
    <n v="3"/>
    <x v="1"/>
    <x v="0"/>
    <x v="3"/>
    <x v="3"/>
    <s v="Beijing"/>
    <s v="Education"/>
    <x v="3"/>
    <x v="1"/>
    <x v="3"/>
    <x v="212"/>
    <n v="1415.05"/>
    <n v="1972.38"/>
    <n v="1972.38"/>
    <n v="0"/>
    <n v="12"/>
    <n v="23668.560000000001"/>
    <n v="16980.599999999999"/>
    <n v="6687.9600000000028"/>
    <n v="0.28256725377462771"/>
    <x v="11"/>
    <x v="3"/>
    <s v="Asia →China →Beijing"/>
    <s v="High"/>
    <x v="11"/>
    <x v="0"/>
  </r>
  <r>
    <s v="ORD-2023-728177"/>
    <d v="2023-12-18T00:00:00"/>
    <d v="2024-01-14T00:00:00"/>
    <d v="2023-12-18T00:00:00"/>
    <d v="2024-01-14T00:00:00"/>
    <n v="27"/>
    <d v="2024-01-14T00:00:00"/>
    <n v="27"/>
    <x v="0"/>
    <x v="0"/>
    <x v="3"/>
    <x v="9"/>
    <s v="Mumbai"/>
    <s v="Consumer"/>
    <x v="0"/>
    <x v="2"/>
    <x v="4"/>
    <x v="213"/>
    <n v="1408.3"/>
    <n v="2193.13"/>
    <n v="2193.13"/>
    <n v="7.0999999999999994E-2"/>
    <n v="7"/>
    <n v="14261.92439"/>
    <n v="9858.1"/>
    <n v="4403.8243899999998"/>
    <n v="0.30878191957656281"/>
    <x v="11"/>
    <x v="3"/>
    <s v="Asia →India →Mumbai"/>
    <s v="High"/>
    <x v="11"/>
    <x v="0"/>
  </r>
  <r>
    <s v="ORD-2023-195665"/>
    <d v="2023-12-19T00:00:00"/>
    <d v="2023-12-20T00:00:00"/>
    <d v="2023-12-19T00:00:00"/>
    <d v="2023-12-20T00:00:00"/>
    <n v="1"/>
    <d v="2023-12-20T00:00:00"/>
    <n v="1"/>
    <x v="1"/>
    <x v="0"/>
    <x v="0"/>
    <x v="10"/>
    <s v="Rio de Janeiro"/>
    <s v="Consumer"/>
    <x v="0"/>
    <x v="13"/>
    <x v="2"/>
    <x v="214"/>
    <n v="1080.43"/>
    <n v="2529.15"/>
    <n v="2529.15"/>
    <n v="0.14699999999999999"/>
    <n v="10"/>
    <n v="21573.6495"/>
    <n v="10804.300000000001"/>
    <n v="10769.349499999998"/>
    <n v="0.49918997247081437"/>
    <x v="11"/>
    <x v="3"/>
    <s v="Americas →Brazil →Rio de Janeiro"/>
    <s v="High"/>
    <x v="11"/>
    <x v="0"/>
  </r>
  <r>
    <s v="ORD-2023-126505"/>
    <d v="2023-12-19T00:00:00"/>
    <d v="2024-01-01T00:00:00"/>
    <d v="2023-12-19T00:00:00"/>
    <d v="2024-01-01T00:00:00"/>
    <n v="13"/>
    <d v="2024-01-01T00:00:00"/>
    <n v="13"/>
    <x v="0"/>
    <x v="0"/>
    <x v="0"/>
    <x v="0"/>
    <s v="Toronto"/>
    <s v="Enterprise"/>
    <x v="3"/>
    <x v="10"/>
    <x v="5"/>
    <x v="215"/>
    <n v="856.1"/>
    <n v="901.48"/>
    <n v="901.48"/>
    <n v="5.6000000000000001E-2"/>
    <n v="17"/>
    <n v="14466.95104"/>
    <n v="14553.7"/>
    <n v="-86.748960000000807"/>
    <n v="-5.9963540182134192E-3"/>
    <x v="11"/>
    <x v="3"/>
    <s v="Americas →Canada →Toronto"/>
    <s v="Medium"/>
    <x v="11"/>
    <x v="0"/>
  </r>
  <r>
    <s v="ORD-2023-431328"/>
    <d v="2023-12-20T00:00:00"/>
    <d v="2024-01-14T00:00:00"/>
    <d v="2023-12-20T00:00:00"/>
    <d v="2024-01-14T00:00:00"/>
    <n v="25"/>
    <d v="2024-01-14T00:00:00"/>
    <n v="25"/>
    <x v="0"/>
    <x v="0"/>
    <x v="3"/>
    <x v="9"/>
    <s v="Mumbai"/>
    <s v="Non-Profit"/>
    <x v="4"/>
    <x v="9"/>
    <x v="5"/>
    <x v="216"/>
    <n v="1085.6099999999999"/>
    <n v="1246.4100000000001"/>
    <n v="1246.4100000000001"/>
    <n v="0.113"/>
    <n v="7"/>
    <n v="7738.9596900000006"/>
    <n v="7599.2699999999995"/>
    <n v="139.68969000000106"/>
    <n v="1.8050189637310417E-2"/>
    <x v="11"/>
    <x v="3"/>
    <s v="Asia →India →Mumbai"/>
    <s v="Medium"/>
    <x v="11"/>
    <x v="0"/>
  </r>
  <r>
    <s v="ORD-2023-208944"/>
    <d v="2023-12-21T00:00:00"/>
    <d v="2024-01-06T00:00:00"/>
    <d v="2023-12-21T00:00:00"/>
    <d v="2024-01-06T00:00:00"/>
    <n v="16"/>
    <d v="2024-01-06T00:00:00"/>
    <n v="16"/>
    <x v="0"/>
    <x v="0"/>
    <x v="1"/>
    <x v="5"/>
    <s v="N/A"/>
    <s v="Corporate"/>
    <x v="4"/>
    <x v="10"/>
    <x v="6"/>
    <x v="217"/>
    <n v="932.61"/>
    <n v="1982.98"/>
    <n v="1982.98"/>
    <n v="0.14399999999999999"/>
    <n v="16"/>
    <n v="27158.894079999998"/>
    <n v="14921.76"/>
    <n v="12237.134079999998"/>
    <n v="0.45057556629345635"/>
    <x v="11"/>
    <x v="3"/>
    <s v="Africa →Nigeria →N/A"/>
    <s v="High"/>
    <x v="11"/>
    <x v="0"/>
  </r>
  <r>
    <s v="ORD-2023-841426"/>
    <d v="2023-12-22T00:00:00"/>
    <d v="2023-12-23T00:00:00"/>
    <d v="2023-12-22T00:00:00"/>
    <d v="2023-12-23T00:00:00"/>
    <n v="1"/>
    <d v="2023-12-23T00:00:00"/>
    <n v="1"/>
    <x v="1"/>
    <x v="0"/>
    <x v="1"/>
    <x v="1"/>
    <s v="Cape Town"/>
    <s v="Non-Profit"/>
    <x v="4"/>
    <x v="2"/>
    <x v="6"/>
    <x v="218"/>
    <n v="1186.18"/>
    <n v="1285.0899999999999"/>
    <n v="1285.0899999999999"/>
    <n v="7.0000000000000007E-2"/>
    <n v="11"/>
    <n v="13146.470699999998"/>
    <n v="13047.980000000001"/>
    <n v="98.49069999999665"/>
    <n v="7.4917977796121861E-3"/>
    <x v="11"/>
    <x v="3"/>
    <s v="Africa →South Africa →Cape Town"/>
    <s v="Medium"/>
    <x v="11"/>
    <x v="0"/>
  </r>
  <r>
    <s v="ORD-2023-249805"/>
    <d v="2023-12-22T00:00:00"/>
    <d v="2024-01-16T00:00:00"/>
    <d v="2023-12-22T00:00:00"/>
    <d v="2024-01-16T00:00:00"/>
    <n v="25"/>
    <d v="2024-01-16T00:00:00"/>
    <n v="25"/>
    <x v="0"/>
    <x v="0"/>
    <x v="3"/>
    <x v="9"/>
    <s v="Hyderabad"/>
    <s v="Small Business"/>
    <x v="3"/>
    <x v="1"/>
    <x v="6"/>
    <x v="219"/>
    <n v="1346.81"/>
    <n v="978.09"/>
    <n v="978.09"/>
    <n v="0.159"/>
    <n v="17"/>
    <n v="13983.752729999998"/>
    <n v="22895.77"/>
    <n v="-8912.0172700000021"/>
    <n v="-0.6373122753293996"/>
    <x v="11"/>
    <x v="3"/>
    <s v="Asia →India →Hyderabad"/>
    <s v="Medium"/>
    <x v="11"/>
    <x v="0"/>
  </r>
  <r>
    <s v="ORD-2023-967239"/>
    <d v="2023-12-24T00:00:00"/>
    <d v="2024-01-01T00:00:00"/>
    <d v="2023-12-24T00:00:00"/>
    <d v="2024-01-01T00:00:00"/>
    <n v="8"/>
    <d v="2024-01-01T00:00:00"/>
    <n v="8"/>
    <x v="0"/>
    <x v="0"/>
    <x v="0"/>
    <x v="10"/>
    <s v="São Paulo"/>
    <s v="Education"/>
    <x v="2"/>
    <x v="11"/>
    <x v="2"/>
    <x v="220"/>
    <n v="526.49"/>
    <n v="496.2"/>
    <n v="496.2"/>
    <n v="0"/>
    <n v="14"/>
    <n v="6946.8"/>
    <n v="7370.8600000000006"/>
    <n v="-424.0600000000004"/>
    <n v="-6.1043933897621985E-2"/>
    <x v="11"/>
    <x v="3"/>
    <s v="Americas →Brazil →São Paulo"/>
    <s v="Low"/>
    <x v="11"/>
    <x v="0"/>
  </r>
  <r>
    <s v="ORD-2023-580751"/>
    <d v="2023-12-24T00:00:00"/>
    <d v="2024-01-13T00:00:00"/>
    <d v="2023-12-24T00:00:00"/>
    <d v="2024-01-13T00:00:00"/>
    <n v="20"/>
    <d v="2024-01-13T00:00:00"/>
    <n v="20"/>
    <x v="0"/>
    <x v="0"/>
    <x v="3"/>
    <x v="11"/>
    <s v="Nagoya"/>
    <s v="Education"/>
    <x v="2"/>
    <x v="0"/>
    <x v="0"/>
    <x v="221"/>
    <n v="625.37"/>
    <n v="1319.04"/>
    <n v="1319.04"/>
    <n v="7.3999999999999996E-2"/>
    <n v="8"/>
    <n v="9771.4483199999995"/>
    <n v="5002.96"/>
    <n v="4768.4883199999995"/>
    <n v="0.48800220436513547"/>
    <x v="11"/>
    <x v="3"/>
    <s v="Asia →Japan →Nagoya"/>
    <s v="Medium"/>
    <x v="11"/>
    <x v="0"/>
  </r>
  <r>
    <s v="ORD-2023-813340"/>
    <d v="2023-12-26T00:00:00"/>
    <d v="2024-01-03T00:00:00"/>
    <d v="2023-12-26T00:00:00"/>
    <d v="2024-01-03T00:00:00"/>
    <n v="8"/>
    <d v="2024-01-03T00:00:00"/>
    <n v="8"/>
    <x v="0"/>
    <x v="0"/>
    <x v="2"/>
    <x v="2"/>
    <s v="Lyon"/>
    <s v="Small Business"/>
    <x v="3"/>
    <x v="3"/>
    <x v="0"/>
    <x v="222"/>
    <n v="492.75"/>
    <n v="731.29"/>
    <n v="731.29"/>
    <n v="5.8000000000000003E-2"/>
    <n v="6"/>
    <n v="4133.25108"/>
    <n v="2956.5"/>
    <n v="1176.75108"/>
    <n v="0.28470350753528384"/>
    <x v="11"/>
    <x v="3"/>
    <s v="Europe →France →Lyon"/>
    <s v="Low"/>
    <x v="11"/>
    <x v="0"/>
  </r>
  <r>
    <s v="ORD-2023-974506"/>
    <d v="2023-12-28T00:00:00"/>
    <d v="2024-01-01T00:00:00"/>
    <d v="2023-12-28T00:00:00"/>
    <d v="2024-01-01T00:00:00"/>
    <n v="4"/>
    <d v="2024-01-01T00:00:00"/>
    <n v="4"/>
    <x v="1"/>
    <x v="0"/>
    <x v="1"/>
    <x v="1"/>
    <s v="Cape Town"/>
    <s v="Education"/>
    <x v="0"/>
    <x v="1"/>
    <x v="1"/>
    <x v="223"/>
    <n v="1141.8"/>
    <n v="2318.7399999999998"/>
    <n v="2318.7399999999998"/>
    <n v="0.107"/>
    <n v="32"/>
    <n v="66260.314239999992"/>
    <n v="36537.599999999999"/>
    <n v="29722.714239999994"/>
    <n v="0.44857490612468304"/>
    <x v="11"/>
    <x v="3"/>
    <s v="Africa →South Africa →Cape Town"/>
    <s v="High"/>
    <x v="11"/>
    <x v="0"/>
  </r>
  <r>
    <s v="ORD-2023-178249"/>
    <d v="2023-12-29T00:00:00"/>
    <d v="2024-01-20T00:00:00"/>
    <d v="2023-12-29T00:00:00"/>
    <d v="2024-01-20T00:00:00"/>
    <n v="22"/>
    <d v="2024-01-20T00:00:00"/>
    <n v="22"/>
    <x v="0"/>
    <x v="1"/>
    <x v="1"/>
    <x v="7"/>
    <s v="Kisumu"/>
    <s v="Corporate"/>
    <x v="2"/>
    <x v="9"/>
    <x v="2"/>
    <x v="224"/>
    <n v="1395.49"/>
    <n v="1679.42"/>
    <n v="1679.42"/>
    <n v="0.20300000000000001"/>
    <n v="12"/>
    <n v="16061.972879999999"/>
    <n v="16745.88"/>
    <n v="-683.90712000000167"/>
    <n v="-4.2579272490964493E-2"/>
    <x v="11"/>
    <x v="3"/>
    <s v="Africa →Kenya →Kisumu"/>
    <s v="High"/>
    <x v="11"/>
    <x v="0"/>
  </r>
  <r>
    <s v="ORD-2023-808024"/>
    <d v="2023-12-30T00:00:00"/>
    <d v="2024-01-08T00:00:00"/>
    <d v="2023-12-30T00:00:00"/>
    <d v="2024-01-08T00:00:00"/>
    <n v="9"/>
    <d v="2024-01-08T00:00:00"/>
    <n v="9"/>
    <x v="0"/>
    <x v="0"/>
    <x v="2"/>
    <x v="2"/>
    <s v="Marseille"/>
    <s v="Consumer"/>
    <x v="4"/>
    <x v="9"/>
    <x v="3"/>
    <x v="225"/>
    <n v="861.1"/>
    <n v="1224.72"/>
    <n v="1224.72"/>
    <n v="0.17399999999999999"/>
    <n v="24"/>
    <n v="24278.849280000002"/>
    <n v="20666.400000000001"/>
    <n v="3612.4492800000007"/>
    <n v="0.14878997098827909"/>
    <x v="11"/>
    <x v="3"/>
    <s v="Europe →France →Marseille"/>
    <s v="Medium"/>
    <x v="11"/>
    <x v="0"/>
  </r>
  <r>
    <s v="ORD-2024-921935"/>
    <d v="2024-01-01T00:00:00"/>
    <d v="2024-01-27T00:00:00"/>
    <d v="2024-01-01T00:00:00"/>
    <d v="2024-01-27T00:00:00"/>
    <n v="26"/>
    <d v="2024-01-27T00:00:00"/>
    <n v="26"/>
    <x v="0"/>
    <x v="0"/>
    <x v="2"/>
    <x v="6"/>
    <s v="Manchester"/>
    <s v="Education"/>
    <x v="0"/>
    <x v="2"/>
    <x v="3"/>
    <x v="226"/>
    <n v="657.45"/>
    <n v="1325.96"/>
    <n v="1325.96"/>
    <n v="0.16700000000000001"/>
    <n v="21"/>
    <n v="23195.01828"/>
    <n v="13806.45"/>
    <n v="9388.5682799999995"/>
    <n v="0.40476658249048808"/>
    <x v="12"/>
    <x v="4"/>
    <s v="Europe →United Kingdom →Manchester"/>
    <s v="Medium"/>
    <x v="0"/>
    <x v="1"/>
  </r>
  <r>
    <s v="ORD-2024-719055"/>
    <d v="2024-01-02T00:00:00"/>
    <d v="2024-01-01T00:00:00"/>
    <d v="2024-01-01T00:00:00"/>
    <d v="2024-01-02T00:00:00"/>
    <n v="1"/>
    <d v="2024-01-09T00:00:00"/>
    <n v="7"/>
    <x v="1"/>
    <x v="1"/>
    <x v="0"/>
    <x v="4"/>
    <s v="Chicago"/>
    <s v="Education"/>
    <x v="4"/>
    <x v="0"/>
    <x v="4"/>
    <x v="227"/>
    <n v="404.77"/>
    <n v="433.88"/>
    <n v="433.88"/>
    <n v="0.215"/>
    <n v="22"/>
    <n v="7493.1076000000012"/>
    <n v="8904.9399999999987"/>
    <n v="-1411.8323999999975"/>
    <n v="-0.18841747314558746"/>
    <x v="12"/>
    <x v="4"/>
    <s v="Americas →USA →Chicago"/>
    <s v="Low"/>
    <x v="0"/>
    <x v="1"/>
  </r>
  <r>
    <s v="ORD-2024-105586"/>
    <d v="2024-01-02T00:00:00"/>
    <d v="2024-01-15T00:00:00"/>
    <d v="2024-01-02T00:00:00"/>
    <d v="2024-01-15T00:00:00"/>
    <n v="13"/>
    <d v="2024-01-15T00:00:00"/>
    <n v="13"/>
    <x v="0"/>
    <x v="0"/>
    <x v="3"/>
    <x v="11"/>
    <s v="Nagoya"/>
    <s v="Small Business"/>
    <x v="4"/>
    <x v="6"/>
    <x v="4"/>
    <x v="228"/>
    <n v="1219.06"/>
    <n v="2738.69"/>
    <n v="2738.69"/>
    <n v="7.5999999999999998E-2"/>
    <n v="16"/>
    <n v="40488.792960000006"/>
    <n v="19504.96"/>
    <n v="20983.832960000007"/>
    <n v="0.51826274447673737"/>
    <x v="12"/>
    <x v="4"/>
    <s v="Asia →Japan →Nagoya"/>
    <s v="High"/>
    <x v="0"/>
    <x v="1"/>
  </r>
  <r>
    <s v="ORD-2024-355095"/>
    <d v="2024-01-02T00:00:00"/>
    <d v="2024-01-02T00:00:00"/>
    <d v="2024-01-02T00:00:00"/>
    <d v="2024-01-02T00:00:00"/>
    <n v="0"/>
    <d v="2024-01-02T00:00:00"/>
    <n v="0"/>
    <x v="1"/>
    <x v="1"/>
    <x v="0"/>
    <x v="0"/>
    <s v="Vancouver"/>
    <s v="Education"/>
    <x v="2"/>
    <x v="1"/>
    <x v="0"/>
    <x v="229"/>
    <n v="444.41"/>
    <n v="754.24"/>
    <n v="754.24"/>
    <n v="0.20699999999999999"/>
    <n v="32"/>
    <n v="19139.594240000002"/>
    <n v="14221.12"/>
    <n v="4918.4742400000014"/>
    <n v="0.25697902360546598"/>
    <x v="12"/>
    <x v="4"/>
    <s v="Americas →Canada →Vancouver"/>
    <s v="Low"/>
    <x v="0"/>
    <x v="1"/>
  </r>
  <r>
    <s v="ORD-2024-872291"/>
    <d v="2024-01-08T00:00:00"/>
    <d v="2024-01-12T00:00:00"/>
    <d v="2024-01-08T00:00:00"/>
    <d v="2024-01-12T00:00:00"/>
    <n v="4"/>
    <d v="2024-01-12T00:00:00"/>
    <n v="4"/>
    <x v="1"/>
    <x v="0"/>
    <x v="3"/>
    <x v="9"/>
    <s v="Bengaluru"/>
    <s v="Corporate"/>
    <x v="2"/>
    <x v="14"/>
    <x v="1"/>
    <x v="230"/>
    <n v="802.32"/>
    <n v="602.34"/>
    <n v="602.34"/>
    <n v="0.12"/>
    <n v="25"/>
    <n v="13251.48"/>
    <n v="20058"/>
    <n v="-6806.52"/>
    <n v="-0.51364224977134632"/>
    <x v="12"/>
    <x v="4"/>
    <s v="Asia →India →Bengaluru"/>
    <s v="Low"/>
    <x v="0"/>
    <x v="1"/>
  </r>
  <r>
    <s v="ORD-2024-885858"/>
    <d v="2024-01-10T00:00:00"/>
    <d v="2024-01-23T00:00:00"/>
    <d v="2024-01-10T00:00:00"/>
    <d v="2024-01-23T00:00:00"/>
    <n v="13"/>
    <d v="2024-01-23T00:00:00"/>
    <n v="13"/>
    <x v="0"/>
    <x v="0"/>
    <x v="2"/>
    <x v="2"/>
    <s v="Marseille"/>
    <s v="Corporate"/>
    <x v="2"/>
    <x v="1"/>
    <x v="1"/>
    <x v="231"/>
    <n v="720"/>
    <n v="907.59"/>
    <n v="907.59"/>
    <n v="0.154"/>
    <n v="10"/>
    <n v="7678.2113999999992"/>
    <n v="7200"/>
    <n v="478.21139999999923"/>
    <n v="6.2281614179052078E-2"/>
    <x v="12"/>
    <x v="4"/>
    <s v="Europe →France →Marseille"/>
    <s v="Medium"/>
    <x v="0"/>
    <x v="1"/>
  </r>
  <r>
    <s v="ORD-2024-296582"/>
    <d v="2024-01-11T00:00:00"/>
    <d v="2024-02-02T00:00:00"/>
    <d v="2024-01-11T00:00:00"/>
    <d v="2024-02-02T00:00:00"/>
    <n v="22"/>
    <d v="2024-02-02T00:00:00"/>
    <n v="22"/>
    <x v="0"/>
    <x v="0"/>
    <x v="1"/>
    <x v="1"/>
    <s v="Durban"/>
    <s v="Consumer"/>
    <x v="1"/>
    <x v="10"/>
    <x v="4"/>
    <x v="232"/>
    <n v="1206.2"/>
    <n v="1759.79"/>
    <n v="1759.79"/>
    <n v="0"/>
    <n v="6"/>
    <n v="10558.74"/>
    <n v="7237.2000000000007"/>
    <n v="3321.5399999999991"/>
    <n v="0.31457730751964713"/>
    <x v="12"/>
    <x v="4"/>
    <s v="Africa →South Africa →Durban"/>
    <s v="High"/>
    <x v="0"/>
    <x v="1"/>
  </r>
  <r>
    <s v="ORD-2024-281211"/>
    <d v="2024-01-11T00:00:00"/>
    <d v="2024-02-02T00:00:00"/>
    <d v="2024-01-11T00:00:00"/>
    <d v="2024-02-02T00:00:00"/>
    <n v="22"/>
    <d v="2024-02-02T00:00:00"/>
    <n v="22"/>
    <x v="0"/>
    <x v="0"/>
    <x v="3"/>
    <x v="11"/>
    <s v="Nagoya"/>
    <s v="Small Business"/>
    <x v="1"/>
    <x v="15"/>
    <x v="1"/>
    <x v="233"/>
    <n v="1237.68"/>
    <n v="1432.8"/>
    <n v="1432.8"/>
    <n v="6.8000000000000005E-2"/>
    <n v="13"/>
    <n v="17359.804799999998"/>
    <n v="16089.84"/>
    <n v="1269.9647999999979"/>
    <n v="7.315547695559331E-2"/>
    <x v="12"/>
    <x v="4"/>
    <s v="Asia →Japan →Nagoya"/>
    <s v="Medium"/>
    <x v="0"/>
    <x v="1"/>
  </r>
  <r>
    <s v="ORD-2024-999607"/>
    <d v="2024-01-12T00:00:00"/>
    <d v="2024-01-29T00:00:00"/>
    <d v="2024-01-12T00:00:00"/>
    <d v="2024-01-29T00:00:00"/>
    <n v="17"/>
    <d v="2024-01-29T00:00:00"/>
    <n v="17"/>
    <x v="0"/>
    <x v="1"/>
    <x v="0"/>
    <x v="4"/>
    <s v="Chicago"/>
    <s v="Education"/>
    <x v="0"/>
    <x v="1"/>
    <x v="1"/>
    <x v="234"/>
    <n v="493.76"/>
    <n v="625.04"/>
    <n v="625.04"/>
    <n v="0.25800000000000001"/>
    <n v="10"/>
    <n v="4637.7968000000001"/>
    <n v="4937.6000000000004"/>
    <n v="-299.80320000000029"/>
    <n v="-6.464345311549663E-2"/>
    <x v="12"/>
    <x v="4"/>
    <s v="Americas →USA →Chicago"/>
    <s v="Low"/>
    <x v="0"/>
    <x v="1"/>
  </r>
  <r>
    <s v="ORD-2024-153053"/>
    <d v="2024-01-12T00:00:00"/>
    <d v="2024-01-29T00:00:00"/>
    <d v="2024-01-12T00:00:00"/>
    <d v="2024-01-29T00:00:00"/>
    <n v="17"/>
    <d v="2024-01-29T00:00:00"/>
    <n v="17"/>
    <x v="0"/>
    <x v="0"/>
    <x v="3"/>
    <x v="9"/>
    <s v="Hyderabad"/>
    <s v="Small Business"/>
    <x v="2"/>
    <x v="0"/>
    <x v="6"/>
    <x v="235"/>
    <n v="310.02"/>
    <n v="619.51"/>
    <n v="619.51"/>
    <n v="4.2000000000000003E-2"/>
    <n v="4"/>
    <n v="2373.9623200000001"/>
    <n v="1240.08"/>
    <n v="1133.8823200000002"/>
    <n v="0.47763282106347843"/>
    <x v="12"/>
    <x v="4"/>
    <s v="Asia →India →Hyderabad"/>
    <s v="Low"/>
    <x v="0"/>
    <x v="1"/>
  </r>
  <r>
    <s v="ORD-2024-851883"/>
    <d v="2024-01-13T00:00:00"/>
    <d v="2024-01-22T00:00:00"/>
    <d v="2024-01-13T00:00:00"/>
    <d v="2024-01-22T00:00:00"/>
    <n v="9"/>
    <d v="2024-01-22T00:00:00"/>
    <n v="9"/>
    <x v="0"/>
    <x v="0"/>
    <x v="3"/>
    <x v="9"/>
    <s v="Mumbai"/>
    <s v="Enterprise"/>
    <x v="4"/>
    <x v="13"/>
    <x v="6"/>
    <x v="236"/>
    <n v="313.60000000000002"/>
    <n v="334.28"/>
    <n v="334.28"/>
    <n v="0.14000000000000001"/>
    <n v="22"/>
    <n v="6324.5775999999996"/>
    <n v="6899.2000000000007"/>
    <n v="-574.62240000000111"/>
    <n v="-9.0855458868905517E-2"/>
    <x v="12"/>
    <x v="4"/>
    <s v="Asia →India →Mumbai"/>
    <s v="Low"/>
    <x v="0"/>
    <x v="1"/>
  </r>
  <r>
    <s v="ORD-2024-366010"/>
    <d v="2024-01-13T00:00:00"/>
    <d v="2024-02-05T00:00:00"/>
    <d v="2024-01-13T00:00:00"/>
    <d v="2024-02-05T00:00:00"/>
    <n v="23"/>
    <d v="2024-02-05T00:00:00"/>
    <n v="23"/>
    <x v="0"/>
    <x v="0"/>
    <x v="2"/>
    <x v="8"/>
    <s v="Frankfurt"/>
    <s v="Education"/>
    <x v="2"/>
    <x v="0"/>
    <x v="0"/>
    <x v="237"/>
    <n v="1017.93"/>
    <n v="1529.14"/>
    <n v="1529.14"/>
    <n v="0.155"/>
    <n v="12"/>
    <n v="15505.479600000001"/>
    <n v="12215.16"/>
    <n v="3290.3196000000007"/>
    <n v="0.21220366508366503"/>
    <x v="12"/>
    <x v="4"/>
    <s v="Europe →Germany →Frankfurt"/>
    <s v="Medium"/>
    <x v="0"/>
    <x v="1"/>
  </r>
  <r>
    <s v="ORD-2024-206311"/>
    <d v="2024-01-13T00:00:00"/>
    <d v="2024-01-15T00:00:00"/>
    <d v="2024-01-13T00:00:00"/>
    <d v="2024-01-15T00:00:00"/>
    <n v="2"/>
    <d v="2024-01-15T00:00:00"/>
    <n v="2"/>
    <x v="1"/>
    <x v="0"/>
    <x v="0"/>
    <x v="4"/>
    <s v="San Francisco"/>
    <s v="Non-Profit"/>
    <x v="2"/>
    <x v="14"/>
    <x v="6"/>
    <x v="238"/>
    <n v="1061.3699999999999"/>
    <n v="1938.33"/>
    <n v="1938.33"/>
    <n v="0.17"/>
    <n v="4"/>
    <n v="6435.2555999999995"/>
    <n v="4245.4799999999996"/>
    <n v="2189.7755999999999"/>
    <n v="0.34027795259600879"/>
    <x v="12"/>
    <x v="4"/>
    <s v="Americas →USA →San Francisco"/>
    <s v="High"/>
    <x v="0"/>
    <x v="1"/>
  </r>
  <r>
    <s v="ORD-2024-749242"/>
    <d v="2024-01-16T00:00:00"/>
    <d v="2024-02-11T00:00:00"/>
    <d v="2024-01-16T00:00:00"/>
    <d v="2024-02-11T00:00:00"/>
    <n v="26"/>
    <d v="2024-02-11T00:00:00"/>
    <n v="26"/>
    <x v="0"/>
    <x v="1"/>
    <x v="2"/>
    <x v="8"/>
    <s v="Frankfurt"/>
    <s v="Non-Profit"/>
    <x v="0"/>
    <x v="14"/>
    <x v="5"/>
    <x v="239"/>
    <n v="504.93"/>
    <n v="819.06"/>
    <n v="819.06"/>
    <n v="0.22600000000000001"/>
    <n v="15"/>
    <n v="9509.2865999999995"/>
    <n v="7573.95"/>
    <n v="1935.3365999999996"/>
    <n v="0.20352069312959814"/>
    <x v="12"/>
    <x v="4"/>
    <s v="Europe →Germany →Frankfurt"/>
    <s v="Medium"/>
    <x v="0"/>
    <x v="1"/>
  </r>
  <r>
    <s v="ORD-2024-892173"/>
    <d v="2024-01-18T00:00:00"/>
    <d v="2024-02-03T00:00:00"/>
    <d v="2024-01-18T00:00:00"/>
    <d v="2024-02-03T00:00:00"/>
    <n v="16"/>
    <d v="2024-02-03T00:00:00"/>
    <n v="16"/>
    <x v="0"/>
    <x v="0"/>
    <x v="1"/>
    <x v="1"/>
    <s v="Cape Town"/>
    <s v="Non-Profit"/>
    <x v="0"/>
    <x v="9"/>
    <x v="1"/>
    <x v="240"/>
    <n v="666.23"/>
    <n v="1382.91"/>
    <n v="1382.91"/>
    <n v="0.17599999999999999"/>
    <n v="13"/>
    <n v="14813.731920000002"/>
    <n v="8660.99"/>
    <n v="6152.7419200000022"/>
    <n v="0.41534043907553048"/>
    <x v="12"/>
    <x v="4"/>
    <s v="Africa →South Africa →Cape Town"/>
    <s v="Medium"/>
    <x v="0"/>
    <x v="1"/>
  </r>
  <r>
    <s v="ORD-2024-890180"/>
    <d v="2024-01-20T00:00:00"/>
    <d v="2024-02-13T00:00:00"/>
    <d v="2024-01-20T00:00:00"/>
    <d v="2024-02-13T00:00:00"/>
    <n v="24"/>
    <d v="2024-02-13T00:00:00"/>
    <n v="24"/>
    <x v="0"/>
    <x v="0"/>
    <x v="2"/>
    <x v="2"/>
    <s v="Marseille"/>
    <s v="Corporate"/>
    <x v="3"/>
    <x v="4"/>
    <x v="1"/>
    <x v="241"/>
    <n v="643.53"/>
    <n v="1439.01"/>
    <n v="1439.01"/>
    <n v="0"/>
    <n v="15"/>
    <n v="21585.15"/>
    <n v="9652.9499999999989"/>
    <n v="11932.200000000003"/>
    <n v="0.55279671440782208"/>
    <x v="12"/>
    <x v="4"/>
    <s v="Europe →France →Marseille"/>
    <s v="Medium"/>
    <x v="0"/>
    <x v="1"/>
  </r>
  <r>
    <s v="ORD-2024-604471"/>
    <d v="2024-01-21T00:00:00"/>
    <d v="2024-01-25T00:00:00"/>
    <d v="2024-01-21T00:00:00"/>
    <d v="2024-01-25T00:00:00"/>
    <n v="4"/>
    <d v="2024-01-25T00:00:00"/>
    <n v="4"/>
    <x v="1"/>
    <x v="0"/>
    <x v="3"/>
    <x v="9"/>
    <s v="Delhi"/>
    <s v="Consumer"/>
    <x v="2"/>
    <x v="11"/>
    <x v="5"/>
    <x v="242"/>
    <n v="523.70000000000005"/>
    <n v="1109.92"/>
    <n v="1109.92"/>
    <n v="0.03"/>
    <n v="11"/>
    <n v="11842.8464"/>
    <n v="5760.7000000000007"/>
    <n v="6082.1463999999996"/>
    <n v="0.51357133197302973"/>
    <x v="12"/>
    <x v="4"/>
    <s v="Asia →India →Delhi"/>
    <s v="Medium"/>
    <x v="0"/>
    <x v="1"/>
  </r>
  <r>
    <s v="ORD-2024-207669"/>
    <d v="2024-01-24T00:00:00"/>
    <d v="2024-02-04T00:00:00"/>
    <d v="2024-01-24T00:00:00"/>
    <d v="2024-02-04T00:00:00"/>
    <n v="11"/>
    <d v="2024-02-04T00:00:00"/>
    <n v="11"/>
    <x v="0"/>
    <x v="0"/>
    <x v="2"/>
    <x v="6"/>
    <s v="Manchester"/>
    <s v="Consumer"/>
    <x v="3"/>
    <x v="0"/>
    <x v="0"/>
    <x v="243"/>
    <n v="525.34"/>
    <n v="1233.79"/>
    <n v="1233.79"/>
    <n v="0.14299999999999999"/>
    <n v="4"/>
    <n v="4229.4321199999995"/>
    <n v="2101.36"/>
    <n v="2128.0721199999994"/>
    <n v="0.50315788494082736"/>
    <x v="12"/>
    <x v="4"/>
    <s v="Europe →United Kingdom →Manchester"/>
    <s v="Medium"/>
    <x v="0"/>
    <x v="1"/>
  </r>
  <r>
    <s v="ORD-2024-499009"/>
    <d v="2024-01-25T00:00:00"/>
    <d v="2024-01-27T00:00:00"/>
    <d v="2024-01-25T00:00:00"/>
    <d v="2024-01-27T00:00:00"/>
    <n v="2"/>
    <d v="2024-01-27T00:00:00"/>
    <n v="2"/>
    <x v="1"/>
    <x v="0"/>
    <x v="0"/>
    <x v="10"/>
    <s v="São Paulo"/>
    <s v="Non-Profit"/>
    <x v="4"/>
    <x v="8"/>
    <x v="0"/>
    <x v="244"/>
    <n v="1410.97"/>
    <n v="1650.75"/>
    <n v="1650.75"/>
    <n v="0.13500000000000001"/>
    <n v="6"/>
    <n v="8567.3924999999999"/>
    <n v="8465.82"/>
    <n v="101.57250000000022"/>
    <n v="1.1855707556295596E-2"/>
    <x v="12"/>
    <x v="4"/>
    <s v="Americas →Brazil →São Paulo"/>
    <s v="High"/>
    <x v="0"/>
    <x v="1"/>
  </r>
  <r>
    <s v="ORD-2024-532184"/>
    <d v="2024-01-25T00:00:00"/>
    <d v="2024-02-08T00:00:00"/>
    <d v="2024-01-25T00:00:00"/>
    <d v="2024-02-08T00:00:00"/>
    <n v="14"/>
    <d v="2024-02-08T00:00:00"/>
    <n v="14"/>
    <x v="0"/>
    <x v="0"/>
    <x v="3"/>
    <x v="11"/>
    <s v="Osaka"/>
    <s v="Consumer"/>
    <x v="4"/>
    <x v="12"/>
    <x v="4"/>
    <x v="245"/>
    <n v="937.16"/>
    <n v="1069.77"/>
    <n v="1069.77"/>
    <n v="3.7999999999999999E-2"/>
    <n v="9"/>
    <n v="9262.0686600000008"/>
    <n v="8434.44"/>
    <n v="827.62866000000031"/>
    <n v="8.9356783066645962E-2"/>
    <x v="12"/>
    <x v="4"/>
    <s v="Asia →Japan →Osaka"/>
    <s v="Medium"/>
    <x v="0"/>
    <x v="1"/>
  </r>
  <r>
    <s v="ORD-2024-210687"/>
    <d v="2024-01-28T00:00:00"/>
    <d v="2024-02-09T00:00:00"/>
    <d v="2024-01-28T00:00:00"/>
    <d v="2024-02-09T00:00:00"/>
    <n v="12"/>
    <d v="2024-02-09T00:00:00"/>
    <n v="12"/>
    <x v="0"/>
    <x v="0"/>
    <x v="2"/>
    <x v="8"/>
    <s v="Berlin"/>
    <s v="Corporate"/>
    <x v="1"/>
    <x v="6"/>
    <x v="3"/>
    <x v="246"/>
    <n v="644.16999999999996"/>
    <n v="700.12"/>
    <n v="700.12"/>
    <n v="6.0000000000000001E-3"/>
    <n v="23"/>
    <n v="16006.14344"/>
    <n v="14815.91"/>
    <n v="1190.23344"/>
    <n v="7.436103796405813E-2"/>
    <x v="12"/>
    <x v="4"/>
    <s v="Europe →Germany →Berlin"/>
    <s v="Low"/>
    <x v="0"/>
    <x v="1"/>
  </r>
  <r>
    <s v="ORD-2024-277241"/>
    <d v="2024-01-28T00:00:00"/>
    <d v="2024-01-30T00:00:00"/>
    <d v="2024-01-28T00:00:00"/>
    <d v="2024-01-30T00:00:00"/>
    <n v="2"/>
    <d v="2024-01-30T00:00:00"/>
    <n v="2"/>
    <x v="1"/>
    <x v="0"/>
    <x v="1"/>
    <x v="1"/>
    <s v="Cape Town"/>
    <s v="Consumer"/>
    <x v="2"/>
    <x v="7"/>
    <x v="3"/>
    <x v="247"/>
    <n v="798.45"/>
    <n v="1592.02"/>
    <n v="1592.02"/>
    <n v="6.6000000000000003E-2"/>
    <n v="18"/>
    <n v="26765.040239999998"/>
    <n v="14372.1"/>
    <n v="12392.940239999998"/>
    <n v="0.46302714768494585"/>
    <x v="12"/>
    <x v="4"/>
    <s v="Africa →South Africa →Cape Town"/>
    <s v="Medium"/>
    <x v="0"/>
    <x v="1"/>
  </r>
  <r>
    <s v="ORD-2024-838925"/>
    <d v="2024-01-28T00:00:00"/>
    <d v="2024-01-27T00:00:00"/>
    <d v="2024-01-27T00:00:00"/>
    <d v="2024-01-28T00:00:00"/>
    <n v="1"/>
    <d v="2024-02-04T00:00:00"/>
    <n v="7"/>
    <x v="1"/>
    <x v="0"/>
    <x v="1"/>
    <x v="1"/>
    <s v="Cape Town"/>
    <s v="Enterprise"/>
    <x v="2"/>
    <x v="5"/>
    <x v="6"/>
    <x v="248"/>
    <n v="109.75"/>
    <n v="124.25"/>
    <n v="124.25"/>
    <n v="0.12"/>
    <n v="19"/>
    <n v="2077.46"/>
    <n v="2085.25"/>
    <n v="-7.7899999999999636"/>
    <n v="-3.7497713554051405E-3"/>
    <x v="12"/>
    <x v="4"/>
    <s v="Africa →South Africa →Cape Town"/>
    <s v="Low"/>
    <x v="0"/>
    <x v="1"/>
  </r>
  <r>
    <s v="ORD-2024-764468"/>
    <d v="2024-02-01T00:00:00"/>
    <d v="2024-02-21T00:00:00"/>
    <d v="2024-02-01T00:00:00"/>
    <d v="2024-02-21T00:00:00"/>
    <n v="20"/>
    <d v="2024-02-21T00:00:00"/>
    <n v="20"/>
    <x v="0"/>
    <x v="0"/>
    <x v="2"/>
    <x v="2"/>
    <s v="Paris"/>
    <s v="Small Business"/>
    <x v="4"/>
    <x v="1"/>
    <x v="4"/>
    <x v="249"/>
    <n v="656.2"/>
    <n v="1467.17"/>
    <n v="1467.17"/>
    <n v="1.7999999999999999E-2"/>
    <n v="5"/>
    <n v="7203.8047000000006"/>
    <n v="3281"/>
    <n v="3922.8047000000006"/>
    <n v="0.54454623124360946"/>
    <x v="13"/>
    <x v="4"/>
    <s v="Europe →France →Paris"/>
    <s v="Medium"/>
    <x v="1"/>
    <x v="1"/>
  </r>
  <r>
    <s v="ORD-2024-331408"/>
    <d v="2024-02-01T00:00:00"/>
    <d v="2024-02-01T00:00:00"/>
    <d v="2024-02-01T00:00:00"/>
    <d v="2024-02-01T00:00:00"/>
    <n v="0"/>
    <d v="2024-02-01T00:00:00"/>
    <n v="0"/>
    <x v="1"/>
    <x v="0"/>
    <x v="0"/>
    <x v="4"/>
    <s v="Austin"/>
    <s v="Consumer"/>
    <x v="0"/>
    <x v="4"/>
    <x v="1"/>
    <x v="250"/>
    <n v="714.43"/>
    <n v="1595.52"/>
    <n v="1595.52"/>
    <n v="0.19400000000000001"/>
    <n v="14"/>
    <n v="18003.847679999999"/>
    <n v="10002.019999999999"/>
    <n v="8001.8276800000003"/>
    <n v="0.44445097638151093"/>
    <x v="13"/>
    <x v="4"/>
    <s v="Americas →USA →Austin"/>
    <s v="Medium"/>
    <x v="1"/>
    <x v="1"/>
  </r>
  <r>
    <s v="ORD-2024-960952"/>
    <d v="2024-02-03T00:00:00"/>
    <d v="2024-02-21T00:00:00"/>
    <d v="2024-02-03T00:00:00"/>
    <d v="2024-02-21T00:00:00"/>
    <n v="18"/>
    <d v="2024-02-21T00:00:00"/>
    <n v="18"/>
    <x v="0"/>
    <x v="0"/>
    <x v="2"/>
    <x v="8"/>
    <s v="Frankfurt"/>
    <s v="Corporate"/>
    <x v="3"/>
    <x v="4"/>
    <x v="6"/>
    <x v="251"/>
    <n v="39.229999999999997"/>
    <n v="30.09"/>
    <n v="30.09"/>
    <n v="0.17699999999999999"/>
    <n v="13"/>
    <n v="321.93290999999999"/>
    <n v="509.98999999999995"/>
    <n v="-188.05708999999996"/>
    <n v="-0.58414993981199359"/>
    <x v="13"/>
    <x v="4"/>
    <s v="Europe →Germany →Frankfurt"/>
    <s v="Low"/>
    <x v="1"/>
    <x v="1"/>
  </r>
  <r>
    <s v="ORD-2024-760799"/>
    <d v="2024-02-03T00:00:00"/>
    <d v="2024-02-19T00:00:00"/>
    <d v="2024-02-03T00:00:00"/>
    <d v="2024-02-19T00:00:00"/>
    <n v="16"/>
    <d v="2024-02-19T00:00:00"/>
    <n v="16"/>
    <x v="0"/>
    <x v="1"/>
    <x v="3"/>
    <x v="3"/>
    <s v="Shenzhen"/>
    <s v="Small Business"/>
    <x v="1"/>
    <x v="4"/>
    <x v="0"/>
    <x v="252"/>
    <n v="993.75"/>
    <n v="1310.29"/>
    <n v="1310.29"/>
    <n v="0.215"/>
    <n v="19"/>
    <n v="19542.975350000001"/>
    <n v="18881.25"/>
    <n v="661.72535000000062"/>
    <n v="3.3860010471742245E-2"/>
    <x v="13"/>
    <x v="4"/>
    <s v="Asia →China →Shenzhen"/>
    <s v="Medium"/>
    <x v="1"/>
    <x v="1"/>
  </r>
  <r>
    <s v="ORD-2024-647571"/>
    <d v="2024-02-06T00:00:00"/>
    <d v="2024-02-28T00:00:00"/>
    <d v="2024-02-06T00:00:00"/>
    <d v="2024-02-28T00:00:00"/>
    <n v="22"/>
    <d v="2024-02-28T00:00:00"/>
    <n v="22"/>
    <x v="0"/>
    <x v="0"/>
    <x v="1"/>
    <x v="7"/>
    <s v="Kisumu"/>
    <s v="Non-Profit"/>
    <x v="1"/>
    <x v="10"/>
    <x v="5"/>
    <x v="253"/>
    <n v="834.93"/>
    <n v="1588.53"/>
    <n v="1588.53"/>
    <n v="0.126"/>
    <n v="6"/>
    <n v="8330.2513199999994"/>
    <n v="5009.58"/>
    <n v="3320.6713199999995"/>
    <n v="0.39862798761274343"/>
    <x v="13"/>
    <x v="4"/>
    <s v="Africa →Kenya →Kisumu"/>
    <s v="Medium"/>
    <x v="1"/>
    <x v="1"/>
  </r>
  <r>
    <s v="ORD-2024-979401"/>
    <d v="2024-02-08T00:00:00"/>
    <d v="2024-02-09T00:00:00"/>
    <d v="2024-02-08T00:00:00"/>
    <d v="2024-02-09T00:00:00"/>
    <n v="1"/>
    <d v="2024-02-09T00:00:00"/>
    <n v="1"/>
    <x v="1"/>
    <x v="0"/>
    <x v="1"/>
    <x v="7"/>
    <s v="Mombasa"/>
    <s v="Corporate"/>
    <x v="2"/>
    <x v="7"/>
    <x v="6"/>
    <x v="254"/>
    <n v="1233.52"/>
    <n v="1543.76"/>
    <n v="1543.76"/>
    <n v="0.126"/>
    <n v="13"/>
    <n v="17540.201120000002"/>
    <n v="16035.76"/>
    <n v="1504.4411200000013"/>
    <n v="8.5771030201277493E-2"/>
    <x v="13"/>
    <x v="4"/>
    <s v="Africa →Kenya →Mombasa"/>
    <s v="Medium"/>
    <x v="1"/>
    <x v="1"/>
  </r>
  <r>
    <s v="ORD-2024-968374"/>
    <d v="2024-02-11T00:00:00"/>
    <d v="2024-03-03T00:00:00"/>
    <d v="2024-02-11T00:00:00"/>
    <d v="2024-03-03T00:00:00"/>
    <n v="21"/>
    <d v="2024-03-03T00:00:00"/>
    <n v="21"/>
    <x v="0"/>
    <x v="0"/>
    <x v="1"/>
    <x v="7"/>
    <s v="Kisumu"/>
    <s v="Enterprise"/>
    <x v="1"/>
    <x v="0"/>
    <x v="2"/>
    <x v="255"/>
    <n v="516.86"/>
    <n v="852.54"/>
    <n v="852.54"/>
    <n v="5.0999999999999997E-2"/>
    <n v="14"/>
    <n v="11326.846439999999"/>
    <n v="7236.04"/>
    <n v="4090.8064399999994"/>
    <n v="0.36116022775355994"/>
    <x v="13"/>
    <x v="4"/>
    <s v="Africa →Kenya →Kisumu"/>
    <s v="Medium"/>
    <x v="1"/>
    <x v="1"/>
  </r>
  <r>
    <s v="ORD-2024-232632"/>
    <d v="2024-02-14T00:00:00"/>
    <d v="2024-02-14T00:00:00"/>
    <d v="2024-02-14T00:00:00"/>
    <d v="2024-02-14T00:00:00"/>
    <n v="0"/>
    <d v="2024-02-14T00:00:00"/>
    <n v="0"/>
    <x v="1"/>
    <x v="1"/>
    <x v="3"/>
    <x v="3"/>
    <s v="Beijing"/>
    <s v="Corporate"/>
    <x v="0"/>
    <x v="9"/>
    <x v="3"/>
    <x v="256"/>
    <n v="65.930000000000007"/>
    <n v="84.9"/>
    <n v="84.9"/>
    <n v="0.25900000000000001"/>
    <n v="23"/>
    <n v="1446.9507000000001"/>
    <n v="1516.39"/>
    <n v="-69.439300000000003"/>
    <n v="-4.7990093926489688E-2"/>
    <x v="13"/>
    <x v="4"/>
    <s v="Asia →China →Beijing"/>
    <s v="Low"/>
    <x v="1"/>
    <x v="1"/>
  </r>
  <r>
    <s v="ORD-2024-544865"/>
    <d v="2024-02-16T00:00:00"/>
    <d v="2024-03-04T00:00:00"/>
    <d v="2024-02-16T00:00:00"/>
    <d v="2024-03-04T00:00:00"/>
    <n v="17"/>
    <d v="2024-03-04T00:00:00"/>
    <n v="17"/>
    <x v="0"/>
    <x v="1"/>
    <x v="0"/>
    <x v="0"/>
    <s v="Montreal"/>
    <s v="Non-Profit"/>
    <x v="3"/>
    <x v="2"/>
    <x v="0"/>
    <x v="257"/>
    <n v="1350.98"/>
    <n v="2210.4"/>
    <n v="2210.4"/>
    <n v="0.26300000000000001"/>
    <n v="6"/>
    <n v="9774.3888000000006"/>
    <n v="8105.88"/>
    <n v="1668.5088000000005"/>
    <n v="0.17070211080615091"/>
    <x v="13"/>
    <x v="4"/>
    <s v="Americas →Canada →Montreal"/>
    <s v="High"/>
    <x v="1"/>
    <x v="1"/>
  </r>
  <r>
    <s v="ORD-2024-647473"/>
    <d v="2024-02-17T00:00:00"/>
    <d v="2024-03-04T00:00:00"/>
    <d v="2024-02-17T00:00:00"/>
    <d v="2024-03-04T00:00:00"/>
    <n v="16"/>
    <d v="2024-03-04T00:00:00"/>
    <n v="16"/>
    <x v="0"/>
    <x v="1"/>
    <x v="3"/>
    <x v="9"/>
    <s v="Delhi"/>
    <s v="Small Business"/>
    <x v="4"/>
    <x v="7"/>
    <x v="2"/>
    <x v="258"/>
    <n v="1231.8"/>
    <n v="2015.99"/>
    <n v="2015.99"/>
    <n v="0.26100000000000001"/>
    <n v="6"/>
    <n v="8938.8996600000009"/>
    <n v="7390.7999999999993"/>
    <n v="1548.0996600000017"/>
    <n v="0.17318682599464391"/>
    <x v="13"/>
    <x v="4"/>
    <s v="Asia →India →Delhi"/>
    <s v="High"/>
    <x v="1"/>
    <x v="1"/>
  </r>
  <r>
    <s v="ORD-2024-201376"/>
    <d v="2024-02-18T00:00:00"/>
    <d v="2024-03-04T00:00:00"/>
    <d v="2024-02-18T00:00:00"/>
    <d v="2024-03-04T00:00:00"/>
    <n v="15"/>
    <d v="2024-03-04T00:00:00"/>
    <n v="15"/>
    <x v="0"/>
    <x v="0"/>
    <x v="1"/>
    <x v="7"/>
    <s v="Kisumu"/>
    <s v="Education"/>
    <x v="2"/>
    <x v="10"/>
    <x v="1"/>
    <x v="259"/>
    <n v="928.68"/>
    <n v="2145.17"/>
    <n v="2145.17"/>
    <n v="0.13600000000000001"/>
    <n v="16"/>
    <n v="29654.83008"/>
    <n v="14858.88"/>
    <n v="14795.950080000001"/>
    <n v="0.49893896003062177"/>
    <x v="13"/>
    <x v="4"/>
    <s v="Africa →Kenya →Kisumu"/>
    <s v="High"/>
    <x v="1"/>
    <x v="1"/>
  </r>
  <r>
    <s v="ORD-2024-206121"/>
    <d v="2024-02-18T00:00:00"/>
    <d v="2024-03-11T00:00:00"/>
    <d v="2024-02-18T00:00:00"/>
    <d v="2024-03-11T00:00:00"/>
    <n v="22"/>
    <d v="2024-03-11T00:00:00"/>
    <n v="22"/>
    <x v="0"/>
    <x v="0"/>
    <x v="0"/>
    <x v="10"/>
    <s v="São Paulo"/>
    <s v="Consumer"/>
    <x v="1"/>
    <x v="1"/>
    <x v="6"/>
    <x v="260"/>
    <n v="80.48"/>
    <n v="65.650000000000006"/>
    <n v="65.650000000000006"/>
    <n v="0.17599999999999999"/>
    <n v="13"/>
    <n v="703.2428000000001"/>
    <n v="1046.24"/>
    <n v="-342.99719999999991"/>
    <n v="-0.48773652570634191"/>
    <x v="13"/>
    <x v="4"/>
    <s v="Americas →Brazil →São Paulo"/>
    <s v="Low"/>
    <x v="1"/>
    <x v="1"/>
  </r>
  <r>
    <s v="ORD-2024-129345"/>
    <d v="2024-02-18T00:00:00"/>
    <d v="2024-03-03T00:00:00"/>
    <d v="2024-02-18T00:00:00"/>
    <d v="2024-03-03T00:00:00"/>
    <n v="14"/>
    <d v="2024-03-03T00:00:00"/>
    <n v="14"/>
    <x v="0"/>
    <x v="1"/>
    <x v="0"/>
    <x v="10"/>
    <s v="N/A"/>
    <s v="Enterprise"/>
    <x v="0"/>
    <x v="1"/>
    <x v="1"/>
    <x v="261"/>
    <n v="624.23"/>
    <n v="1318.37"/>
    <n v="1318.37"/>
    <n v="0.21"/>
    <n v="37"/>
    <n v="38535.955099999999"/>
    <n v="23096.510000000002"/>
    <n v="15439.445099999997"/>
    <n v="0.40065038118128793"/>
    <x v="13"/>
    <x v="4"/>
    <s v="Americas →Brazil →N/A"/>
    <s v="Medium"/>
    <x v="1"/>
    <x v="1"/>
  </r>
  <r>
    <s v="ORD-2024-468655"/>
    <d v="2024-02-19T00:00:00"/>
    <d v="2024-03-06T00:00:00"/>
    <d v="2024-02-19T00:00:00"/>
    <d v="2024-03-06T00:00:00"/>
    <n v="16"/>
    <d v="2024-03-06T00:00:00"/>
    <n v="16"/>
    <x v="0"/>
    <x v="1"/>
    <x v="3"/>
    <x v="3"/>
    <s v="Beijing"/>
    <s v="Education"/>
    <x v="4"/>
    <x v="5"/>
    <x v="1"/>
    <x v="262"/>
    <n v="1477.84"/>
    <n v="3197.47"/>
    <n v="3197.47"/>
    <n v="0.24299999999999999"/>
    <n v="24"/>
    <n v="58091.634960000003"/>
    <n v="35468.159999999996"/>
    <n v="22623.474960000007"/>
    <n v="0.38944462443823091"/>
    <x v="13"/>
    <x v="4"/>
    <s v="Asia →China →Beijing"/>
    <s v="High"/>
    <x v="1"/>
    <x v="1"/>
  </r>
  <r>
    <s v="ORD-2024-437164"/>
    <d v="2024-02-20T00:00:00"/>
    <d v="2024-02-20T00:00:00"/>
    <d v="2024-02-20T00:00:00"/>
    <d v="2024-02-20T00:00:00"/>
    <n v="0"/>
    <d v="2024-02-20T00:00:00"/>
    <n v="0"/>
    <x v="1"/>
    <x v="0"/>
    <x v="0"/>
    <x v="4"/>
    <s v="New York"/>
    <s v="Enterprise"/>
    <x v="1"/>
    <x v="11"/>
    <x v="4"/>
    <x v="263"/>
    <n v="1407.05"/>
    <n v="2858.93"/>
    <n v="2858.93"/>
    <n v="0"/>
    <n v="12"/>
    <n v="34307.159999999996"/>
    <n v="16884.599999999999"/>
    <n v="17422.559999999998"/>
    <n v="0.50784034586366222"/>
    <x v="13"/>
    <x v="4"/>
    <s v="Americas →USA →New York"/>
    <s v="High"/>
    <x v="1"/>
    <x v="1"/>
  </r>
  <r>
    <s v="ORD-2024-811752"/>
    <d v="2024-02-25T00:00:00"/>
    <d v="2024-03-09T00:00:00"/>
    <d v="2024-02-25T00:00:00"/>
    <d v="2024-03-09T00:00:00"/>
    <n v="13"/>
    <d v="2024-03-09T00:00:00"/>
    <n v="13"/>
    <x v="0"/>
    <x v="0"/>
    <x v="2"/>
    <x v="2"/>
    <s v="Marseille"/>
    <s v="Small Business"/>
    <x v="0"/>
    <x v="14"/>
    <x v="5"/>
    <x v="264"/>
    <n v="322.44"/>
    <n v="395.61"/>
    <n v="395.61"/>
    <n v="0"/>
    <n v="34"/>
    <n v="13450.74"/>
    <n v="10962.96"/>
    <n v="2487.7800000000007"/>
    <n v="0.18495487980586947"/>
    <x v="13"/>
    <x v="4"/>
    <s v="Europe →France →Marseille"/>
    <s v="Low"/>
    <x v="1"/>
    <x v="1"/>
  </r>
  <r>
    <s v="ORD-2024-515105"/>
    <d v="2024-02-27T00:00:00"/>
    <d v="2024-03-26T00:00:00"/>
    <d v="2024-02-27T00:00:00"/>
    <d v="2024-03-26T00:00:00"/>
    <n v="28"/>
    <d v="2024-03-26T00:00:00"/>
    <n v="28"/>
    <x v="0"/>
    <x v="0"/>
    <x v="3"/>
    <x v="9"/>
    <s v="Mumbai"/>
    <s v="Education"/>
    <x v="4"/>
    <x v="6"/>
    <x v="0"/>
    <x v="265"/>
    <n v="1035.19"/>
    <n v="2322.6999999999998"/>
    <n v="2322.6999999999998"/>
    <n v="0.17299999999999999"/>
    <n v="8"/>
    <n v="15366.983199999999"/>
    <n v="8281.52"/>
    <n v="7085.4631999999983"/>
    <n v="0.46108355217047409"/>
    <x v="13"/>
    <x v="4"/>
    <s v="Asia →India →Mumbai"/>
    <s v="High"/>
    <x v="1"/>
    <x v="1"/>
  </r>
  <r>
    <s v="ORD-2024-197852"/>
    <d v="2024-02-29T00:00:00"/>
    <d v="2024-03-30T00:00:00"/>
    <d v="2024-02-29T00:00:00"/>
    <d v="2024-03-30T00:00:00"/>
    <n v="30"/>
    <d v="2024-03-30T00:00:00"/>
    <n v="30"/>
    <x v="0"/>
    <x v="1"/>
    <x v="3"/>
    <x v="11"/>
    <s v="Nagoya"/>
    <s v="Small Business"/>
    <x v="2"/>
    <x v="12"/>
    <x v="4"/>
    <x v="266"/>
    <n v="231.11"/>
    <n v="318.17"/>
    <n v="318.17"/>
    <n v="0.20100000000000001"/>
    <n v="60"/>
    <n v="15253.069799999999"/>
    <n v="13866.6"/>
    <n v="1386.4697999999989"/>
    <n v="9.0897754889969692E-2"/>
    <x v="13"/>
    <x v="4"/>
    <s v="Asia →Japan →Nagoya"/>
    <s v="Low"/>
    <x v="1"/>
    <x v="1"/>
  </r>
  <r>
    <s v="ORD-2024-516704"/>
    <d v="2024-03-01T00:00:00"/>
    <d v="2024-02-29T00:00:00"/>
    <d v="2024-02-29T00:00:00"/>
    <d v="2024-03-01T00:00:00"/>
    <n v="1"/>
    <d v="2024-03-08T00:00:00"/>
    <n v="7"/>
    <x v="1"/>
    <x v="0"/>
    <x v="0"/>
    <x v="10"/>
    <s v="São Paulo"/>
    <s v="Non-Profit"/>
    <x v="2"/>
    <x v="12"/>
    <x v="2"/>
    <x v="267"/>
    <n v="5.34"/>
    <n v="12.69"/>
    <n v="12.69"/>
    <n v="0.13200000000000001"/>
    <n v="10"/>
    <n v="110.14919999999999"/>
    <n v="53.4"/>
    <n v="56.749199999999995"/>
    <n v="0.51520301554618642"/>
    <x v="14"/>
    <x v="4"/>
    <s v="Americas →Brazil →São Paulo"/>
    <s v="Low"/>
    <x v="2"/>
    <x v="1"/>
  </r>
  <r>
    <s v="ORD-2024-792137"/>
    <d v="2024-03-02T00:00:00"/>
    <d v="2024-03-16T00:00:00"/>
    <d v="2024-03-02T00:00:00"/>
    <d v="2024-03-16T00:00:00"/>
    <n v="14"/>
    <d v="2024-03-16T00:00:00"/>
    <n v="14"/>
    <x v="0"/>
    <x v="0"/>
    <x v="0"/>
    <x v="0"/>
    <s v="Vancouver"/>
    <s v="Non-Profit"/>
    <x v="2"/>
    <x v="5"/>
    <x v="1"/>
    <x v="268"/>
    <n v="248.24"/>
    <n v="464.05"/>
    <n v="464.05"/>
    <n v="0.16900000000000001"/>
    <n v="11"/>
    <n v="4241.88105"/>
    <n v="2730.6400000000003"/>
    <n v="1511.2410499999996"/>
    <n v="0.3562667203975462"/>
    <x v="14"/>
    <x v="4"/>
    <s v="Americas →Canada →Vancouver"/>
    <s v="Low"/>
    <x v="2"/>
    <x v="1"/>
  </r>
  <r>
    <s v="ORD-2024-961501"/>
    <d v="2024-03-02T00:00:00"/>
    <d v="2024-03-23T00:00:00"/>
    <d v="2024-03-02T00:00:00"/>
    <d v="2024-03-23T00:00:00"/>
    <n v="21"/>
    <d v="2024-03-23T00:00:00"/>
    <n v="21"/>
    <x v="0"/>
    <x v="0"/>
    <x v="0"/>
    <x v="4"/>
    <s v="Chicago"/>
    <s v="Small Business"/>
    <x v="1"/>
    <x v="7"/>
    <x v="6"/>
    <x v="269"/>
    <n v="225.01"/>
    <n v="333.48"/>
    <n v="333.48"/>
    <n v="0.11899999999999999"/>
    <n v="12"/>
    <n v="3525.5505600000001"/>
    <n v="2700.12"/>
    <n v="825.43056000000024"/>
    <n v="0.23412813004729685"/>
    <x v="14"/>
    <x v="4"/>
    <s v="Americas →USA →Chicago"/>
    <s v="Low"/>
    <x v="2"/>
    <x v="1"/>
  </r>
  <r>
    <s v="ORD-2024-868223"/>
    <d v="2024-03-03T00:00:00"/>
    <d v="2024-03-19T00:00:00"/>
    <d v="2024-03-03T00:00:00"/>
    <d v="2024-03-19T00:00:00"/>
    <n v="16"/>
    <d v="2024-03-19T00:00:00"/>
    <n v="16"/>
    <x v="0"/>
    <x v="0"/>
    <x v="3"/>
    <x v="3"/>
    <s v="Beijing"/>
    <s v="Consumer"/>
    <x v="0"/>
    <x v="6"/>
    <x v="2"/>
    <x v="270"/>
    <n v="988.83"/>
    <n v="1206.04"/>
    <n v="1206.04"/>
    <n v="6.3E-2"/>
    <n v="34"/>
    <n v="38422.022320000004"/>
    <n v="33620.22"/>
    <n v="4801.8023200000025"/>
    <n v="0.12497526236406606"/>
    <x v="14"/>
    <x v="4"/>
    <s v="Asia →China →Beijing"/>
    <s v="Medium"/>
    <x v="2"/>
    <x v="1"/>
  </r>
  <r>
    <s v="ORD-2024-419248"/>
    <d v="2024-03-04T00:00:00"/>
    <d v="2024-03-16T00:00:00"/>
    <d v="2024-03-04T00:00:00"/>
    <d v="2024-03-16T00:00:00"/>
    <n v="12"/>
    <d v="2024-03-16T00:00:00"/>
    <n v="12"/>
    <x v="0"/>
    <x v="1"/>
    <x v="1"/>
    <x v="1"/>
    <s v="Johannesburg"/>
    <s v="Enterprise"/>
    <x v="0"/>
    <x v="3"/>
    <x v="5"/>
    <x v="271"/>
    <n v="441.08"/>
    <n v="1054.29"/>
    <n v="1054.29"/>
    <n v="0.23699999999999999"/>
    <n v="6"/>
    <n v="4826.5396199999996"/>
    <n v="2646.48"/>
    <n v="2180.0596199999995"/>
    <n v="0.45168169985932899"/>
    <x v="14"/>
    <x v="4"/>
    <s v="Africa →South Africa →Johannesburg"/>
    <s v="Medium"/>
    <x v="2"/>
    <x v="1"/>
  </r>
  <r>
    <s v="ORD-2024-853298"/>
    <d v="2024-03-06T00:00:00"/>
    <d v="2024-03-26T00:00:00"/>
    <d v="2024-03-06T00:00:00"/>
    <d v="2024-03-26T00:00:00"/>
    <n v="20"/>
    <d v="2024-03-26T00:00:00"/>
    <n v="20"/>
    <x v="0"/>
    <x v="0"/>
    <x v="1"/>
    <x v="5"/>
    <s v="Port Harcourt"/>
    <s v="Consumer"/>
    <x v="4"/>
    <x v="12"/>
    <x v="2"/>
    <x v="272"/>
    <n v="65.64"/>
    <n v="151.88"/>
    <n v="151.88"/>
    <n v="0.16700000000000001"/>
    <n v="23"/>
    <n v="2909.8689199999999"/>
    <n v="1509.72"/>
    <n v="1400.1489199999999"/>
    <n v="0.48117250587356353"/>
    <x v="14"/>
    <x v="4"/>
    <s v="Africa →Nigeria →Port Harcourt"/>
    <s v="Low"/>
    <x v="2"/>
    <x v="1"/>
  </r>
  <r>
    <s v="ORD-2024-692673"/>
    <d v="2024-03-07T00:00:00"/>
    <d v="2024-03-25T00:00:00"/>
    <d v="2024-03-07T00:00:00"/>
    <d v="2024-03-25T00:00:00"/>
    <n v="18"/>
    <d v="2024-03-25T00:00:00"/>
    <n v="18"/>
    <x v="0"/>
    <x v="1"/>
    <x v="2"/>
    <x v="8"/>
    <s v="Munich"/>
    <s v="Corporate"/>
    <x v="1"/>
    <x v="0"/>
    <x v="6"/>
    <x v="273"/>
    <n v="712.84"/>
    <n v="927.51"/>
    <n v="927.51"/>
    <n v="0.24299999999999999"/>
    <n v="27"/>
    <n v="18957.37689"/>
    <n v="19246.68"/>
    <n v="-289.30311000000074"/>
    <n v="-1.5260714163076427E-2"/>
    <x v="14"/>
    <x v="4"/>
    <s v="Europe →Germany →Munich"/>
    <s v="Medium"/>
    <x v="2"/>
    <x v="1"/>
  </r>
  <r>
    <s v="ORD-2024-356812"/>
    <d v="2024-03-07T00:00:00"/>
    <d v="2024-04-03T00:00:00"/>
    <d v="2024-03-07T00:00:00"/>
    <d v="2024-04-03T00:00:00"/>
    <n v="27"/>
    <d v="2024-04-03T00:00:00"/>
    <n v="27"/>
    <x v="0"/>
    <x v="0"/>
    <x v="2"/>
    <x v="8"/>
    <s v="Frankfurt"/>
    <s v="Corporate"/>
    <x v="2"/>
    <x v="3"/>
    <x v="1"/>
    <x v="274"/>
    <n v="738.16"/>
    <n v="956.49"/>
    <n v="956.49"/>
    <n v="0.152"/>
    <n v="5"/>
    <n v="4055.5175999999997"/>
    <n v="3690.7999999999997"/>
    <n v="364.71759999999995"/>
    <n v="8.9931208780847108E-2"/>
    <x v="14"/>
    <x v="4"/>
    <s v="Europe →Germany →Frankfurt"/>
    <s v="Medium"/>
    <x v="2"/>
    <x v="1"/>
  </r>
  <r>
    <s v="ORD-2024-343877"/>
    <d v="2024-03-09T00:00:00"/>
    <d v="2024-03-26T00:00:00"/>
    <d v="2024-03-09T00:00:00"/>
    <d v="2024-03-26T00:00:00"/>
    <n v="17"/>
    <d v="2024-03-26T00:00:00"/>
    <n v="17"/>
    <x v="0"/>
    <x v="1"/>
    <x v="3"/>
    <x v="3"/>
    <s v="Shenzhen"/>
    <s v="Enterprise"/>
    <x v="1"/>
    <x v="10"/>
    <x v="5"/>
    <x v="275"/>
    <n v="1029.67"/>
    <n v="1118.43"/>
    <n v="1118.43"/>
    <n v="0.27200000000000002"/>
    <n v="9"/>
    <n v="7327.9533600000004"/>
    <n v="9267.0300000000007"/>
    <n v="-1939.0766400000002"/>
    <n v="-0.26461367106736061"/>
    <x v="14"/>
    <x v="4"/>
    <s v="Asia →China →Shenzhen"/>
    <s v="Medium"/>
    <x v="2"/>
    <x v="1"/>
  </r>
  <r>
    <s v="ORD-2024-251426"/>
    <d v="2024-03-09T00:00:00"/>
    <d v="2024-03-26T00:00:00"/>
    <d v="2024-03-09T00:00:00"/>
    <d v="2024-03-26T00:00:00"/>
    <n v="17"/>
    <d v="2024-03-26T00:00:00"/>
    <n v="17"/>
    <x v="0"/>
    <x v="1"/>
    <x v="0"/>
    <x v="4"/>
    <s v="San Francisco"/>
    <s v="Education"/>
    <x v="2"/>
    <x v="12"/>
    <x v="2"/>
    <x v="276"/>
    <n v="1137.4100000000001"/>
    <n v="1680.93"/>
    <n v="1680.93"/>
    <n v="0.254"/>
    <n v="9"/>
    <n v="11285.764020000001"/>
    <n v="10236.69"/>
    <n v="1049.07402"/>
    <n v="9.2955516183121464E-2"/>
    <x v="14"/>
    <x v="4"/>
    <s v="Americas →USA →San Francisco"/>
    <s v="High"/>
    <x v="2"/>
    <x v="1"/>
  </r>
  <r>
    <s v="ORD-2024-907733"/>
    <d v="2024-03-09T00:00:00"/>
    <d v="2024-03-22T00:00:00"/>
    <d v="2024-03-09T00:00:00"/>
    <d v="2024-03-22T00:00:00"/>
    <n v="13"/>
    <d v="2024-03-22T00:00:00"/>
    <n v="13"/>
    <x v="0"/>
    <x v="0"/>
    <x v="2"/>
    <x v="6"/>
    <s v="Manchester"/>
    <s v="Consumer"/>
    <x v="1"/>
    <x v="14"/>
    <x v="0"/>
    <x v="277"/>
    <n v="985.45"/>
    <n v="1802.44"/>
    <n v="1802.44"/>
    <n v="8.9999999999999993E-3"/>
    <n v="19"/>
    <n v="33938.142760000002"/>
    <n v="18723.55"/>
    <n v="15214.592760000003"/>
    <n v="0.44830363486867486"/>
    <x v="14"/>
    <x v="4"/>
    <s v="Europe →United Kingdom →Manchester"/>
    <s v="High"/>
    <x v="2"/>
    <x v="1"/>
  </r>
  <r>
    <s v="ORD-2024-906395"/>
    <d v="2024-03-10T00:00:00"/>
    <d v="2024-04-09T00:00:00"/>
    <d v="2024-03-10T00:00:00"/>
    <d v="2024-04-09T00:00:00"/>
    <n v="30"/>
    <d v="2024-04-09T00:00:00"/>
    <n v="30"/>
    <x v="0"/>
    <x v="0"/>
    <x v="2"/>
    <x v="2"/>
    <s v="Lyon"/>
    <s v="Corporate"/>
    <x v="2"/>
    <x v="12"/>
    <x v="6"/>
    <x v="278"/>
    <n v="1176.56"/>
    <n v="1911.89"/>
    <n v="1911.89"/>
    <n v="0.11899999999999999"/>
    <n v="20"/>
    <n v="33687.501800000005"/>
    <n v="23531.199999999997"/>
    <n v="10156.301800000008"/>
    <n v="0.30148575160892477"/>
    <x v="14"/>
    <x v="4"/>
    <s v="Europe →France →Lyon"/>
    <s v="High"/>
    <x v="2"/>
    <x v="1"/>
  </r>
  <r>
    <s v="ORD-2024-275203"/>
    <d v="2024-03-11T00:00:00"/>
    <d v="2024-04-06T00:00:00"/>
    <d v="2024-03-11T00:00:00"/>
    <d v="2024-04-06T00:00:00"/>
    <n v="26"/>
    <d v="2024-04-06T00:00:00"/>
    <n v="26"/>
    <x v="0"/>
    <x v="0"/>
    <x v="1"/>
    <x v="7"/>
    <s v="Kisumu"/>
    <s v="Corporate"/>
    <x v="3"/>
    <x v="11"/>
    <x v="6"/>
    <x v="279"/>
    <n v="279.24"/>
    <n v="608.9"/>
    <n v="608.9"/>
    <n v="0.112"/>
    <n v="9"/>
    <n v="4866.3287999999993"/>
    <n v="2513.16"/>
    <n v="2353.1687999999995"/>
    <n v="0.48356140670149533"/>
    <x v="14"/>
    <x v="4"/>
    <s v="Africa →Kenya →Kisumu"/>
    <m/>
    <x v="2"/>
    <x v="1"/>
  </r>
  <r>
    <s v="ORD-2024-687073"/>
    <d v="2024-03-11T00:00:00"/>
    <d v="2024-03-29T00:00:00"/>
    <d v="2024-03-11T00:00:00"/>
    <d v="2024-03-29T00:00:00"/>
    <n v="18"/>
    <d v="2024-03-29T00:00:00"/>
    <n v="18"/>
    <x v="0"/>
    <x v="1"/>
    <x v="0"/>
    <x v="4"/>
    <s v="New York"/>
    <s v="Corporate"/>
    <x v="3"/>
    <x v="3"/>
    <x v="5"/>
    <x v="280"/>
    <n v="710.98"/>
    <n v="1481.45"/>
    <n v="1481.45"/>
    <n v="0.21099999999999999"/>
    <n v="9"/>
    <n v="10519.776450000001"/>
    <n v="6398.82"/>
    <n v="4120.9564500000015"/>
    <n v="0.39173422264120461"/>
    <x v="14"/>
    <x v="4"/>
    <s v="Americas →USA →New York"/>
    <s v="Medium"/>
    <x v="2"/>
    <x v="1"/>
  </r>
  <r>
    <s v="ORD-2024-243988"/>
    <d v="2024-03-13T00:00:00"/>
    <d v="2024-04-06T00:00:00"/>
    <d v="2024-03-13T00:00:00"/>
    <d v="2024-04-06T00:00:00"/>
    <n v="24"/>
    <d v="2024-04-06T00:00:00"/>
    <n v="24"/>
    <x v="0"/>
    <x v="0"/>
    <x v="1"/>
    <x v="5"/>
    <s v="Abuja"/>
    <s v="Consumer"/>
    <x v="0"/>
    <x v="9"/>
    <x v="6"/>
    <x v="281"/>
    <n v="1232.78"/>
    <n v="1731.75"/>
    <n v="1731.75"/>
    <n v="9.2999999999999999E-2"/>
    <n v="16"/>
    <n v="25131.155999999999"/>
    <n v="19724.48"/>
    <n v="5406.6759999999995"/>
    <n v="0.21513837246484005"/>
    <x v="14"/>
    <x v="4"/>
    <s v="Africa →Nigeria →Abuja"/>
    <s v="High"/>
    <x v="2"/>
    <x v="1"/>
  </r>
  <r>
    <s v="ORD-2024-220234"/>
    <d v="2024-03-15T00:00:00"/>
    <d v="2024-04-09T00:00:00"/>
    <d v="2024-03-15T00:00:00"/>
    <d v="2024-04-09T00:00:00"/>
    <n v="25"/>
    <d v="2024-04-09T00:00:00"/>
    <n v="25"/>
    <x v="0"/>
    <x v="1"/>
    <x v="0"/>
    <x v="0"/>
    <s v="Vancouver"/>
    <s v="Consumer"/>
    <x v="1"/>
    <x v="7"/>
    <x v="5"/>
    <x v="282"/>
    <n v="648.64"/>
    <n v="815.19"/>
    <n v="815.19"/>
    <n v="0.22500000000000001"/>
    <n v="28"/>
    <n v="17689.623"/>
    <n v="18161.919999999998"/>
    <n v="-472.29699999999866"/>
    <n v="-2.6699099240272032E-2"/>
    <x v="14"/>
    <x v="4"/>
    <s v="Americas →Canada →Vancouver"/>
    <s v="Low"/>
    <x v="2"/>
    <x v="1"/>
  </r>
  <r>
    <s v="ORD-2024-834983"/>
    <d v="2024-03-16T00:00:00"/>
    <d v="2024-04-13T00:00:00"/>
    <d v="2024-03-16T00:00:00"/>
    <d v="2024-04-13T00:00:00"/>
    <n v="28"/>
    <d v="2024-04-13T00:00:00"/>
    <n v="28"/>
    <x v="0"/>
    <x v="0"/>
    <x v="2"/>
    <x v="2"/>
    <s v="Paris"/>
    <s v="Small Business"/>
    <x v="1"/>
    <x v="10"/>
    <x v="1"/>
    <x v="283"/>
    <n v="287.61"/>
    <n v="628.54"/>
    <n v="628.54"/>
    <n v="0.13500000000000001"/>
    <n v="21"/>
    <n v="11417.429099999999"/>
    <n v="6039.81"/>
    <n v="5377.619099999999"/>
    <n v="0.47100087531964613"/>
    <x v="14"/>
    <x v="4"/>
    <s v="Europe →France →Paris"/>
    <s v="Low"/>
    <x v="2"/>
    <x v="1"/>
  </r>
  <r>
    <s v="ORD-2024-287210"/>
    <d v="2024-03-18T00:00:00"/>
    <d v="2024-03-21T00:00:00"/>
    <d v="2024-03-18T00:00:00"/>
    <d v="2024-03-21T00:00:00"/>
    <n v="3"/>
    <d v="2024-03-21T00:00:00"/>
    <n v="3"/>
    <x v="1"/>
    <x v="0"/>
    <x v="2"/>
    <x v="8"/>
    <s v="Munich"/>
    <s v="Small Business"/>
    <x v="1"/>
    <x v="3"/>
    <x v="3"/>
    <x v="284"/>
    <n v="910.63"/>
    <n v="1269.4000000000001"/>
    <n v="1269.4000000000001"/>
    <n v="6.8000000000000005E-2"/>
    <n v="9"/>
    <n v="10647.727199999999"/>
    <n v="8195.67"/>
    <n v="2452.0571999999993"/>
    <n v="0.23028925834989455"/>
    <x v="14"/>
    <x v="4"/>
    <s v="Europe →Germany →Munich"/>
    <s v="Medium"/>
    <x v="2"/>
    <x v="1"/>
  </r>
  <r>
    <s v="ORD-2024-446030"/>
    <d v="2024-03-23T00:00:00"/>
    <d v="2024-03-26T00:00:00"/>
    <d v="2024-03-23T00:00:00"/>
    <d v="2024-03-26T00:00:00"/>
    <n v="3"/>
    <d v="2024-03-26T00:00:00"/>
    <n v="3"/>
    <x v="1"/>
    <x v="0"/>
    <x v="3"/>
    <x v="9"/>
    <s v="Bengaluru"/>
    <s v="Education"/>
    <x v="2"/>
    <x v="6"/>
    <x v="2"/>
    <x v="285"/>
    <n v="382.21"/>
    <n v="571.89"/>
    <n v="571.89"/>
    <n v="0.14799999999999999"/>
    <n v="26"/>
    <n v="12668.50728"/>
    <n v="9937.4599999999991"/>
    <n v="2731.0472800000007"/>
    <n v="0.2155776698578809"/>
    <x v="14"/>
    <x v="4"/>
    <s v="Asia →India →Bengaluru"/>
    <s v="Low"/>
    <x v="2"/>
    <x v="1"/>
  </r>
  <r>
    <s v="ORD-2024-207096"/>
    <d v="2024-03-26T00:00:00"/>
    <d v="2024-04-05T00:00:00"/>
    <d v="2024-03-26T00:00:00"/>
    <d v="2024-04-05T00:00:00"/>
    <n v="10"/>
    <d v="2024-04-05T00:00:00"/>
    <n v="10"/>
    <x v="0"/>
    <x v="0"/>
    <x v="0"/>
    <x v="4"/>
    <s v="Austin"/>
    <s v="Consumer"/>
    <x v="2"/>
    <x v="13"/>
    <x v="5"/>
    <x v="286"/>
    <n v="5.66"/>
    <n v="4.22"/>
    <n v="4.22"/>
    <n v="0.11899999999999999"/>
    <n v="18"/>
    <n v="66.920760000000001"/>
    <n v="101.88"/>
    <n v="-34.959239999999994"/>
    <n v="-0.52239753403876454"/>
    <x v="14"/>
    <x v="4"/>
    <s v="Americas →USA →Austin"/>
    <s v="Low"/>
    <x v="2"/>
    <x v="1"/>
  </r>
  <r>
    <s v="ORD-2024-948800"/>
    <d v="2024-03-27T00:00:00"/>
    <d v="2024-04-11T00:00:00"/>
    <d v="2024-03-27T00:00:00"/>
    <d v="2024-04-11T00:00:00"/>
    <n v="15"/>
    <d v="2024-04-11T00:00:00"/>
    <n v="15"/>
    <x v="0"/>
    <x v="0"/>
    <x v="0"/>
    <x v="4"/>
    <s v="San Francisco"/>
    <s v="Small Business"/>
    <x v="2"/>
    <x v="5"/>
    <x v="4"/>
    <x v="287"/>
    <n v="1338.35"/>
    <n v="2247.14"/>
    <n v="2247.14"/>
    <n v="0.115"/>
    <n v="40"/>
    <n v="79548.755999999994"/>
    <n v="53534"/>
    <n v="26014.755999999994"/>
    <n v="0.32702907384246205"/>
    <x v="14"/>
    <x v="4"/>
    <s v="Americas →USA →San Francisco"/>
    <s v="High"/>
    <x v="2"/>
    <x v="1"/>
  </r>
  <r>
    <s v="ORD-2024-897622"/>
    <d v="2024-03-30T00:00:00"/>
    <d v="2024-04-24T00:00:00"/>
    <d v="2024-03-30T00:00:00"/>
    <d v="2024-04-24T00:00:00"/>
    <n v="25"/>
    <d v="2024-04-24T00:00:00"/>
    <n v="25"/>
    <x v="0"/>
    <x v="0"/>
    <x v="0"/>
    <x v="4"/>
    <s v="Austin"/>
    <s v="Non-Profit"/>
    <x v="1"/>
    <x v="6"/>
    <x v="0"/>
    <x v="288"/>
    <n v="160.82"/>
    <n v="258.52"/>
    <n v="258.52"/>
    <n v="0.13"/>
    <n v="17"/>
    <n v="3823.5108"/>
    <n v="2733.94"/>
    <n v="1089.5708"/>
    <n v="0.28496605789631874"/>
    <x v="14"/>
    <x v="4"/>
    <s v="Americas →USA →Austin"/>
    <s v="Low"/>
    <x v="2"/>
    <x v="1"/>
  </r>
  <r>
    <s v="ORD-2024-745822"/>
    <d v="2024-03-31T00:00:00"/>
    <d v="2024-04-17T00:00:00"/>
    <d v="2024-03-31T00:00:00"/>
    <d v="2024-04-17T00:00:00"/>
    <n v="17"/>
    <d v="2024-04-17T00:00:00"/>
    <n v="17"/>
    <x v="0"/>
    <x v="0"/>
    <x v="2"/>
    <x v="8"/>
    <s v="Frankfurt"/>
    <s v="Education"/>
    <x v="2"/>
    <x v="4"/>
    <x v="5"/>
    <x v="289"/>
    <n v="1025.51"/>
    <n v="1436.54"/>
    <n v="1436.54"/>
    <n v="0.13900000000000001"/>
    <n v="28"/>
    <n v="34632.106319999999"/>
    <n v="28714.28"/>
    <n v="5917.8263200000001"/>
    <n v="0.17087688127656453"/>
    <x v="14"/>
    <x v="4"/>
    <s v="Europe →Germany →Frankfurt"/>
    <s v="Medium"/>
    <x v="2"/>
    <x v="1"/>
  </r>
  <r>
    <s v="ORD-2024-219735"/>
    <d v="2024-04-03T00:00:00"/>
    <d v="2024-04-07T00:00:00"/>
    <d v="2024-04-03T00:00:00"/>
    <d v="2024-04-07T00:00:00"/>
    <n v="4"/>
    <d v="2024-04-07T00:00:00"/>
    <n v="4"/>
    <x v="1"/>
    <x v="0"/>
    <x v="0"/>
    <x v="10"/>
    <s v="Brasília"/>
    <s v="Non-Profit"/>
    <x v="2"/>
    <x v="8"/>
    <x v="2"/>
    <x v="290"/>
    <n v="1023.27"/>
    <n v="1343.64"/>
    <n v="1343.64"/>
    <n v="0.13300000000000001"/>
    <n v="7"/>
    <n v="8154.5511600000009"/>
    <n v="7162.8899999999994"/>
    <n v="991.66116000000147"/>
    <n v="0.12160830688810116"/>
    <x v="15"/>
    <x v="5"/>
    <s v="Americas →Brazil →Brasília"/>
    <s v="Medium"/>
    <x v="3"/>
    <x v="1"/>
  </r>
  <r>
    <s v="ORD-2024-510591"/>
    <d v="2024-04-03T00:00:00"/>
    <d v="2024-04-21T00:00:00"/>
    <d v="2024-04-03T00:00:00"/>
    <d v="2024-04-21T00:00:00"/>
    <n v="18"/>
    <d v="2024-04-21T00:00:00"/>
    <n v="18"/>
    <x v="0"/>
    <x v="0"/>
    <x v="0"/>
    <x v="10"/>
    <s v="Brasília"/>
    <s v="Small Business"/>
    <x v="0"/>
    <x v="0"/>
    <x v="4"/>
    <x v="291"/>
    <n v="1176.69"/>
    <n v="2201.54"/>
    <n v="2201.54"/>
    <n v="0.17"/>
    <n v="27"/>
    <n v="49336.511399999996"/>
    <n v="31770.63"/>
    <n v="17565.881399999995"/>
    <n v="0.35604222717701106"/>
    <x v="15"/>
    <x v="5"/>
    <s v="Americas →Brazil →Brasília"/>
    <s v="High"/>
    <x v="3"/>
    <x v="1"/>
  </r>
  <r>
    <s v="ORD-2024-211453"/>
    <d v="2024-04-04T00:00:00"/>
    <d v="2024-04-24T00:00:00"/>
    <d v="2024-04-04T00:00:00"/>
    <d v="2024-04-24T00:00:00"/>
    <n v="20"/>
    <d v="2024-04-24T00:00:00"/>
    <n v="20"/>
    <x v="0"/>
    <x v="0"/>
    <x v="2"/>
    <x v="8"/>
    <s v="Frankfurt"/>
    <s v="Non-Profit"/>
    <x v="2"/>
    <x v="5"/>
    <x v="3"/>
    <x v="292"/>
    <n v="683.42"/>
    <n v="951.51"/>
    <n v="951.51"/>
    <n v="0"/>
    <n v="14"/>
    <n v="13321.14"/>
    <n v="9567.8799999999992"/>
    <n v="3753.26"/>
    <n v="0.28175216235247136"/>
    <x v="15"/>
    <x v="5"/>
    <s v="Europe →Germany →Frankfurt"/>
    <s v="Medium"/>
    <x v="3"/>
    <x v="1"/>
  </r>
  <r>
    <s v="ORD-2024-310809"/>
    <d v="2024-04-05T00:00:00"/>
    <d v="2024-04-09T00:00:00"/>
    <d v="2024-04-05T00:00:00"/>
    <d v="2024-04-09T00:00:00"/>
    <n v="4"/>
    <d v="2024-04-09T00:00:00"/>
    <n v="4"/>
    <x v="1"/>
    <x v="0"/>
    <x v="1"/>
    <x v="5"/>
    <s v="Lagos"/>
    <s v="Non-Profit"/>
    <x v="2"/>
    <x v="10"/>
    <x v="6"/>
    <x v="293"/>
    <n v="395.07"/>
    <n v="970.27"/>
    <n v="970.27"/>
    <n v="0.123"/>
    <n v="38"/>
    <n v="32335.21802"/>
    <n v="15012.66"/>
    <n v="17322.55802"/>
    <n v="0.53571799049833657"/>
    <x v="15"/>
    <x v="5"/>
    <s v="Africa →Nigeria →Lagos"/>
    <s v="Medium"/>
    <x v="3"/>
    <x v="1"/>
  </r>
  <r>
    <s v="ORD-2024-594592"/>
    <d v="2024-04-06T00:00:00"/>
    <d v="2024-04-25T00:00:00"/>
    <d v="2024-04-06T00:00:00"/>
    <d v="2024-04-25T00:00:00"/>
    <n v="19"/>
    <d v="2024-04-25T00:00:00"/>
    <n v="19"/>
    <x v="0"/>
    <x v="0"/>
    <x v="3"/>
    <x v="3"/>
    <s v="Shanghai"/>
    <s v="Corporate"/>
    <x v="3"/>
    <x v="10"/>
    <x v="6"/>
    <x v="294"/>
    <n v="1366.48"/>
    <n v="1678.14"/>
    <n v="1678.14"/>
    <n v="0.154"/>
    <n v="10"/>
    <n v="14197.064400000001"/>
    <n v="13664.8"/>
    <n v="532.26440000000184"/>
    <n v="3.7491159087790132E-2"/>
    <x v="15"/>
    <x v="5"/>
    <s v="Asia →China →Shanghai"/>
    <s v="High"/>
    <x v="3"/>
    <x v="1"/>
  </r>
  <r>
    <s v="ORD-2024-332076"/>
    <d v="2024-04-09T00:00:00"/>
    <d v="2024-04-18T00:00:00"/>
    <d v="2024-04-09T00:00:00"/>
    <d v="2024-04-18T00:00:00"/>
    <n v="9"/>
    <d v="2024-04-18T00:00:00"/>
    <n v="9"/>
    <x v="0"/>
    <x v="0"/>
    <x v="2"/>
    <x v="2"/>
    <s v="Lyon"/>
    <s v="Consumer"/>
    <x v="1"/>
    <x v="14"/>
    <x v="1"/>
    <x v="295"/>
    <n v="1288.8499999999999"/>
    <n v="2751.84"/>
    <n v="2751.84"/>
    <n v="0.158"/>
    <n v="7"/>
    <n v="16219.34496"/>
    <n v="9021.9499999999989"/>
    <n v="7197.3949600000014"/>
    <n v="0.44375373837538756"/>
    <x v="15"/>
    <x v="5"/>
    <s v="Europe →France →Lyon"/>
    <s v="High"/>
    <x v="3"/>
    <x v="1"/>
  </r>
  <r>
    <s v="ORD-2024-939873"/>
    <d v="2024-04-12T00:00:00"/>
    <d v="2024-05-07T00:00:00"/>
    <d v="2024-04-12T00:00:00"/>
    <d v="2024-05-07T00:00:00"/>
    <n v="25"/>
    <d v="2024-05-07T00:00:00"/>
    <n v="25"/>
    <x v="0"/>
    <x v="0"/>
    <x v="1"/>
    <x v="1"/>
    <s v="Johannesburg"/>
    <s v="Education"/>
    <x v="0"/>
    <x v="1"/>
    <x v="0"/>
    <x v="296"/>
    <n v="1376.51"/>
    <n v="1455.91"/>
    <n v="1455.91"/>
    <n v="0.185"/>
    <n v="17"/>
    <n v="20171.63305"/>
    <n v="23400.67"/>
    <n v="-3229.0369499999979"/>
    <n v="-0.1600781127634085"/>
    <x v="15"/>
    <x v="5"/>
    <s v="Africa →South Africa →Johannesburg"/>
    <s v="Medium"/>
    <x v="3"/>
    <x v="1"/>
  </r>
  <r>
    <s v="ORD-2024-364080"/>
    <d v="2024-04-16T00:00:00"/>
    <d v="2024-04-27T00:00:00"/>
    <d v="2024-04-16T00:00:00"/>
    <d v="2024-04-27T00:00:00"/>
    <n v="11"/>
    <d v="2024-04-27T00:00:00"/>
    <n v="11"/>
    <x v="0"/>
    <x v="1"/>
    <x v="1"/>
    <x v="7"/>
    <s v="Nakuru"/>
    <s v="Enterprise"/>
    <x v="1"/>
    <x v="2"/>
    <x v="1"/>
    <x v="297"/>
    <n v="401.3"/>
    <n v="826.47"/>
    <n v="826.47"/>
    <n v="0.22500000000000001"/>
    <n v="13"/>
    <n v="8326.6852500000005"/>
    <n v="5216.9000000000005"/>
    <n v="3109.7852499999999"/>
    <n v="0.37347217489696755"/>
    <x v="15"/>
    <x v="5"/>
    <s v="Africa →Kenya →Nakuru"/>
    <s v="Medium"/>
    <x v="3"/>
    <x v="1"/>
  </r>
  <r>
    <s v="ORD-2024-629525"/>
    <d v="2024-04-18T00:00:00"/>
    <d v="2024-05-08T00:00:00"/>
    <d v="2024-04-18T00:00:00"/>
    <d v="2024-05-08T00:00:00"/>
    <n v="20"/>
    <d v="2024-05-08T00:00:00"/>
    <n v="20"/>
    <x v="0"/>
    <x v="0"/>
    <x v="2"/>
    <x v="6"/>
    <s v="London"/>
    <s v="Non-Profit"/>
    <x v="5"/>
    <x v="2"/>
    <x v="0"/>
    <x v="298"/>
    <n v="645.33000000000004"/>
    <n v="1321.85"/>
    <n v="1321.85"/>
    <n v="0"/>
    <n v="10"/>
    <n v="13218.5"/>
    <n v="6453.3"/>
    <n v="6765.2"/>
    <n v="0.51179785906116426"/>
    <x v="15"/>
    <x v="5"/>
    <s v="Europe →United Kingdom →London"/>
    <s v="Medium"/>
    <x v="3"/>
    <x v="1"/>
  </r>
  <r>
    <s v="ORD-2024-599522"/>
    <d v="2024-04-19T00:00:00"/>
    <d v="2024-05-06T00:00:00"/>
    <d v="2024-04-19T00:00:00"/>
    <d v="2024-05-06T00:00:00"/>
    <n v="17"/>
    <d v="2024-05-06T00:00:00"/>
    <n v="17"/>
    <x v="0"/>
    <x v="0"/>
    <x v="1"/>
    <x v="5"/>
    <s v="Port Harcourt"/>
    <s v="Non-Profit"/>
    <x v="1"/>
    <x v="1"/>
    <x v="1"/>
    <x v="299"/>
    <n v="865.33"/>
    <n v="1395.64"/>
    <n v="1395.64"/>
    <n v="0.17499999999999999"/>
    <n v="13"/>
    <n v="14968.239"/>
    <n v="11249.29"/>
    <n v="3718.9489999999987"/>
    <n v="0.24845601409758347"/>
    <x v="15"/>
    <x v="5"/>
    <s v="Africa →Nigeria →Port Harcourt"/>
    <s v="Medium"/>
    <x v="3"/>
    <x v="1"/>
  </r>
  <r>
    <s v="ORD-2024-247032"/>
    <d v="2024-04-21T00:00:00"/>
    <d v="2024-05-19T00:00:00"/>
    <d v="2024-04-21T00:00:00"/>
    <d v="2024-05-19T00:00:00"/>
    <n v="28"/>
    <d v="2024-05-19T00:00:00"/>
    <n v="28"/>
    <x v="0"/>
    <x v="0"/>
    <x v="1"/>
    <x v="5"/>
    <s v="Lagos"/>
    <s v="Corporate"/>
    <x v="0"/>
    <x v="1"/>
    <x v="3"/>
    <x v="300"/>
    <n v="187.22"/>
    <n v="309.47000000000003"/>
    <n v="309.47000000000003"/>
    <n v="0"/>
    <n v="5"/>
    <n v="1547.3500000000001"/>
    <n v="936.1"/>
    <n v="611.25000000000011"/>
    <n v="0.39503021294471197"/>
    <x v="15"/>
    <x v="5"/>
    <s v="Africa →Nigeria →Lagos"/>
    <s v="Low"/>
    <x v="3"/>
    <x v="1"/>
  </r>
  <r>
    <s v="ORD-2024-833375"/>
    <d v="2024-04-24T00:00:00"/>
    <d v="2024-05-10T00:00:00"/>
    <d v="2024-04-24T00:00:00"/>
    <d v="2024-05-10T00:00:00"/>
    <n v="16"/>
    <d v="2024-05-10T00:00:00"/>
    <n v="16"/>
    <x v="0"/>
    <x v="0"/>
    <x v="1"/>
    <x v="7"/>
    <s v="Kisumu"/>
    <s v="Non-Profit"/>
    <x v="1"/>
    <x v="8"/>
    <x v="5"/>
    <x v="301"/>
    <n v="513.30999999999995"/>
    <n v="1186.26"/>
    <n v="1186.26"/>
    <n v="9.4E-2"/>
    <n v="15"/>
    <n v="16121.273400000002"/>
    <n v="7699.65"/>
    <n v="8421.6234000000022"/>
    <n v="0.52239194702820446"/>
    <x v="15"/>
    <x v="5"/>
    <s v="Africa →Kenya →Kisumu"/>
    <s v="Medium"/>
    <x v="3"/>
    <x v="1"/>
  </r>
  <r>
    <s v="ORD-2024-567435"/>
    <d v="2024-04-26T00:00:00"/>
    <d v="2024-04-24T00:00:00"/>
    <d v="2024-04-24T00:00:00"/>
    <d v="2024-04-26T00:00:00"/>
    <n v="2"/>
    <d v="2024-05-03T00:00:00"/>
    <n v="7"/>
    <x v="1"/>
    <x v="0"/>
    <x v="2"/>
    <x v="6"/>
    <s v="London"/>
    <s v="Non-Profit"/>
    <x v="0"/>
    <x v="8"/>
    <x v="2"/>
    <x v="302"/>
    <n v="1232.77"/>
    <n v="891.73"/>
    <n v="891.73"/>
    <n v="0.16700000000000001"/>
    <n v="10"/>
    <n v="7428.1108999999988"/>
    <n v="12327.7"/>
    <n v="-4899.589100000002"/>
    <n v="-0.65960096260813805"/>
    <x v="15"/>
    <x v="5"/>
    <s v="Europe →United Kingdom →London"/>
    <s v="Medium"/>
    <x v="3"/>
    <x v="1"/>
  </r>
  <r>
    <s v="ORD-2024-855600"/>
    <d v="2024-04-29T00:00:00"/>
    <d v="2024-05-19T00:00:00"/>
    <d v="2024-04-29T00:00:00"/>
    <d v="2024-05-19T00:00:00"/>
    <n v="20"/>
    <d v="2024-05-19T00:00:00"/>
    <n v="20"/>
    <x v="0"/>
    <x v="0"/>
    <x v="2"/>
    <x v="8"/>
    <s v="Frankfurt"/>
    <s v="Enterprise"/>
    <x v="4"/>
    <x v="11"/>
    <x v="0"/>
    <x v="303"/>
    <n v="668.97"/>
    <n v="1667.44"/>
    <n v="1667.44"/>
    <n v="3.4000000000000002E-2"/>
    <n v="15"/>
    <n v="24161.205600000001"/>
    <n v="10034.550000000001"/>
    <n v="14126.6556"/>
    <n v="0.58468339013679016"/>
    <x v="15"/>
    <x v="5"/>
    <s v="Europe →Germany →Frankfurt"/>
    <s v="High"/>
    <x v="3"/>
    <x v="1"/>
  </r>
  <r>
    <s v="ORD-2024-851993"/>
    <d v="2024-05-01T00:00:00"/>
    <d v="2024-05-16T00:00:00"/>
    <d v="2024-05-01T00:00:00"/>
    <d v="2024-05-16T00:00:00"/>
    <n v="15"/>
    <d v="2024-05-16T00:00:00"/>
    <n v="15"/>
    <x v="0"/>
    <x v="0"/>
    <x v="3"/>
    <x v="9"/>
    <s v="Bengaluru"/>
    <s v="Small Business"/>
    <x v="3"/>
    <x v="9"/>
    <x v="6"/>
    <x v="304"/>
    <n v="901.19"/>
    <n v="2125.44"/>
    <n v="2125.44"/>
    <n v="7.0999999999999994E-2"/>
    <n v="12"/>
    <n v="23694.405119999999"/>
    <n v="10814.28"/>
    <n v="12880.125119999999"/>
    <n v="0.54359352154100415"/>
    <x v="16"/>
    <x v="5"/>
    <s v="Asia →India →Bengaluru"/>
    <s v="High"/>
    <x v="4"/>
    <x v="1"/>
  </r>
  <r>
    <s v="ORD-2024-402240"/>
    <d v="2024-05-01T00:00:00"/>
    <d v="2024-05-26T00:00:00"/>
    <d v="2024-05-01T00:00:00"/>
    <d v="2024-05-26T00:00:00"/>
    <n v="25"/>
    <d v="2024-05-26T00:00:00"/>
    <n v="25"/>
    <x v="0"/>
    <x v="0"/>
    <x v="2"/>
    <x v="8"/>
    <s v="Berlin"/>
    <s v="Non-Profit"/>
    <x v="3"/>
    <x v="0"/>
    <x v="4"/>
    <x v="305"/>
    <n v="930.71"/>
    <n v="1625.42"/>
    <n v="1625.42"/>
    <n v="0.13800000000000001"/>
    <n v="7"/>
    <n v="9807.7842799999999"/>
    <n v="6514.97"/>
    <n v="3292.8142799999996"/>
    <n v="0.33573477821231196"/>
    <x v="16"/>
    <x v="5"/>
    <s v="Europe →Germany →Berlin"/>
    <s v="High"/>
    <x v="4"/>
    <x v="1"/>
  </r>
  <r>
    <s v="ORD-2024-589570"/>
    <d v="2024-05-04T00:00:00"/>
    <d v="2024-05-29T00:00:00"/>
    <d v="2024-05-04T00:00:00"/>
    <d v="2024-05-29T00:00:00"/>
    <n v="25"/>
    <d v="2024-05-29T00:00:00"/>
    <n v="25"/>
    <x v="0"/>
    <x v="0"/>
    <x v="1"/>
    <x v="5"/>
    <s v="Abuja"/>
    <s v="Non-Profit"/>
    <x v="4"/>
    <x v="5"/>
    <x v="5"/>
    <x v="306"/>
    <n v="1295.3399999999999"/>
    <n v="2530.81"/>
    <n v="2530.81"/>
    <n v="3.1E-2"/>
    <n v="6"/>
    <n v="14714.12934"/>
    <n v="7772.0399999999991"/>
    <n v="6942.0893400000004"/>
    <n v="0.4717974933880798"/>
    <x v="16"/>
    <x v="5"/>
    <s v="Africa →Nigeria →Abuja"/>
    <s v="High"/>
    <x v="4"/>
    <x v="1"/>
  </r>
  <r>
    <s v="ORD-2024-202166"/>
    <d v="2024-05-05T00:00:00"/>
    <d v="2024-05-18T00:00:00"/>
    <d v="2024-05-05T00:00:00"/>
    <d v="2024-05-18T00:00:00"/>
    <n v="13"/>
    <d v="2024-05-18T00:00:00"/>
    <n v="13"/>
    <x v="0"/>
    <x v="0"/>
    <x v="2"/>
    <x v="2"/>
    <s v="Marseille"/>
    <s v="Corporate"/>
    <x v="4"/>
    <x v="1"/>
    <x v="6"/>
    <x v="307"/>
    <n v="1264.04"/>
    <n v="1870.89"/>
    <n v="1870.89"/>
    <n v="0"/>
    <n v="13"/>
    <n v="24321.57"/>
    <n v="16432.52"/>
    <n v="7889.0499999999993"/>
    <n v="0.32436433996653996"/>
    <x v="16"/>
    <x v="5"/>
    <s v="Europe →France →Marseille"/>
    <s v="High"/>
    <x v="4"/>
    <x v="1"/>
  </r>
  <r>
    <s v="ORD-2024-527858"/>
    <d v="2024-05-07T00:00:00"/>
    <d v="2024-05-12T00:00:00"/>
    <d v="2024-05-07T00:00:00"/>
    <d v="2024-05-12T00:00:00"/>
    <n v="5"/>
    <d v="2024-05-12T00:00:00"/>
    <n v="5"/>
    <x v="1"/>
    <x v="0"/>
    <x v="1"/>
    <x v="5"/>
    <s v="Abuja"/>
    <s v="Non-Profit"/>
    <x v="0"/>
    <x v="9"/>
    <x v="0"/>
    <x v="308"/>
    <n v="1163.99"/>
    <n v="1617.85"/>
    <n v="1617.85"/>
    <n v="0.127"/>
    <n v="14"/>
    <n v="19773.362699999998"/>
    <n v="16295.86"/>
    <n v="3477.5026999999973"/>
    <n v="0.17586804797749436"/>
    <x v="16"/>
    <x v="5"/>
    <s v="Africa →Nigeria →Abuja"/>
    <s v="Medium"/>
    <x v="4"/>
    <x v="1"/>
  </r>
  <r>
    <s v="ORD-2024-641220"/>
    <d v="2024-05-10T00:00:00"/>
    <d v="2024-05-16T00:00:00"/>
    <d v="2024-05-10T00:00:00"/>
    <d v="2024-05-16T00:00:00"/>
    <n v="6"/>
    <d v="2024-05-16T00:00:00"/>
    <n v="6"/>
    <x v="1"/>
    <x v="0"/>
    <x v="2"/>
    <x v="6"/>
    <s v="Birmingham"/>
    <s v="Non-Profit"/>
    <x v="2"/>
    <x v="6"/>
    <x v="0"/>
    <x v="309"/>
    <n v="210.76"/>
    <n v="221.58"/>
    <n v="221.58"/>
    <n v="8.8999999999999996E-2"/>
    <n v="5"/>
    <n v="1009.2969000000002"/>
    <n v="1053.8"/>
    <n v="-44.50309999999979"/>
    <n v="-4.4093170205912434E-2"/>
    <x v="16"/>
    <x v="5"/>
    <s v="Europe →United Kingdom →Birmingham"/>
    <s v="Low"/>
    <x v="4"/>
    <x v="1"/>
  </r>
  <r>
    <s v="ORD-2024-973420"/>
    <d v="2024-05-12T00:00:00"/>
    <d v="2024-05-24T00:00:00"/>
    <d v="2024-05-12T00:00:00"/>
    <d v="2024-05-24T00:00:00"/>
    <n v="12"/>
    <d v="2024-05-24T00:00:00"/>
    <n v="12"/>
    <x v="0"/>
    <x v="0"/>
    <x v="2"/>
    <x v="6"/>
    <s v="Manchester"/>
    <s v="Education"/>
    <x v="4"/>
    <x v="10"/>
    <x v="1"/>
    <x v="310"/>
    <n v="111.02"/>
    <n v="172.88"/>
    <n v="172.88"/>
    <n v="0.19700000000000001"/>
    <n v="29"/>
    <n v="4025.8565599999993"/>
    <n v="3219.58"/>
    <n v="806.27655999999934"/>
    <n v="0.20027453735212053"/>
    <x v="16"/>
    <x v="5"/>
    <s v="Europe →United Kingdom →Manchester"/>
    <s v="Low"/>
    <x v="4"/>
    <x v="1"/>
  </r>
  <r>
    <s v="ORD-2024-548345"/>
    <d v="2024-05-14T00:00:00"/>
    <d v="2024-05-28T00:00:00"/>
    <d v="2024-05-14T00:00:00"/>
    <d v="2024-05-28T00:00:00"/>
    <n v="14"/>
    <d v="2024-05-28T00:00:00"/>
    <n v="14"/>
    <x v="0"/>
    <x v="0"/>
    <x v="2"/>
    <x v="6"/>
    <s v="Birmingham"/>
    <s v="Consumer"/>
    <x v="3"/>
    <x v="0"/>
    <x v="4"/>
    <x v="311"/>
    <n v="1421.14"/>
    <n v="3524"/>
    <n v="3524"/>
    <n v="0"/>
    <n v="31"/>
    <n v="109244"/>
    <n v="44055.340000000004"/>
    <n v="65188.659999999996"/>
    <n v="0.59672531214528945"/>
    <x v="16"/>
    <x v="5"/>
    <s v="Europe →United Kingdom →Birmingham"/>
    <s v="High"/>
    <x v="4"/>
    <x v="1"/>
  </r>
  <r>
    <s v="ORD-2024-690270"/>
    <d v="2024-05-17T00:00:00"/>
    <d v="2024-05-27T00:00:00"/>
    <d v="2024-05-17T00:00:00"/>
    <d v="2024-05-27T00:00:00"/>
    <n v="10"/>
    <d v="2024-05-27T00:00:00"/>
    <n v="10"/>
    <x v="0"/>
    <x v="1"/>
    <x v="0"/>
    <x v="4"/>
    <s v="Austin"/>
    <s v="Non-Profit"/>
    <x v="1"/>
    <x v="11"/>
    <x v="2"/>
    <x v="312"/>
    <n v="1484.23"/>
    <n v="3472.81"/>
    <n v="3472.81"/>
    <n v="0.25600000000000001"/>
    <n v="12"/>
    <n v="31005.24768"/>
    <n v="17810.760000000002"/>
    <n v="13194.487679999998"/>
    <n v="0.42555659661803413"/>
    <x v="16"/>
    <x v="5"/>
    <s v="Americas →USA →Austin"/>
    <s v="High"/>
    <x v="4"/>
    <x v="1"/>
  </r>
  <r>
    <s v="ORD-2024-500109"/>
    <d v="2024-05-18T00:00:00"/>
    <d v="2024-05-23T00:00:00"/>
    <d v="2024-05-18T00:00:00"/>
    <d v="2024-05-23T00:00:00"/>
    <n v="5"/>
    <d v="2024-05-23T00:00:00"/>
    <n v="5"/>
    <x v="1"/>
    <x v="0"/>
    <x v="0"/>
    <x v="4"/>
    <s v="Chicago"/>
    <s v="Enterprise"/>
    <x v="3"/>
    <x v="4"/>
    <x v="0"/>
    <x v="313"/>
    <n v="1274.5899999999999"/>
    <n v="2553.69"/>
    <n v="2553.69"/>
    <n v="0.01"/>
    <n v="8"/>
    <n v="20225.2248"/>
    <n v="10196.719999999999"/>
    <n v="10028.504800000001"/>
    <n v="0.49584145042481803"/>
    <x v="16"/>
    <x v="5"/>
    <s v="Americas →USA →Chicago"/>
    <s v="High"/>
    <x v="4"/>
    <x v="1"/>
  </r>
  <r>
    <s v="ORD-2024-375848"/>
    <d v="2024-05-18T00:00:00"/>
    <d v="2024-05-21T00:00:00"/>
    <d v="2024-05-18T00:00:00"/>
    <d v="2024-05-21T00:00:00"/>
    <n v="3"/>
    <d v="2024-05-21T00:00:00"/>
    <n v="3"/>
    <x v="1"/>
    <x v="1"/>
    <x v="2"/>
    <x v="2"/>
    <s v="Marseille"/>
    <s v="Non-Profit"/>
    <x v="4"/>
    <x v="2"/>
    <x v="1"/>
    <x v="314"/>
    <n v="663.66"/>
    <n v="824.26"/>
    <n v="824.26"/>
    <n v="0.23899999999999999"/>
    <n v="11"/>
    <n v="6899.8804600000003"/>
    <n v="7300.2599999999993"/>
    <n v="-400.379539999999"/>
    <n v="-5.8027025587048933E-2"/>
    <x v="16"/>
    <x v="5"/>
    <s v="Europe →France →Marseille"/>
    <s v="Medium"/>
    <x v="4"/>
    <x v="1"/>
  </r>
  <r>
    <s v="ORD-2024-555229"/>
    <d v="2024-05-18T00:00:00"/>
    <d v="2024-05-22T00:00:00"/>
    <d v="2024-05-18T00:00:00"/>
    <d v="2024-05-22T00:00:00"/>
    <n v="4"/>
    <d v="2024-05-22T00:00:00"/>
    <n v="4"/>
    <x v="1"/>
    <x v="0"/>
    <x v="1"/>
    <x v="7"/>
    <s v="Nairobi"/>
    <s v="Corporate"/>
    <x v="2"/>
    <x v="4"/>
    <x v="3"/>
    <x v="315"/>
    <n v="857.42"/>
    <n v="1658.92"/>
    <n v="1658.92"/>
    <n v="0.122"/>
    <n v="9"/>
    <n v="13108.78584"/>
    <n v="7716.78"/>
    <n v="5392.0058400000007"/>
    <n v="0.41132763215544305"/>
    <x v="16"/>
    <x v="5"/>
    <s v="Africa →Kenya →Nairobi"/>
    <s v="High"/>
    <x v="4"/>
    <x v="1"/>
  </r>
  <r>
    <s v="ORD-2024-503082"/>
    <d v="2024-05-19T00:00:00"/>
    <d v="2024-06-08T00:00:00"/>
    <d v="2024-05-19T00:00:00"/>
    <d v="2024-06-08T00:00:00"/>
    <n v="20"/>
    <d v="2024-06-08T00:00:00"/>
    <n v="20"/>
    <x v="0"/>
    <x v="0"/>
    <x v="0"/>
    <x v="10"/>
    <s v="Brasília"/>
    <s v="Small Business"/>
    <x v="3"/>
    <x v="14"/>
    <x v="5"/>
    <x v="316"/>
    <n v="1075.9000000000001"/>
    <n v="1242.1500000000001"/>
    <n v="1242.1500000000001"/>
    <n v="1.2E-2"/>
    <n v="7"/>
    <n v="8590.7094000000016"/>
    <n v="7531.3000000000011"/>
    <n v="1059.4094000000005"/>
    <n v="0.12332036280961853"/>
    <x v="16"/>
    <x v="5"/>
    <s v="Americas →Brazil →Brasília"/>
    <s v="Medium"/>
    <x v="4"/>
    <x v="1"/>
  </r>
  <r>
    <s v="ORD-2024-389336"/>
    <d v="2024-05-20T00:00:00"/>
    <d v="2024-06-02T00:00:00"/>
    <d v="2024-05-20T00:00:00"/>
    <d v="2024-06-02T00:00:00"/>
    <n v="13"/>
    <d v="2024-06-02T00:00:00"/>
    <n v="13"/>
    <x v="0"/>
    <x v="0"/>
    <x v="0"/>
    <x v="0"/>
    <s v="Vancouver"/>
    <s v="Enterprise"/>
    <x v="4"/>
    <x v="10"/>
    <x v="6"/>
    <x v="317"/>
    <n v="675.43"/>
    <n v="996.36"/>
    <n v="996.36"/>
    <n v="0.182"/>
    <n v="22"/>
    <n v="17930.494560000003"/>
    <n v="14859.46"/>
    <n v="3071.0345600000037"/>
    <n v="0.17127439233332575"/>
    <x v="16"/>
    <x v="5"/>
    <s v="Americas →Canada →Vancouver"/>
    <s v="Medium"/>
    <x v="4"/>
    <x v="1"/>
  </r>
  <r>
    <s v="ORD-2024-155337"/>
    <d v="2024-05-21T00:00:00"/>
    <d v="2024-05-27T00:00:00"/>
    <d v="2024-05-21T00:00:00"/>
    <d v="2024-05-27T00:00:00"/>
    <n v="6"/>
    <d v="2024-05-27T00:00:00"/>
    <n v="6"/>
    <x v="1"/>
    <x v="1"/>
    <x v="1"/>
    <x v="1"/>
    <s v="Johannesburg"/>
    <s v="Non-Profit"/>
    <x v="1"/>
    <x v="3"/>
    <x v="6"/>
    <x v="318"/>
    <n v="1157.51"/>
    <n v="1394.3"/>
    <n v="1394.3"/>
    <n v="0.27800000000000002"/>
    <n v="12"/>
    <n v="12080.215199999999"/>
    <n v="13890.119999999999"/>
    <n v="-1809.9048000000003"/>
    <n v="-0.14982388724333326"/>
    <x v="16"/>
    <x v="5"/>
    <s v="Africa →South Africa →Johannesburg"/>
    <s v="Medium"/>
    <x v="4"/>
    <x v="1"/>
  </r>
  <r>
    <s v="ORD-2024-347736"/>
    <d v="2024-05-22T00:00:00"/>
    <d v="2024-06-06T00:00:00"/>
    <d v="2024-05-22T00:00:00"/>
    <d v="2024-06-06T00:00:00"/>
    <n v="15"/>
    <d v="2024-06-06T00:00:00"/>
    <n v="15"/>
    <x v="0"/>
    <x v="0"/>
    <x v="3"/>
    <x v="11"/>
    <s v="Nagoya"/>
    <s v="Corporate"/>
    <x v="0"/>
    <x v="11"/>
    <x v="5"/>
    <x v="319"/>
    <n v="673.88"/>
    <n v="1228.01"/>
    <n v="1228.01"/>
    <n v="0.105"/>
    <n v="13"/>
    <n v="14287.896349999999"/>
    <n v="8760.44"/>
    <n v="5527.4563499999986"/>
    <n v="0.38686285332689996"/>
    <x v="16"/>
    <x v="5"/>
    <s v="Asia →Japan →Nagoya"/>
    <s v="Medium"/>
    <x v="4"/>
    <x v="1"/>
  </r>
  <r>
    <s v="ORD-2024-329104"/>
    <d v="2024-05-23T00:00:00"/>
    <d v="2024-06-14T00:00:00"/>
    <d v="2024-05-23T00:00:00"/>
    <d v="2024-06-14T00:00:00"/>
    <n v="22"/>
    <d v="2024-06-14T00:00:00"/>
    <n v="22"/>
    <x v="0"/>
    <x v="1"/>
    <x v="2"/>
    <x v="2"/>
    <s v="Marseille"/>
    <s v="Small Business"/>
    <x v="1"/>
    <x v="8"/>
    <x v="5"/>
    <x v="320"/>
    <n v="1481.74"/>
    <n v="1848.97"/>
    <n v="1848.97"/>
    <n v="0.254"/>
    <n v="9"/>
    <n v="12413.98458"/>
    <n v="13335.66"/>
    <n v="-921.67541999999958"/>
    <n v="-7.4244930309072407E-2"/>
    <x v="16"/>
    <x v="5"/>
    <s v="Europe →France →Marseille"/>
    <s v="High"/>
    <x v="4"/>
    <x v="1"/>
  </r>
  <r>
    <s v="ORD-2024-970848"/>
    <d v="2024-05-23T00:00:00"/>
    <d v="2024-06-03T00:00:00"/>
    <d v="2024-05-23T00:00:00"/>
    <d v="2024-06-03T00:00:00"/>
    <n v="11"/>
    <d v="2024-06-03T00:00:00"/>
    <n v="11"/>
    <x v="0"/>
    <x v="0"/>
    <x v="1"/>
    <x v="1"/>
    <s v="Johannesburg"/>
    <s v="Small Business"/>
    <x v="0"/>
    <x v="7"/>
    <x v="1"/>
    <x v="321"/>
    <n v="180.89"/>
    <n v="249.57"/>
    <n v="249.57"/>
    <n v="2.1999999999999999E-2"/>
    <n v="8"/>
    <n v="1952.6356799999999"/>
    <n v="1447.12"/>
    <n v="505.51567999999997"/>
    <n v="0.25888888806948362"/>
    <x v="16"/>
    <x v="5"/>
    <s v="Africa →South Africa →Johannesburg"/>
    <s v="Low"/>
    <x v="4"/>
    <x v="1"/>
  </r>
  <r>
    <s v="ORD-2024-403664"/>
    <d v="2024-05-23T00:00:00"/>
    <d v="2024-06-06T00:00:00"/>
    <d v="2024-05-23T00:00:00"/>
    <d v="2024-06-06T00:00:00"/>
    <n v="14"/>
    <d v="2024-06-06T00:00:00"/>
    <n v="14"/>
    <x v="0"/>
    <x v="0"/>
    <x v="0"/>
    <x v="10"/>
    <s v="Rio de Janeiro"/>
    <s v="Non-Profit"/>
    <x v="1"/>
    <x v="12"/>
    <x v="4"/>
    <x v="322"/>
    <n v="51.13"/>
    <n v="57.53"/>
    <n v="57.53"/>
    <n v="4.4999999999999998E-2"/>
    <n v="16"/>
    <n v="879.05840000000001"/>
    <n v="818.08"/>
    <n v="60.978399999999965"/>
    <n v="6.9367859973808302E-2"/>
    <x v="16"/>
    <x v="5"/>
    <s v="Americas →Brazil →Rio de Janeiro"/>
    <s v="Low"/>
    <x v="4"/>
    <x v="1"/>
  </r>
  <r>
    <s v="ORD-2024-578646"/>
    <d v="2024-05-27T00:00:00"/>
    <d v="2024-06-17T00:00:00"/>
    <d v="2024-05-27T00:00:00"/>
    <d v="2024-06-17T00:00:00"/>
    <n v="21"/>
    <d v="2024-06-17T00:00:00"/>
    <n v="21"/>
    <x v="0"/>
    <x v="0"/>
    <x v="3"/>
    <x v="9"/>
    <s v="Delhi"/>
    <s v="Small Business"/>
    <x v="1"/>
    <x v="4"/>
    <x v="3"/>
    <x v="323"/>
    <n v="465.02"/>
    <n v="651.55999999999995"/>
    <n v="651.55999999999995"/>
    <n v="4.2000000000000003E-2"/>
    <n v="19"/>
    <n v="11859.695119999998"/>
    <n v="8835.3799999999992"/>
    <n v="3024.3151199999993"/>
    <n v="0.25500783025187918"/>
    <x v="16"/>
    <x v="5"/>
    <s v="Asia →India →Delhi"/>
    <s v="Low"/>
    <x v="4"/>
    <x v="1"/>
  </r>
  <r>
    <s v="ORD-2024-638884"/>
    <d v="2024-05-28T00:00:00"/>
    <d v="2024-05-26T00:00:00"/>
    <d v="2024-05-26T00:00:00"/>
    <d v="2024-05-28T00:00:00"/>
    <n v="2"/>
    <d v="2024-06-04T00:00:00"/>
    <n v="7"/>
    <x v="1"/>
    <x v="0"/>
    <x v="1"/>
    <x v="5"/>
    <s v="Abuja"/>
    <s v="Enterprise"/>
    <x v="1"/>
    <x v="7"/>
    <x v="3"/>
    <x v="324"/>
    <n v="1227.08"/>
    <n v="1896.62"/>
    <n v="1896.62"/>
    <n v="0"/>
    <n v="18"/>
    <n v="34139.159999999996"/>
    <n v="22087.439999999999"/>
    <n v="12051.719999999998"/>
    <n v="0.353017473189147"/>
    <x v="16"/>
    <x v="5"/>
    <s v="Africa →Nigeria →Abuja"/>
    <s v="High"/>
    <x v="4"/>
    <x v="1"/>
  </r>
  <r>
    <s v="ORD-2024-819979"/>
    <d v="2024-05-28T00:00:00"/>
    <d v="2024-06-18T00:00:00"/>
    <d v="2024-05-28T00:00:00"/>
    <d v="2024-06-18T00:00:00"/>
    <n v="21"/>
    <d v="2024-06-18T00:00:00"/>
    <n v="21"/>
    <x v="0"/>
    <x v="0"/>
    <x v="2"/>
    <x v="8"/>
    <s v="Frankfurt"/>
    <s v="Small Business"/>
    <x v="1"/>
    <x v="14"/>
    <x v="2"/>
    <x v="325"/>
    <n v="986.85"/>
    <n v="2422.1"/>
    <n v="2422.1"/>
    <n v="7.5999999999999998E-2"/>
    <n v="10"/>
    <n v="22380.204000000002"/>
    <n v="9868.5"/>
    <n v="12511.704000000002"/>
    <n v="0.55905227673527913"/>
    <x v="16"/>
    <x v="5"/>
    <s v="Europe →Germany →Frankfurt"/>
    <s v="High"/>
    <x v="4"/>
    <x v="1"/>
  </r>
  <r>
    <s v="ORD-2024-605518"/>
    <d v="2024-05-30T00:00:00"/>
    <d v="2024-06-13T00:00:00"/>
    <d v="2024-05-30T00:00:00"/>
    <d v="2024-06-13T00:00:00"/>
    <n v="14"/>
    <d v="2024-06-13T00:00:00"/>
    <n v="14"/>
    <x v="0"/>
    <x v="0"/>
    <x v="0"/>
    <x v="4"/>
    <s v="San Francisco"/>
    <s v="Small Business"/>
    <x v="3"/>
    <x v="7"/>
    <x v="2"/>
    <x v="326"/>
    <n v="157.78"/>
    <n v="361.1"/>
    <n v="361.1"/>
    <n v="0.187"/>
    <n v="9"/>
    <n v="2642.1686999999997"/>
    <n v="1420.02"/>
    <n v="1222.1486999999997"/>
    <n v="0.46255513510549112"/>
    <x v="16"/>
    <x v="5"/>
    <s v="Americas →USA →San Francisco"/>
    <s v="Low"/>
    <x v="4"/>
    <x v="1"/>
  </r>
  <r>
    <s v="ORD-2024-166150"/>
    <d v="2024-06-02T00:00:00"/>
    <d v="2024-06-08T00:00:00"/>
    <d v="2024-06-02T00:00:00"/>
    <d v="2024-06-08T00:00:00"/>
    <n v="6"/>
    <d v="2024-06-08T00:00:00"/>
    <n v="6"/>
    <x v="1"/>
    <x v="1"/>
    <x v="1"/>
    <x v="7"/>
    <s v="Kisumu"/>
    <s v="Consumer"/>
    <x v="4"/>
    <x v="1"/>
    <x v="3"/>
    <x v="327"/>
    <n v="292.94"/>
    <n v="356.55"/>
    <n v="356.55"/>
    <n v="0.22900000000000001"/>
    <n v="2"/>
    <n v="549.80010000000004"/>
    <n v="585.88"/>
    <n v="-36.079899999999952"/>
    <n v="-6.5623669402751925E-2"/>
    <x v="17"/>
    <x v="5"/>
    <s v="Africa →Kenya →Kisumu"/>
    <s v="Low"/>
    <x v="5"/>
    <x v="1"/>
  </r>
  <r>
    <s v="ORD-2024-819778"/>
    <d v="2024-06-02T00:00:00"/>
    <d v="2024-06-15T00:00:00"/>
    <d v="2024-06-02T00:00:00"/>
    <d v="2024-06-15T00:00:00"/>
    <n v="13"/>
    <d v="2024-06-15T00:00:00"/>
    <n v="13"/>
    <x v="0"/>
    <x v="0"/>
    <x v="1"/>
    <x v="7"/>
    <s v="Mombasa"/>
    <s v="Education"/>
    <x v="1"/>
    <x v="5"/>
    <x v="2"/>
    <x v="328"/>
    <n v="1295.18"/>
    <n v="3024.03"/>
    <n v="3024.03"/>
    <n v="0.192"/>
    <n v="8"/>
    <n v="19547.329920000004"/>
    <n v="10361.44"/>
    <n v="9185.8899200000033"/>
    <n v="0.46993067378483178"/>
    <x v="17"/>
    <x v="5"/>
    <s v="Africa →Kenya →Mombasa"/>
    <s v="High"/>
    <x v="5"/>
    <x v="1"/>
  </r>
  <r>
    <s v="ORD-2024-886939"/>
    <d v="2024-06-03T00:00:00"/>
    <d v="2024-06-24T00:00:00"/>
    <d v="2024-06-03T00:00:00"/>
    <d v="2024-06-24T00:00:00"/>
    <n v="21"/>
    <d v="2024-06-24T00:00:00"/>
    <n v="21"/>
    <x v="0"/>
    <x v="0"/>
    <x v="0"/>
    <x v="0"/>
    <s v="Toronto"/>
    <s v="Small Business"/>
    <x v="2"/>
    <x v="6"/>
    <x v="5"/>
    <x v="329"/>
    <n v="1205.5"/>
    <n v="2210.17"/>
    <n v="2210.17"/>
    <n v="0.104"/>
    <n v="23"/>
    <n v="45547.183360000003"/>
    <n v="27726.5"/>
    <n v="17820.683360000003"/>
    <n v="0.39125763758314652"/>
    <x v="17"/>
    <x v="5"/>
    <s v="Americas →Canada →Toronto"/>
    <s v="High"/>
    <x v="5"/>
    <x v="1"/>
  </r>
  <r>
    <s v="ORD-2024-134084"/>
    <d v="2024-06-04T00:00:00"/>
    <d v="2024-06-16T00:00:00"/>
    <d v="2024-06-04T00:00:00"/>
    <d v="2024-06-16T00:00:00"/>
    <n v="12"/>
    <d v="2024-06-16T00:00:00"/>
    <n v="12"/>
    <x v="0"/>
    <x v="0"/>
    <x v="3"/>
    <x v="3"/>
    <s v="Shanghai"/>
    <s v="Corporate"/>
    <x v="3"/>
    <x v="13"/>
    <x v="1"/>
    <x v="330"/>
    <n v="918.42"/>
    <n v="1511.71"/>
    <n v="1511.71"/>
    <n v="0.02"/>
    <n v="8"/>
    <n v="11851.806399999999"/>
    <n v="7347.36"/>
    <n v="4504.4463999999998"/>
    <n v="0.38006412254590999"/>
    <x v="17"/>
    <x v="5"/>
    <s v="Asia →China →Shanghai"/>
    <s v="Medium"/>
    <x v="5"/>
    <x v="1"/>
  </r>
  <r>
    <s v="ORD-2024-713332"/>
    <d v="2024-06-05T00:00:00"/>
    <d v="2024-06-23T00:00:00"/>
    <d v="2024-06-05T00:00:00"/>
    <d v="2024-06-23T00:00:00"/>
    <n v="18"/>
    <d v="2024-06-23T00:00:00"/>
    <n v="18"/>
    <x v="0"/>
    <x v="0"/>
    <x v="1"/>
    <x v="7"/>
    <s v="Nairobi"/>
    <s v="Consumer"/>
    <x v="0"/>
    <x v="2"/>
    <x v="0"/>
    <x v="331"/>
    <n v="1208.74"/>
    <n v="1594.78"/>
    <n v="1594.78"/>
    <n v="5.8999999999999997E-2"/>
    <n v="39"/>
    <n v="58526.83122"/>
    <n v="47140.86"/>
    <n v="11385.971219999999"/>
    <n v="0.1945427589817838"/>
    <x v="17"/>
    <x v="5"/>
    <s v="Africa →Kenya →Nairobi"/>
    <s v="Medium"/>
    <x v="5"/>
    <x v="1"/>
  </r>
  <r>
    <s v="ORD-2024-465898"/>
    <d v="2024-06-06T00:00:00"/>
    <d v="2024-06-24T00:00:00"/>
    <d v="2024-06-06T00:00:00"/>
    <d v="2024-06-24T00:00:00"/>
    <n v="18"/>
    <d v="2024-06-24T00:00:00"/>
    <n v="18"/>
    <x v="0"/>
    <x v="0"/>
    <x v="3"/>
    <x v="9"/>
    <s v="Bengaluru"/>
    <s v="Small Business"/>
    <x v="2"/>
    <x v="4"/>
    <x v="4"/>
    <x v="332"/>
    <n v="1253.25"/>
    <n v="3087.13"/>
    <n v="3087.13"/>
    <n v="7.1999999999999995E-2"/>
    <n v="11"/>
    <n v="31513.423040000001"/>
    <n v="13785.75"/>
    <n v="17727.673040000001"/>
    <n v="0.562543555408064"/>
    <x v="17"/>
    <x v="5"/>
    <s v="Asia →India →Bengaluru"/>
    <s v="High"/>
    <x v="5"/>
    <x v="1"/>
  </r>
  <r>
    <s v="ORD-2024-584090"/>
    <d v="2024-06-07T00:00:00"/>
    <d v="2024-06-26T00:00:00"/>
    <d v="2024-06-07T00:00:00"/>
    <d v="2024-06-26T00:00:00"/>
    <n v="19"/>
    <d v="2024-06-26T00:00:00"/>
    <n v="19"/>
    <x v="0"/>
    <x v="0"/>
    <x v="2"/>
    <x v="8"/>
    <s v="Berlin"/>
    <s v="Non-Profit"/>
    <x v="4"/>
    <x v="3"/>
    <x v="6"/>
    <x v="333"/>
    <n v="1064.32"/>
    <n v="1848.39"/>
    <n v="1848.39"/>
    <n v="7.2999999999999995E-2"/>
    <n v="38"/>
    <n v="65111.38614000001"/>
    <n v="40444.159999999996"/>
    <n v="24667.226140000013"/>
    <n v="0.3788465827921631"/>
    <x v="17"/>
    <x v="5"/>
    <s v="Europe →Germany →Berlin"/>
    <s v="High"/>
    <x v="5"/>
    <x v="1"/>
  </r>
  <r>
    <s v="ORD-2024-626925"/>
    <d v="2024-06-07T00:00:00"/>
    <d v="2024-06-09T00:00:00"/>
    <d v="2024-06-07T00:00:00"/>
    <d v="2024-06-09T00:00:00"/>
    <n v="2"/>
    <d v="2024-06-09T00:00:00"/>
    <n v="2"/>
    <x v="1"/>
    <x v="0"/>
    <x v="3"/>
    <x v="3"/>
    <s v="Shanghai"/>
    <s v="Corporate"/>
    <x v="3"/>
    <x v="5"/>
    <x v="5"/>
    <x v="334"/>
    <n v="1370.28"/>
    <n v="2209.66"/>
    <n v="2209.66"/>
    <n v="0.13300000000000001"/>
    <n v="16"/>
    <n v="30652.403519999996"/>
    <n v="21924.48"/>
    <n v="8727.9235199999966"/>
    <n v="0.28473863442079589"/>
    <x v="17"/>
    <x v="5"/>
    <s v="Asia →China →Shanghai"/>
    <s v="High"/>
    <x v="5"/>
    <x v="1"/>
  </r>
  <r>
    <s v="ORD-2024-427031"/>
    <d v="2024-06-08T00:00:00"/>
    <d v="2024-06-24T00:00:00"/>
    <d v="2024-06-08T00:00:00"/>
    <d v="2024-06-24T00:00:00"/>
    <n v="16"/>
    <d v="2024-06-24T00:00:00"/>
    <n v="16"/>
    <x v="0"/>
    <x v="0"/>
    <x v="1"/>
    <x v="1"/>
    <s v="Durban"/>
    <s v="Education"/>
    <x v="0"/>
    <x v="4"/>
    <x v="5"/>
    <x v="335"/>
    <n v="597.85"/>
    <n v="741.92"/>
    <n v="741.92"/>
    <n v="3.1E-2"/>
    <n v="7"/>
    <n v="5032.4433599999993"/>
    <n v="4184.95"/>
    <n v="847.49335999999948"/>
    <n v="0.16840594108544515"/>
    <x v="17"/>
    <x v="5"/>
    <s v="Africa →South Africa →Durban"/>
    <s v="Low"/>
    <x v="5"/>
    <x v="1"/>
  </r>
  <r>
    <s v="ORD-2024-909942"/>
    <d v="2024-06-09T00:00:00"/>
    <d v="2024-07-07T00:00:00"/>
    <d v="2024-06-09T00:00:00"/>
    <d v="2024-07-07T00:00:00"/>
    <n v="28"/>
    <d v="2024-07-07T00:00:00"/>
    <n v="28"/>
    <x v="0"/>
    <x v="0"/>
    <x v="3"/>
    <x v="3"/>
    <s v="Shenzhen"/>
    <s v="Corporate"/>
    <x v="1"/>
    <x v="13"/>
    <x v="6"/>
    <x v="336"/>
    <n v="550.22"/>
    <n v="1025.05"/>
    <n v="1025.05"/>
    <n v="0"/>
    <n v="27"/>
    <n v="27676.35"/>
    <n v="14855.94"/>
    <n v="12820.409999999998"/>
    <n v="0.46322618408858102"/>
    <x v="17"/>
    <x v="5"/>
    <s v="Asia →China →Shenzhen"/>
    <s v="Medium"/>
    <x v="5"/>
    <x v="1"/>
  </r>
  <r>
    <s v="ORD-2024-223618"/>
    <d v="2024-06-10T00:00:00"/>
    <d v="2024-06-11T00:00:00"/>
    <d v="2024-06-10T00:00:00"/>
    <d v="2024-06-11T00:00:00"/>
    <n v="1"/>
    <d v="2024-06-11T00:00:00"/>
    <n v="1"/>
    <x v="1"/>
    <x v="0"/>
    <x v="2"/>
    <x v="6"/>
    <s v="Birmingham"/>
    <s v="Small Business"/>
    <x v="4"/>
    <x v="3"/>
    <x v="0"/>
    <x v="337"/>
    <n v="1187.1300000000001"/>
    <n v="1795.17"/>
    <n v="1795.17"/>
    <n v="1.2E-2"/>
    <n v="17"/>
    <n v="30151.675319999998"/>
    <n v="20181.210000000003"/>
    <n v="9970.4653199999957"/>
    <n v="0.33067699271046663"/>
    <x v="17"/>
    <x v="5"/>
    <s v="Europe →United Kingdom →Birmingham"/>
    <s v="High"/>
    <x v="5"/>
    <x v="1"/>
  </r>
  <r>
    <s v="ORD-2024-566589"/>
    <d v="2024-06-11T00:00:00"/>
    <d v="2024-07-09T00:00:00"/>
    <d v="2024-06-11T00:00:00"/>
    <d v="2024-07-09T00:00:00"/>
    <n v="28"/>
    <d v="2024-07-09T00:00:00"/>
    <n v="28"/>
    <x v="0"/>
    <x v="1"/>
    <x v="1"/>
    <x v="5"/>
    <s v="Port Harcourt"/>
    <s v="Corporate"/>
    <x v="4"/>
    <x v="12"/>
    <x v="2"/>
    <x v="338"/>
    <n v="895.54"/>
    <n v="1045"/>
    <n v="1045"/>
    <n v="0.216"/>
    <n v="15"/>
    <n v="12289.2"/>
    <n v="13433.099999999999"/>
    <n v="-1143.8999999999978"/>
    <n v="-9.3081730299775234E-2"/>
    <x v="17"/>
    <x v="5"/>
    <s v="Africa →Nigeria →Port Harcourt"/>
    <s v="Medium"/>
    <x v="5"/>
    <x v="1"/>
  </r>
  <r>
    <s v="ORD-2024-389102"/>
    <d v="2024-06-15T00:00:00"/>
    <d v="2024-07-06T00:00:00"/>
    <d v="2024-06-15T00:00:00"/>
    <d v="2024-07-06T00:00:00"/>
    <n v="21"/>
    <d v="2024-07-06T00:00:00"/>
    <n v="21"/>
    <x v="0"/>
    <x v="1"/>
    <x v="0"/>
    <x v="0"/>
    <s v="Toronto"/>
    <s v="Enterprise"/>
    <x v="0"/>
    <x v="9"/>
    <x v="1"/>
    <x v="339"/>
    <n v="817.23"/>
    <n v="1467.17"/>
    <n v="1467.17"/>
    <n v="0.245"/>
    <n v="9"/>
    <n v="9969.4201499999999"/>
    <n v="7355.07"/>
    <n v="2614.3501500000002"/>
    <n v="0.26223693160328893"/>
    <x v="17"/>
    <x v="5"/>
    <s v="Americas →Canada →Toronto"/>
    <s v="Medium"/>
    <x v="5"/>
    <x v="1"/>
  </r>
  <r>
    <s v="ORD-2024-580808"/>
    <d v="2024-06-16T00:00:00"/>
    <d v="2024-07-03T00:00:00"/>
    <d v="2024-06-16T00:00:00"/>
    <d v="2024-07-03T00:00:00"/>
    <n v="17"/>
    <d v="2024-07-03T00:00:00"/>
    <n v="17"/>
    <x v="0"/>
    <x v="0"/>
    <x v="1"/>
    <x v="1"/>
    <s v="Johannesburg"/>
    <s v="Enterprise"/>
    <x v="4"/>
    <x v="7"/>
    <x v="2"/>
    <x v="340"/>
    <n v="1173.83"/>
    <n v="2328.9"/>
    <n v="2328.9"/>
    <n v="0.12"/>
    <n v="17"/>
    <n v="34840.344000000005"/>
    <n v="19955.11"/>
    <n v="14885.234000000004"/>
    <n v="0.42724130393201637"/>
    <x v="17"/>
    <x v="5"/>
    <s v="Africa →South Africa →Johannesburg"/>
    <s v="High"/>
    <x v="5"/>
    <x v="1"/>
  </r>
  <r>
    <s v="ORD-2024-572312"/>
    <d v="2024-06-16T00:00:00"/>
    <d v="2024-06-21T00:00:00"/>
    <d v="2024-06-16T00:00:00"/>
    <d v="2024-06-21T00:00:00"/>
    <n v="5"/>
    <d v="2024-06-21T00:00:00"/>
    <n v="5"/>
    <x v="1"/>
    <x v="0"/>
    <x v="3"/>
    <x v="11"/>
    <s v="Tokyo"/>
    <s v="Small Business"/>
    <x v="0"/>
    <x v="7"/>
    <x v="2"/>
    <x v="341"/>
    <n v="1367.13"/>
    <n v="3062.01"/>
    <n v="3062.01"/>
    <n v="0.10299999999999999"/>
    <n v="25"/>
    <n v="68665.574250000005"/>
    <n v="34178.25"/>
    <n v="34487.324250000005"/>
    <n v="0.50225057645971705"/>
    <x v="17"/>
    <x v="5"/>
    <s v="Asia →Japan →Tokyo"/>
    <s v="High"/>
    <x v="5"/>
    <x v="1"/>
  </r>
  <r>
    <s v="ORD-2024-878493"/>
    <d v="2024-06-19T00:00:00"/>
    <d v="2024-06-20T00:00:00"/>
    <d v="2024-06-19T00:00:00"/>
    <d v="2024-06-20T00:00:00"/>
    <n v="1"/>
    <d v="2024-06-20T00:00:00"/>
    <n v="1"/>
    <x v="1"/>
    <x v="0"/>
    <x v="1"/>
    <x v="7"/>
    <s v="Kisumu"/>
    <s v="Small Business"/>
    <x v="2"/>
    <x v="13"/>
    <x v="0"/>
    <x v="342"/>
    <n v="231.63"/>
    <n v="537.39"/>
    <n v="537.39"/>
    <n v="0.08"/>
    <n v="12"/>
    <n v="5932.7856000000002"/>
    <n v="2779.56"/>
    <n v="3153.2256000000002"/>
    <n v="0.53149158129024587"/>
    <x v="17"/>
    <x v="5"/>
    <s v="Africa →Kenya →Kisumu"/>
    <s v="Low"/>
    <x v="5"/>
    <x v="1"/>
  </r>
  <r>
    <s v="ORD-2024-704056"/>
    <d v="2024-06-23T00:00:00"/>
    <d v="2024-06-25T00:00:00"/>
    <d v="2024-06-23T00:00:00"/>
    <d v="2024-06-25T00:00:00"/>
    <n v="2"/>
    <d v="2024-06-25T00:00:00"/>
    <n v="2"/>
    <x v="1"/>
    <x v="0"/>
    <x v="2"/>
    <x v="6"/>
    <s v="Birmingham"/>
    <s v="Small Business"/>
    <x v="4"/>
    <x v="9"/>
    <x v="3"/>
    <x v="343"/>
    <n v="951.44"/>
    <n v="1646.43"/>
    <n v="1646.43"/>
    <n v="0.11"/>
    <n v="24"/>
    <n v="35167.7448"/>
    <n v="22834.560000000001"/>
    <n v="12333.184799999999"/>
    <n v="0.35069592520473475"/>
    <x v="17"/>
    <x v="5"/>
    <s v="Europe →United Kingdom →Birmingham"/>
    <s v="High"/>
    <x v="5"/>
    <x v="1"/>
  </r>
  <r>
    <s v="ORD-2024-787018"/>
    <d v="2024-06-23T00:00:00"/>
    <d v="2024-06-28T00:00:00"/>
    <d v="2024-06-23T00:00:00"/>
    <d v="2024-06-28T00:00:00"/>
    <n v="5"/>
    <d v="2024-06-28T00:00:00"/>
    <n v="5"/>
    <x v="1"/>
    <x v="1"/>
    <x v="1"/>
    <x v="5"/>
    <s v="Port Harcourt"/>
    <s v="Non-Profit"/>
    <x v="2"/>
    <x v="3"/>
    <x v="3"/>
    <x v="344"/>
    <n v="242.31"/>
    <n v="587.95000000000005"/>
    <n v="587.95000000000005"/>
    <n v="0.22900000000000001"/>
    <n v="6"/>
    <n v="2719.8567000000003"/>
    <n v="1453.8600000000001"/>
    <n v="1265.9967000000001"/>
    <n v="0.46546448568411714"/>
    <x v="17"/>
    <x v="5"/>
    <s v="Africa →Nigeria →Port Harcourt"/>
    <s v="Low"/>
    <x v="5"/>
    <x v="1"/>
  </r>
  <r>
    <s v="ORD-2024-341535"/>
    <d v="2024-06-25T00:00:00"/>
    <d v="2024-06-30T00:00:00"/>
    <d v="2024-06-25T00:00:00"/>
    <d v="2024-06-30T00:00:00"/>
    <n v="5"/>
    <d v="2024-06-30T00:00:00"/>
    <n v="5"/>
    <x v="1"/>
    <x v="0"/>
    <x v="1"/>
    <x v="7"/>
    <s v="Kisumu"/>
    <s v="Education"/>
    <x v="2"/>
    <x v="3"/>
    <x v="4"/>
    <x v="345"/>
    <n v="1323.55"/>
    <n v="3230.35"/>
    <n v="3230.35"/>
    <n v="2.1999999999999999E-2"/>
    <n v="26"/>
    <n v="82141.339799999987"/>
    <n v="34412.299999999996"/>
    <n v="47729.039799999991"/>
    <n v="0.58105991351263542"/>
    <x v="17"/>
    <x v="5"/>
    <s v="Africa →Kenya →Kisumu"/>
    <s v="High"/>
    <x v="5"/>
    <x v="1"/>
  </r>
  <r>
    <s v="ORD-2024-919471"/>
    <d v="2024-06-29T00:00:00"/>
    <d v="2024-07-26T00:00:00"/>
    <d v="2024-06-29T00:00:00"/>
    <d v="2024-07-26T00:00:00"/>
    <n v="27"/>
    <d v="2024-07-26T00:00:00"/>
    <n v="27"/>
    <x v="0"/>
    <x v="0"/>
    <x v="1"/>
    <x v="1"/>
    <s v="Durban"/>
    <s v="Enterprise"/>
    <x v="0"/>
    <x v="0"/>
    <x v="4"/>
    <x v="346"/>
    <n v="5.36"/>
    <n v="4.37"/>
    <n v="4.37"/>
    <n v="0.11799999999999999"/>
    <n v="9"/>
    <n v="34.689059999999998"/>
    <n v="48.24"/>
    <n v="-13.550940000000004"/>
    <n v="-0.39064016148030545"/>
    <x v="17"/>
    <x v="5"/>
    <s v="Africa →South Africa →Durban"/>
    <s v="Low"/>
    <x v="5"/>
    <x v="1"/>
  </r>
  <r>
    <s v="ORD-2024-215294"/>
    <d v="2024-06-30T00:00:00"/>
    <d v="2024-07-14T00:00:00"/>
    <d v="2024-06-30T00:00:00"/>
    <d v="2024-07-14T00:00:00"/>
    <n v="14"/>
    <d v="2024-07-14T00:00:00"/>
    <n v="14"/>
    <x v="0"/>
    <x v="0"/>
    <x v="0"/>
    <x v="10"/>
    <s v="Brasília"/>
    <s v="Education"/>
    <x v="3"/>
    <x v="11"/>
    <x v="3"/>
    <x v="347"/>
    <n v="1491.85"/>
    <n v="2583.02"/>
    <n v="2583.02"/>
    <n v="0.16800000000000001"/>
    <n v="4"/>
    <n v="8596.2905599999995"/>
    <n v="5967.4"/>
    <n v="2628.8905599999998"/>
    <n v="0.30581685689321325"/>
    <x v="17"/>
    <x v="5"/>
    <s v="Americas →Brazil →Brasília"/>
    <s v="High"/>
    <x v="5"/>
    <x v="1"/>
  </r>
  <r>
    <s v="ORD-2024-451005"/>
    <d v="2024-06-30T00:00:00"/>
    <d v="2024-06-28T00:00:00"/>
    <d v="2024-06-28T00:00:00"/>
    <d v="2024-06-30T00:00:00"/>
    <n v="2"/>
    <d v="2024-07-07T00:00:00"/>
    <n v="7"/>
    <x v="1"/>
    <x v="0"/>
    <x v="0"/>
    <x v="10"/>
    <s v="Rio de Janeiro"/>
    <s v="Small Business"/>
    <x v="2"/>
    <x v="9"/>
    <x v="3"/>
    <x v="348"/>
    <n v="1112.98"/>
    <n v="2095.73"/>
    <n v="2095.73"/>
    <n v="7.1999999999999995E-2"/>
    <n v="17"/>
    <n v="33062.236480000007"/>
    <n v="18920.66"/>
    <n v="14141.576480000007"/>
    <n v="0.42772594916724777"/>
    <x v="17"/>
    <x v="5"/>
    <s v="Americas →Brazil →Rio de Janeiro"/>
    <s v="High"/>
    <x v="5"/>
    <x v="1"/>
  </r>
  <r>
    <s v="ORD-2024-442776"/>
    <d v="2024-06-30T00:00:00"/>
    <d v="2024-07-21T00:00:00"/>
    <d v="2024-06-30T00:00:00"/>
    <d v="2024-07-21T00:00:00"/>
    <n v="21"/>
    <d v="2024-07-21T00:00:00"/>
    <n v="21"/>
    <x v="0"/>
    <x v="0"/>
    <x v="1"/>
    <x v="7"/>
    <s v="Kisumu"/>
    <s v="Small Business"/>
    <x v="3"/>
    <x v="10"/>
    <x v="0"/>
    <x v="349"/>
    <n v="753.43"/>
    <n v="1787.2"/>
    <n v="1787.2"/>
    <n v="7.2999999999999995E-2"/>
    <n v="9"/>
    <n v="14910.609600000002"/>
    <n v="6780.87"/>
    <n v="8129.7396000000017"/>
    <n v="0.54523187301476939"/>
    <x v="17"/>
    <x v="5"/>
    <s v="Africa →Kenya →Kisumu"/>
    <s v="High"/>
    <x v="5"/>
    <x v="1"/>
  </r>
  <r>
    <s v="ORD-2024-892879"/>
    <d v="2024-07-09T00:00:00"/>
    <d v="2024-08-08T00:00:00"/>
    <d v="2024-07-09T00:00:00"/>
    <d v="2024-08-08T00:00:00"/>
    <n v="30"/>
    <d v="2024-08-08T00:00:00"/>
    <n v="30"/>
    <x v="0"/>
    <x v="0"/>
    <x v="2"/>
    <x v="2"/>
    <s v="Marseille"/>
    <s v="Corporate"/>
    <x v="2"/>
    <x v="13"/>
    <x v="6"/>
    <x v="350"/>
    <n v="1062.3800000000001"/>
    <n v="1503.96"/>
    <n v="1503.96"/>
    <n v="0.18"/>
    <n v="6"/>
    <n v="7399.4832000000006"/>
    <n v="6374.2800000000007"/>
    <n v="1025.2031999999999"/>
    <n v="0.13855064905073369"/>
    <x v="18"/>
    <x v="6"/>
    <s v="Europe →France →Marseille"/>
    <s v="Medium"/>
    <x v="6"/>
    <x v="1"/>
  </r>
  <r>
    <s v="ORD-2024-468615"/>
    <d v="2024-07-09T00:00:00"/>
    <d v="2024-07-12T00:00:00"/>
    <d v="2024-07-09T00:00:00"/>
    <d v="2024-07-12T00:00:00"/>
    <n v="3"/>
    <d v="2024-07-12T00:00:00"/>
    <n v="3"/>
    <x v="1"/>
    <x v="0"/>
    <x v="3"/>
    <x v="3"/>
    <s v="Shanghai"/>
    <s v="Small Business"/>
    <x v="3"/>
    <x v="2"/>
    <x v="3"/>
    <x v="351"/>
    <n v="748.39"/>
    <n v="979.42"/>
    <n v="979.42"/>
    <n v="0"/>
    <n v="23"/>
    <n v="22526.66"/>
    <n v="17212.97"/>
    <n v="5313.6899999999987"/>
    <n v="0.23588450307324738"/>
    <x v="18"/>
    <x v="6"/>
    <s v="Asia →China →Shanghai"/>
    <s v="Medium"/>
    <x v="6"/>
    <x v="1"/>
  </r>
  <r>
    <s v="ORD-2024-571797"/>
    <d v="2024-07-11T00:00:00"/>
    <d v="2024-07-31T00:00:00"/>
    <d v="2024-07-11T00:00:00"/>
    <d v="2024-07-31T00:00:00"/>
    <n v="20"/>
    <d v="2024-07-31T00:00:00"/>
    <n v="20"/>
    <x v="0"/>
    <x v="0"/>
    <x v="3"/>
    <x v="3"/>
    <s v="Shenzhen"/>
    <s v="Consumer"/>
    <x v="1"/>
    <x v="6"/>
    <x v="2"/>
    <x v="352"/>
    <n v="647.26"/>
    <n v="1374.72"/>
    <n v="1374.72"/>
    <n v="6.6000000000000003E-2"/>
    <n v="22"/>
    <n v="28247.74656"/>
    <n v="14239.72"/>
    <n v="14008.02656"/>
    <n v="0.49589890401508901"/>
    <x v="18"/>
    <x v="6"/>
    <s v="Asia →China →Shenzhen"/>
    <s v="Medium"/>
    <x v="6"/>
    <x v="1"/>
  </r>
  <r>
    <s v="ORD-2024-892908"/>
    <d v="2024-07-13T00:00:00"/>
    <d v="2024-07-12T00:00:00"/>
    <d v="2024-07-12T00:00:00"/>
    <d v="2024-07-13T00:00:00"/>
    <n v="1"/>
    <d v="2024-07-20T00:00:00"/>
    <n v="7"/>
    <x v="1"/>
    <x v="0"/>
    <x v="3"/>
    <x v="11"/>
    <s v="Nagoya"/>
    <s v="Small Business"/>
    <x v="4"/>
    <x v="7"/>
    <x v="4"/>
    <x v="353"/>
    <n v="105.13"/>
    <n v="244.13"/>
    <n v="244.13"/>
    <n v="7.0999999999999994E-2"/>
    <n v="14"/>
    <n v="3175.1547799999998"/>
    <n v="1471.82"/>
    <n v="1703.3347799999999"/>
    <n v="0.53645724319618837"/>
    <x v="18"/>
    <x v="6"/>
    <s v="Asia →Japan →Nagoya"/>
    <s v="Low"/>
    <x v="6"/>
    <x v="1"/>
  </r>
  <r>
    <s v="ORD-2024-202877"/>
    <d v="2024-07-13T00:00:00"/>
    <d v="2024-08-03T00:00:00"/>
    <d v="2024-07-13T00:00:00"/>
    <d v="2024-08-03T00:00:00"/>
    <n v="21"/>
    <d v="2024-08-03T00:00:00"/>
    <n v="21"/>
    <x v="0"/>
    <x v="0"/>
    <x v="0"/>
    <x v="10"/>
    <s v="Rio de Janeiro"/>
    <s v="Corporate"/>
    <x v="4"/>
    <x v="3"/>
    <x v="5"/>
    <x v="354"/>
    <n v="702.98"/>
    <n v="1104.8"/>
    <n v="1104.8"/>
    <n v="0.17499999999999999"/>
    <n v="12"/>
    <n v="10937.519999999999"/>
    <n v="8435.76"/>
    <n v="2501.7599999999984"/>
    <n v="0.22873192460448061"/>
    <x v="18"/>
    <x v="6"/>
    <s v="Americas →Brazil →Rio de Janeiro"/>
    <s v="Medium"/>
    <x v="6"/>
    <x v="1"/>
  </r>
  <r>
    <s v="ORD-2024-605629"/>
    <d v="2024-07-15T00:00:00"/>
    <d v="2024-07-15T00:00:00"/>
    <d v="2024-07-15T00:00:00"/>
    <d v="2024-07-15T00:00:00"/>
    <n v="0"/>
    <d v="2024-07-15T00:00:00"/>
    <n v="0"/>
    <x v="1"/>
    <x v="1"/>
    <x v="3"/>
    <x v="11"/>
    <s v="Tokyo"/>
    <s v="Small Business"/>
    <x v="4"/>
    <x v="6"/>
    <x v="3"/>
    <x v="355"/>
    <n v="801.77"/>
    <n v="1218.92"/>
    <n v="1218.92"/>
    <n v="0.254"/>
    <n v="16"/>
    <n v="14549.029120000001"/>
    <n v="12828.32"/>
    <n v="1720.7091200000013"/>
    <n v="0.11826968698788344"/>
    <x v="18"/>
    <x v="6"/>
    <s v="Asia →Japan →Tokyo"/>
    <s v="Medium"/>
    <x v="6"/>
    <x v="1"/>
  </r>
  <r>
    <s v="ORD-2024-398783"/>
    <d v="2024-07-18T00:00:00"/>
    <d v="2024-08-07T00:00:00"/>
    <d v="2024-07-18T00:00:00"/>
    <d v="2024-08-07T00:00:00"/>
    <n v="20"/>
    <d v="2024-08-07T00:00:00"/>
    <n v="20"/>
    <x v="0"/>
    <x v="0"/>
    <x v="2"/>
    <x v="2"/>
    <s v="Marseille"/>
    <s v="Corporate"/>
    <x v="3"/>
    <x v="7"/>
    <x v="5"/>
    <x v="356"/>
    <n v="941.35"/>
    <n v="899.83"/>
    <n v="899.83"/>
    <n v="5.8000000000000003E-2"/>
    <n v="18"/>
    <n v="15257.51748"/>
    <n v="16944.3"/>
    <n v="-1686.7825199999988"/>
    <n v="-0.11055419220139073"/>
    <x v="18"/>
    <x v="6"/>
    <s v="Europe →France →Marseille"/>
    <s v="Medium"/>
    <x v="6"/>
    <x v="1"/>
  </r>
  <r>
    <s v="ORD-2024-855073"/>
    <d v="2024-07-19T00:00:00"/>
    <d v="2024-07-19T00:00:00"/>
    <d v="2024-07-19T00:00:00"/>
    <d v="2024-07-19T00:00:00"/>
    <n v="0"/>
    <d v="2024-07-19T00:00:00"/>
    <n v="0"/>
    <x v="1"/>
    <x v="0"/>
    <x v="1"/>
    <x v="7"/>
    <s v="Kisumu"/>
    <s v="Small Business"/>
    <x v="3"/>
    <x v="1"/>
    <x v="2"/>
    <x v="357"/>
    <n v="857.24"/>
    <n v="758.23"/>
    <n v="758.23"/>
    <n v="0.125"/>
    <n v="6"/>
    <n v="3980.7075"/>
    <n v="5143.4400000000005"/>
    <n v="-1162.7325000000005"/>
    <n v="-0.29209192084572921"/>
    <x v="18"/>
    <x v="6"/>
    <s v="Africa →Kenya →Kisumu"/>
    <s v="Low"/>
    <x v="6"/>
    <x v="1"/>
  </r>
  <r>
    <s v="ORD-2024-678110"/>
    <d v="2024-07-24T00:00:00"/>
    <d v="2024-08-08T00:00:00"/>
    <d v="2024-07-24T00:00:00"/>
    <d v="2024-08-08T00:00:00"/>
    <n v="15"/>
    <d v="2024-08-08T00:00:00"/>
    <n v="15"/>
    <x v="0"/>
    <x v="0"/>
    <x v="2"/>
    <x v="2"/>
    <s v="Marseille"/>
    <s v="Enterprise"/>
    <x v="4"/>
    <x v="4"/>
    <x v="0"/>
    <x v="358"/>
    <n v="501.5"/>
    <n v="1201.47"/>
    <n v="1201.47"/>
    <n v="0.126"/>
    <n v="5"/>
    <n v="5250.4239000000007"/>
    <n v="2507.5"/>
    <n v="2742.9239000000007"/>
    <n v="0.52241951359394057"/>
    <x v="18"/>
    <x v="6"/>
    <s v="Europe →France →Marseille"/>
    <s v="Medium"/>
    <x v="6"/>
    <x v="1"/>
  </r>
  <r>
    <s v="ORD-2024-798002"/>
    <d v="2024-07-25T00:00:00"/>
    <d v="2024-07-24T00:00:00"/>
    <d v="2024-07-24T00:00:00"/>
    <d v="2024-07-25T00:00:00"/>
    <n v="1"/>
    <d v="2024-08-01T00:00:00"/>
    <n v="7"/>
    <x v="1"/>
    <x v="0"/>
    <x v="1"/>
    <x v="7"/>
    <s v="Mombasa"/>
    <s v="Non-Profit"/>
    <x v="2"/>
    <x v="13"/>
    <x v="0"/>
    <x v="359"/>
    <n v="1494.4"/>
    <n v="3661.07"/>
    <n v="3661.07"/>
    <n v="7.1999999999999995E-2"/>
    <n v="7"/>
    <n v="23782.310720000001"/>
    <n v="10460.800000000001"/>
    <n v="13321.51072"/>
    <n v="0.56014366630897339"/>
    <x v="18"/>
    <x v="6"/>
    <s v="Africa →Kenya →Mombasa"/>
    <s v="High"/>
    <x v="6"/>
    <x v="1"/>
  </r>
  <r>
    <s v="ORD-2024-901115"/>
    <d v="2024-07-25T00:00:00"/>
    <d v="2024-08-02T00:00:00"/>
    <d v="2024-07-25T00:00:00"/>
    <d v="2024-08-02T00:00:00"/>
    <n v="8"/>
    <d v="2024-08-02T00:00:00"/>
    <n v="8"/>
    <x v="0"/>
    <x v="0"/>
    <x v="0"/>
    <x v="0"/>
    <s v="Montreal"/>
    <s v="Consumer"/>
    <x v="2"/>
    <x v="13"/>
    <x v="3"/>
    <x v="360"/>
    <n v="986.81"/>
    <n v="2050.31"/>
    <n v="2050.31"/>
    <n v="0.10299999999999999"/>
    <n v="43"/>
    <n v="79082.507010000001"/>
    <n v="42432.829999999994"/>
    <n v="36649.677010000007"/>
    <n v="0.46343595310358138"/>
    <x v="18"/>
    <x v="6"/>
    <s v="Americas →Canada →Montreal"/>
    <s v="High"/>
    <x v="6"/>
    <x v="1"/>
  </r>
  <r>
    <s v="ORD-2024-817997"/>
    <d v="2024-07-28T00:00:00"/>
    <d v="2024-08-23T00:00:00"/>
    <d v="2024-07-28T00:00:00"/>
    <d v="2024-08-23T00:00:00"/>
    <n v="26"/>
    <d v="2024-08-23T00:00:00"/>
    <n v="26"/>
    <x v="0"/>
    <x v="0"/>
    <x v="3"/>
    <x v="9"/>
    <s v="Hyderabad"/>
    <s v="Corporate"/>
    <x v="3"/>
    <x v="13"/>
    <x v="4"/>
    <x v="361"/>
    <n v="1339.24"/>
    <n v="1558.89"/>
    <n v="1558.89"/>
    <n v="0.192"/>
    <n v="24"/>
    <n v="30229.994880000002"/>
    <n v="32141.760000000002"/>
    <n v="-1911.76512"/>
    <n v="-6.3240669659021781E-2"/>
    <x v="18"/>
    <x v="6"/>
    <s v="Asia →India →Hyderabad"/>
    <s v="Medium"/>
    <x v="6"/>
    <x v="1"/>
  </r>
  <r>
    <s v="ORD-2024-301260"/>
    <d v="2024-07-29T00:00:00"/>
    <d v="2024-07-31T00:00:00"/>
    <d v="2024-07-29T00:00:00"/>
    <d v="2024-07-31T00:00:00"/>
    <n v="2"/>
    <d v="2024-07-31T00:00:00"/>
    <n v="2"/>
    <x v="1"/>
    <x v="0"/>
    <x v="0"/>
    <x v="4"/>
    <s v="New York"/>
    <s v="Education"/>
    <x v="4"/>
    <x v="12"/>
    <x v="1"/>
    <x v="362"/>
    <n v="798.97"/>
    <n v="1814.06"/>
    <n v="1814.06"/>
    <n v="0.122"/>
    <n v="16"/>
    <n v="25483.91488"/>
    <n v="12783.52"/>
    <n v="12700.39488"/>
    <n v="0.49836906691159061"/>
    <x v="18"/>
    <x v="6"/>
    <s v="Americas →USA →New York"/>
    <s v="High"/>
    <x v="6"/>
    <x v="1"/>
  </r>
  <r>
    <s v="ORD-2024-947056"/>
    <d v="2024-07-31T00:00:00"/>
    <d v="2024-08-15T00:00:00"/>
    <d v="2024-07-31T00:00:00"/>
    <d v="2024-08-15T00:00:00"/>
    <n v="15"/>
    <d v="2024-08-15T00:00:00"/>
    <n v="15"/>
    <x v="0"/>
    <x v="0"/>
    <x v="3"/>
    <x v="11"/>
    <s v="Tokyo"/>
    <s v="Corporate"/>
    <x v="4"/>
    <x v="7"/>
    <x v="5"/>
    <x v="363"/>
    <n v="1252.52"/>
    <n v="1417.24"/>
    <n v="1417.24"/>
    <n v="0.192"/>
    <n v="5"/>
    <n v="5725.6496000000006"/>
    <n v="6262.6"/>
    <n v="-536.95039999999972"/>
    <n v="-9.3779821943696953E-2"/>
    <x v="18"/>
    <x v="6"/>
    <s v="Asia →Japan →Tokyo"/>
    <s v="Medium"/>
    <x v="6"/>
    <x v="1"/>
  </r>
  <r>
    <s v="ORD-2024-689872"/>
    <d v="2024-08-03T00:00:00"/>
    <d v="2024-08-09T00:00:00"/>
    <d v="2024-08-03T00:00:00"/>
    <d v="2024-08-09T00:00:00"/>
    <n v="6"/>
    <d v="2024-08-09T00:00:00"/>
    <n v="6"/>
    <x v="1"/>
    <x v="0"/>
    <x v="1"/>
    <x v="7"/>
    <s v="Mombasa"/>
    <s v="Consumer"/>
    <x v="4"/>
    <x v="4"/>
    <x v="0"/>
    <x v="364"/>
    <n v="643.21"/>
    <n v="1112.81"/>
    <n v="1112.81"/>
    <n v="0.14099999999999999"/>
    <n v="4"/>
    <n v="3823.6151599999998"/>
    <n v="2572.84"/>
    <n v="1250.7751599999997"/>
    <n v="0.32711847496702562"/>
    <x v="19"/>
    <x v="6"/>
    <s v="Africa →Kenya →Mombasa"/>
    <s v="Medium"/>
    <x v="7"/>
    <x v="1"/>
  </r>
  <r>
    <s v="ORD-2024-433936"/>
    <d v="2024-08-04T00:00:00"/>
    <d v="2024-08-17T00:00:00"/>
    <d v="2024-08-04T00:00:00"/>
    <d v="2024-08-17T00:00:00"/>
    <n v="13"/>
    <d v="2024-08-17T00:00:00"/>
    <n v="13"/>
    <x v="0"/>
    <x v="0"/>
    <x v="0"/>
    <x v="4"/>
    <s v="Austin"/>
    <s v="Consumer"/>
    <x v="3"/>
    <x v="2"/>
    <x v="5"/>
    <x v="365"/>
    <n v="352.79"/>
    <n v="754.22"/>
    <n v="754.22"/>
    <n v="0.113"/>
    <n v="7"/>
    <n v="4682.9519799999998"/>
    <n v="2469.5300000000002"/>
    <n v="2213.4219799999996"/>
    <n v="0.47265528014233443"/>
    <x v="19"/>
    <x v="6"/>
    <s v="Americas →USA →Austin"/>
    <s v="Low"/>
    <x v="7"/>
    <x v="1"/>
  </r>
  <r>
    <s v="ORD-2024-136321"/>
    <d v="2024-08-07T00:00:00"/>
    <d v="2024-08-17T00:00:00"/>
    <d v="2024-08-07T00:00:00"/>
    <d v="2024-08-17T00:00:00"/>
    <n v="10"/>
    <d v="2024-08-17T00:00:00"/>
    <n v="10"/>
    <x v="0"/>
    <x v="0"/>
    <x v="3"/>
    <x v="11"/>
    <s v="Osaka"/>
    <s v="Consumer"/>
    <x v="1"/>
    <x v="10"/>
    <x v="4"/>
    <x v="366"/>
    <n v="436.58"/>
    <n v="527.48"/>
    <n v="527.48"/>
    <n v="0.111"/>
    <n v="19"/>
    <n v="8909.6646800000017"/>
    <n v="8295.02"/>
    <n v="614.64468000000124"/>
    <n v="6.8986286473802644E-2"/>
    <x v="19"/>
    <x v="6"/>
    <s v="Asia →Japan →Osaka"/>
    <s v="Low"/>
    <x v="7"/>
    <x v="1"/>
  </r>
  <r>
    <s v="ORD-2024-915495"/>
    <d v="2024-08-08T00:00:00"/>
    <d v="2024-08-20T00:00:00"/>
    <d v="2024-08-08T00:00:00"/>
    <d v="2024-08-20T00:00:00"/>
    <n v="12"/>
    <d v="2024-08-20T00:00:00"/>
    <n v="12"/>
    <x v="0"/>
    <x v="0"/>
    <x v="3"/>
    <x v="11"/>
    <s v="Osaka"/>
    <s v="Small Business"/>
    <x v="3"/>
    <x v="4"/>
    <x v="4"/>
    <x v="367"/>
    <n v="1233.3599999999999"/>
    <n v="2120.4"/>
    <n v="2120.4"/>
    <n v="0.17899999999999999"/>
    <n v="20"/>
    <n v="34816.968000000001"/>
    <n v="24667.199999999997"/>
    <n v="10149.768000000004"/>
    <n v="0.29151785991244278"/>
    <x v="19"/>
    <x v="6"/>
    <s v="Asia →Japan →Osaka"/>
    <s v="High"/>
    <x v="7"/>
    <x v="1"/>
  </r>
  <r>
    <s v="ORD-2024-307849"/>
    <d v="2024-08-10T00:00:00"/>
    <d v="2024-09-07T00:00:00"/>
    <d v="2024-08-10T00:00:00"/>
    <d v="2024-09-07T00:00:00"/>
    <n v="28"/>
    <d v="2024-09-07T00:00:00"/>
    <n v="28"/>
    <x v="0"/>
    <x v="0"/>
    <x v="2"/>
    <x v="2"/>
    <s v="Marseille"/>
    <s v="Non-Profit"/>
    <x v="2"/>
    <x v="7"/>
    <x v="1"/>
    <x v="368"/>
    <n v="229.96"/>
    <n v="564.26"/>
    <n v="564.26"/>
    <n v="0.105"/>
    <n v="5"/>
    <n v="2525.0635000000002"/>
    <n v="1149.8"/>
    <n v="1375.2635000000002"/>
    <n v="0.54464511486542821"/>
    <x v="19"/>
    <x v="6"/>
    <s v="Europe →France →Marseille"/>
    <s v="Low"/>
    <x v="7"/>
    <x v="1"/>
  </r>
  <r>
    <s v="ORD-2024-212990"/>
    <d v="2024-08-12T00:00:00"/>
    <d v="2024-09-03T00:00:00"/>
    <d v="2024-08-12T00:00:00"/>
    <d v="2024-09-03T00:00:00"/>
    <n v="22"/>
    <d v="2024-09-03T00:00:00"/>
    <n v="22"/>
    <x v="0"/>
    <x v="1"/>
    <x v="0"/>
    <x v="4"/>
    <s v="Austin"/>
    <s v="Consumer"/>
    <x v="0"/>
    <x v="12"/>
    <x v="0"/>
    <x v="369"/>
    <n v="797.8"/>
    <n v="886.22"/>
    <n v="886.22"/>
    <n v="0.23599999999999999"/>
    <n v="36"/>
    <n v="24374.594880000001"/>
    <n v="28720.799999999999"/>
    <n v="-4346.2051199999987"/>
    <n v="-0.17830881462428633"/>
    <x v="19"/>
    <x v="6"/>
    <s v="Americas →USA →Austin"/>
    <s v="Medium"/>
    <x v="7"/>
    <x v="1"/>
  </r>
  <r>
    <s v="ORD-2024-626750"/>
    <d v="2024-08-12T00:00:00"/>
    <d v="2024-08-15T00:00:00"/>
    <d v="2024-08-12T00:00:00"/>
    <d v="2024-08-15T00:00:00"/>
    <n v="3"/>
    <d v="2024-08-15T00:00:00"/>
    <n v="3"/>
    <x v="1"/>
    <x v="0"/>
    <x v="0"/>
    <x v="4"/>
    <s v="Chicago"/>
    <s v="Corporate"/>
    <x v="4"/>
    <x v="2"/>
    <x v="1"/>
    <x v="370"/>
    <n v="850.7"/>
    <n v="1118.56"/>
    <n v="1118.56"/>
    <n v="0.18"/>
    <n v="19"/>
    <n v="17427.164800000002"/>
    <n v="16163.300000000001"/>
    <n v="1263.8648000000012"/>
    <n v="7.2522685962090688E-2"/>
    <x v="19"/>
    <x v="6"/>
    <s v="Americas →USA →Chicago"/>
    <s v="Medium"/>
    <x v="7"/>
    <x v="1"/>
  </r>
  <r>
    <s v="ORD-2024-286833"/>
    <d v="2024-08-14T00:00:00"/>
    <d v="2024-09-04T00:00:00"/>
    <d v="2024-08-14T00:00:00"/>
    <d v="2024-09-04T00:00:00"/>
    <n v="21"/>
    <d v="2024-09-04T00:00:00"/>
    <n v="21"/>
    <x v="0"/>
    <x v="0"/>
    <x v="2"/>
    <x v="6"/>
    <s v="Manchester"/>
    <s v="Non-Profit"/>
    <x v="1"/>
    <x v="13"/>
    <x v="2"/>
    <x v="371"/>
    <n v="1138.8"/>
    <n v="2250.81"/>
    <n v="2250.81"/>
    <n v="0.123"/>
    <n v="12"/>
    <n v="23687.524440000001"/>
    <n v="13665.599999999999"/>
    <n v="10021.924440000003"/>
    <n v="0.42308872188756258"/>
    <x v="19"/>
    <x v="6"/>
    <s v="Europe →United Kingdom →Manchester"/>
    <s v="High"/>
    <x v="7"/>
    <x v="1"/>
  </r>
  <r>
    <s v="ORD-2024-353078"/>
    <d v="2024-08-16T00:00:00"/>
    <d v="2024-08-26T00:00:00"/>
    <d v="2024-08-16T00:00:00"/>
    <d v="2024-08-26T00:00:00"/>
    <n v="10"/>
    <d v="2024-08-26T00:00:00"/>
    <n v="10"/>
    <x v="0"/>
    <x v="0"/>
    <x v="0"/>
    <x v="4"/>
    <s v="Chicago"/>
    <s v="Corporate"/>
    <x v="0"/>
    <x v="9"/>
    <x v="0"/>
    <x v="175"/>
    <n v="1291.7"/>
    <n v="2657.84"/>
    <n v="2657.84"/>
    <n v="8.6999999999999994E-2"/>
    <n v="21"/>
    <n v="50958.766320000002"/>
    <n v="27125.7"/>
    <n v="23833.066320000002"/>
    <n v="0.46769315745083367"/>
    <x v="19"/>
    <x v="6"/>
    <s v="Americas →USA →Chicago"/>
    <s v="High"/>
    <x v="7"/>
    <x v="1"/>
  </r>
  <r>
    <s v="ORD-2024-585443"/>
    <d v="2024-08-17T00:00:00"/>
    <d v="2024-08-15T00:00:00"/>
    <d v="2024-08-15T00:00:00"/>
    <d v="2024-08-17T00:00:00"/>
    <n v="2"/>
    <d v="2024-08-24T00:00:00"/>
    <n v="7"/>
    <x v="1"/>
    <x v="0"/>
    <x v="0"/>
    <x v="10"/>
    <s v="Rio de Janeiro"/>
    <s v="Consumer"/>
    <x v="2"/>
    <x v="3"/>
    <x v="5"/>
    <x v="372"/>
    <n v="165.3"/>
    <n v="275.07"/>
    <n v="275.07"/>
    <n v="0.13300000000000001"/>
    <n v="25"/>
    <n v="5962.1422499999999"/>
    <n v="4132.5"/>
    <n v="1829.6422499999999"/>
    <n v="0.30687665159280625"/>
    <x v="19"/>
    <x v="6"/>
    <s v="Americas →Brazil →Rio de Janeiro"/>
    <s v="Low"/>
    <x v="7"/>
    <x v="1"/>
  </r>
  <r>
    <s v="ORD-2024-993481"/>
    <d v="2024-08-18T00:00:00"/>
    <d v="2024-09-12T00:00:00"/>
    <d v="2024-08-18T00:00:00"/>
    <d v="2024-09-12T00:00:00"/>
    <n v="25"/>
    <d v="2024-09-12T00:00:00"/>
    <n v="25"/>
    <x v="0"/>
    <x v="1"/>
    <x v="3"/>
    <x v="9"/>
    <s v="Mumbai"/>
    <s v="Consumer"/>
    <x v="4"/>
    <x v="11"/>
    <x v="2"/>
    <x v="373"/>
    <n v="1154.03"/>
    <n v="1590.36"/>
    <n v="1590.36"/>
    <n v="0.314"/>
    <n v="18"/>
    <n v="19637.76528"/>
    <n v="20772.54"/>
    <n v="-1134.7747200000013"/>
    <n v="-5.7785328616576745E-2"/>
    <x v="19"/>
    <x v="6"/>
    <s v="Asia →India →Mumbai"/>
    <s v="Medium"/>
    <x v="7"/>
    <x v="1"/>
  </r>
  <r>
    <s v="ORD-2024-792353"/>
    <d v="2024-08-19T00:00:00"/>
    <d v="2024-09-07T00:00:00"/>
    <d v="2024-08-19T00:00:00"/>
    <d v="2024-09-07T00:00:00"/>
    <n v="19"/>
    <d v="2024-09-07T00:00:00"/>
    <n v="19"/>
    <x v="0"/>
    <x v="0"/>
    <x v="2"/>
    <x v="2"/>
    <s v="Lyon"/>
    <s v="Corporate"/>
    <x v="2"/>
    <x v="13"/>
    <x v="6"/>
    <x v="374"/>
    <n v="297.58999999999997"/>
    <n v="666.41"/>
    <n v="666.41"/>
    <n v="0"/>
    <n v="10"/>
    <n v="6664.0999999999995"/>
    <n v="2975.8999999999996"/>
    <n v="3688.2"/>
    <n v="0.55344307558409989"/>
    <x v="19"/>
    <x v="6"/>
    <s v="Europe →France →Lyon"/>
    <s v="Low"/>
    <x v="7"/>
    <x v="1"/>
  </r>
  <r>
    <s v="ORD-2024-550400"/>
    <d v="2024-08-19T00:00:00"/>
    <d v="2024-09-02T00:00:00"/>
    <d v="2024-08-19T00:00:00"/>
    <d v="2024-09-02T00:00:00"/>
    <n v="14"/>
    <d v="2024-09-02T00:00:00"/>
    <n v="14"/>
    <x v="0"/>
    <x v="0"/>
    <x v="0"/>
    <x v="0"/>
    <s v="Toronto"/>
    <s v="Consumer"/>
    <x v="0"/>
    <x v="11"/>
    <x v="1"/>
    <x v="375"/>
    <n v="1337.01"/>
    <n v="1269.78"/>
    <n v="1269.78"/>
    <n v="0.16"/>
    <n v="7"/>
    <n v="7466.3063999999986"/>
    <n v="9359.07"/>
    <n v="-1892.7636000000011"/>
    <n v="-0.25350735672996244"/>
    <x v="19"/>
    <x v="6"/>
    <s v="Americas →Canada →Toronto"/>
    <s v="Medium"/>
    <x v="7"/>
    <x v="1"/>
  </r>
  <r>
    <s v="ORD-2024-745424"/>
    <d v="2024-08-22T00:00:00"/>
    <d v="2024-09-04T00:00:00"/>
    <d v="2024-08-22T00:00:00"/>
    <d v="2024-09-04T00:00:00"/>
    <n v="13"/>
    <d v="2024-09-04T00:00:00"/>
    <n v="13"/>
    <x v="0"/>
    <x v="0"/>
    <x v="2"/>
    <x v="8"/>
    <s v="Frankfurt"/>
    <s v="Non-Profit"/>
    <x v="3"/>
    <x v="9"/>
    <x v="1"/>
    <x v="376"/>
    <n v="90.04"/>
    <n v="194.62"/>
    <n v="194.62"/>
    <n v="4.2999999999999997E-2"/>
    <n v="32"/>
    <n v="5960.04288"/>
    <n v="2881.28"/>
    <n v="3078.7628799999998"/>
    <n v="0.51656723650954672"/>
    <x v="19"/>
    <x v="6"/>
    <s v="Europe →Germany →Frankfurt"/>
    <s v="Low"/>
    <x v="7"/>
    <x v="1"/>
  </r>
  <r>
    <s v="ORD-2024-167215"/>
    <d v="2024-08-23T00:00:00"/>
    <d v="2024-08-21T00:00:00"/>
    <d v="2024-08-21T00:00:00"/>
    <d v="2024-08-23T00:00:00"/>
    <n v="2"/>
    <d v="2024-08-30T00:00:00"/>
    <n v="7"/>
    <x v="1"/>
    <x v="0"/>
    <x v="1"/>
    <x v="1"/>
    <s v="Johannesburg"/>
    <s v="Education"/>
    <x v="3"/>
    <x v="14"/>
    <x v="6"/>
    <x v="377"/>
    <n v="1432.52"/>
    <n v="3036.87"/>
    <n v="3036.87"/>
    <n v="0"/>
    <n v="9"/>
    <n v="27331.829999999998"/>
    <n v="12892.68"/>
    <n v="14439.149999999998"/>
    <n v="0.52829064135112791"/>
    <x v="19"/>
    <x v="6"/>
    <s v="Africa →South Africa →Johannesburg"/>
    <s v="High"/>
    <x v="7"/>
    <x v="1"/>
  </r>
  <r>
    <s v="ORD-2024-635626"/>
    <d v="2024-08-27T00:00:00"/>
    <d v="2024-09-19T00:00:00"/>
    <d v="2024-08-27T00:00:00"/>
    <d v="2024-09-19T00:00:00"/>
    <n v="23"/>
    <d v="2024-09-19T00:00:00"/>
    <n v="23"/>
    <x v="0"/>
    <x v="0"/>
    <x v="2"/>
    <x v="8"/>
    <s v="Berlin"/>
    <s v="Small Business"/>
    <x v="2"/>
    <x v="2"/>
    <x v="5"/>
    <x v="378"/>
    <n v="1024.01"/>
    <n v="1580.97"/>
    <n v="1580.97"/>
    <n v="3.6999999999999998E-2"/>
    <n v="27"/>
    <n v="41106.800970000004"/>
    <n v="27648.27"/>
    <n v="13458.530970000003"/>
    <n v="0.3274039976942531"/>
    <x v="19"/>
    <x v="6"/>
    <s v="Europe →Germany →Berlin"/>
    <s v="Medium"/>
    <x v="7"/>
    <x v="1"/>
  </r>
  <r>
    <s v="ORD-2024-553449"/>
    <d v="2024-08-27T00:00:00"/>
    <d v="2024-09-18T00:00:00"/>
    <d v="2024-08-27T00:00:00"/>
    <d v="2024-09-18T00:00:00"/>
    <n v="22"/>
    <d v="2024-09-18T00:00:00"/>
    <n v="22"/>
    <x v="0"/>
    <x v="0"/>
    <x v="3"/>
    <x v="9"/>
    <s v="Delhi"/>
    <s v="Consumer"/>
    <x v="2"/>
    <x v="0"/>
    <x v="6"/>
    <x v="379"/>
    <n v="896.75"/>
    <n v="1651.14"/>
    <n v="1651.14"/>
    <n v="2.5000000000000001E-2"/>
    <n v="15"/>
    <n v="24147.922500000001"/>
    <n v="13451.25"/>
    <n v="10696.672500000001"/>
    <n v="0.44296450346815552"/>
    <x v="19"/>
    <x v="6"/>
    <s v="Asia →India →Delhi"/>
    <s v="High"/>
    <x v="7"/>
    <x v="1"/>
  </r>
  <r>
    <s v="ORD-2024-446699"/>
    <d v="2024-08-28T00:00:00"/>
    <d v="2024-09-25T00:00:00"/>
    <d v="2024-08-28T00:00:00"/>
    <d v="2024-09-25T00:00:00"/>
    <n v="28"/>
    <d v="2024-09-25T00:00:00"/>
    <n v="28"/>
    <x v="0"/>
    <x v="0"/>
    <x v="0"/>
    <x v="10"/>
    <s v="Rio de Janeiro"/>
    <s v="Non-Profit"/>
    <x v="1"/>
    <x v="15"/>
    <x v="3"/>
    <x v="380"/>
    <n v="1394.65"/>
    <n v="3144.1"/>
    <n v="3144.1"/>
    <n v="0.13400000000000001"/>
    <n v="13"/>
    <n v="35396.277799999996"/>
    <n v="18130.45"/>
    <n v="17265.827799999995"/>
    <n v="0.4877865378263021"/>
    <x v="19"/>
    <x v="6"/>
    <s v="Americas →Brazil →Rio de Janeiro"/>
    <s v="High"/>
    <x v="7"/>
    <x v="1"/>
  </r>
  <r>
    <s v="ORD-2024-542244"/>
    <d v="2024-08-30T00:00:00"/>
    <d v="2024-09-05T00:00:00"/>
    <d v="2024-08-30T00:00:00"/>
    <d v="2024-09-05T00:00:00"/>
    <n v="6"/>
    <d v="2024-09-05T00:00:00"/>
    <n v="6"/>
    <x v="1"/>
    <x v="1"/>
    <x v="3"/>
    <x v="11"/>
    <s v="Nagoya"/>
    <s v="Education"/>
    <x v="1"/>
    <x v="8"/>
    <x v="0"/>
    <x v="381"/>
    <n v="466.16"/>
    <n v="876.81"/>
    <n v="876.81"/>
    <n v="0.24099999999999999"/>
    <n v="8"/>
    <n v="5323.9903199999999"/>
    <n v="3729.28"/>
    <n v="1594.7103199999997"/>
    <n v="0.29953291124691594"/>
    <x v="19"/>
    <x v="6"/>
    <s v="Asia →Japan →Nagoya"/>
    <s v="Medium"/>
    <x v="7"/>
    <x v="1"/>
  </r>
  <r>
    <s v="ORD-2024-536442"/>
    <d v="2024-08-31T00:00:00"/>
    <d v="2024-09-26T00:00:00"/>
    <d v="2024-08-31T00:00:00"/>
    <d v="2024-09-26T00:00:00"/>
    <n v="26"/>
    <d v="2024-09-26T00:00:00"/>
    <n v="26"/>
    <x v="0"/>
    <x v="0"/>
    <x v="3"/>
    <x v="11"/>
    <s v="Tokyo"/>
    <s v="Education"/>
    <x v="1"/>
    <x v="12"/>
    <x v="2"/>
    <x v="382"/>
    <n v="1189.03"/>
    <n v="2949.62"/>
    <n v="2949.62"/>
    <n v="0.125"/>
    <n v="13"/>
    <n v="33551.927499999998"/>
    <n v="15457.39"/>
    <n v="18094.537499999999"/>
    <n v="0.53929949330034765"/>
    <x v="19"/>
    <x v="6"/>
    <s v="Asia →Japan →Tokyo"/>
    <s v="High"/>
    <x v="7"/>
    <x v="1"/>
  </r>
  <r>
    <s v="ORD-2024-664046"/>
    <d v="2024-09-02T00:00:00"/>
    <d v="2024-09-08T00:00:00"/>
    <d v="2024-09-02T00:00:00"/>
    <d v="2024-09-08T00:00:00"/>
    <n v="6"/>
    <d v="2024-09-08T00:00:00"/>
    <n v="6"/>
    <x v="1"/>
    <x v="0"/>
    <x v="0"/>
    <x v="4"/>
    <s v="Austin"/>
    <s v="Consumer"/>
    <x v="2"/>
    <x v="4"/>
    <x v="6"/>
    <x v="383"/>
    <n v="462.94"/>
    <n v="1015.7"/>
    <n v="1015.7"/>
    <n v="0.14299999999999999"/>
    <n v="14"/>
    <n v="12186.368600000002"/>
    <n v="6481.16"/>
    <n v="5705.2086000000018"/>
    <n v="0.46816314090483041"/>
    <x v="20"/>
    <x v="6"/>
    <s v="Americas →USA →Austin"/>
    <s v="Medium"/>
    <x v="8"/>
    <x v="1"/>
  </r>
  <r>
    <s v="ORD-2024-423853"/>
    <d v="2024-09-03T00:00:00"/>
    <d v="2024-09-08T00:00:00"/>
    <d v="2024-09-03T00:00:00"/>
    <d v="2024-09-08T00:00:00"/>
    <n v="5"/>
    <d v="2024-09-08T00:00:00"/>
    <n v="5"/>
    <x v="1"/>
    <x v="0"/>
    <x v="1"/>
    <x v="5"/>
    <s v="Lagos"/>
    <s v="Small Business"/>
    <x v="2"/>
    <x v="10"/>
    <x v="1"/>
    <x v="384"/>
    <n v="197.63"/>
    <n v="325.79000000000002"/>
    <n v="325.79000000000002"/>
    <n v="0.11600000000000001"/>
    <n v="10"/>
    <n v="2879.9836"/>
    <n v="1976.3"/>
    <n v="903.68360000000007"/>
    <n v="0.31378081458519419"/>
    <x v="20"/>
    <x v="6"/>
    <s v="Africa →Nigeria →Lagos"/>
    <s v="Low"/>
    <x v="8"/>
    <x v="1"/>
  </r>
  <r>
    <s v="ORD-2024-207792"/>
    <d v="2024-09-03T00:00:00"/>
    <d v="2024-09-07T00:00:00"/>
    <d v="2024-09-03T00:00:00"/>
    <d v="2024-09-07T00:00:00"/>
    <n v="4"/>
    <d v="2024-09-07T00:00:00"/>
    <n v="4"/>
    <x v="1"/>
    <x v="0"/>
    <x v="3"/>
    <x v="11"/>
    <s v="Tokyo"/>
    <s v="Small Business"/>
    <x v="0"/>
    <x v="8"/>
    <x v="1"/>
    <x v="385"/>
    <n v="43.23"/>
    <n v="94.78"/>
    <n v="94.78"/>
    <n v="9.0999999999999998E-2"/>
    <n v="55"/>
    <n v="4738.5261"/>
    <n v="2377.6499999999996"/>
    <n v="2360.8761000000004"/>
    <n v="0.49823005090127082"/>
    <x v="20"/>
    <x v="6"/>
    <s v="Asia →Japan →Tokyo"/>
    <s v="Low"/>
    <x v="8"/>
    <x v="1"/>
  </r>
  <r>
    <s v="ORD-2024-569164"/>
    <d v="2024-09-05T00:00:00"/>
    <d v="2024-09-25T00:00:00"/>
    <d v="2024-09-05T00:00:00"/>
    <d v="2024-09-25T00:00:00"/>
    <n v="20"/>
    <d v="2024-09-25T00:00:00"/>
    <n v="20"/>
    <x v="0"/>
    <x v="0"/>
    <x v="3"/>
    <x v="11"/>
    <s v="Osaka"/>
    <s v="Enterprise"/>
    <x v="0"/>
    <x v="2"/>
    <x v="5"/>
    <x v="386"/>
    <n v="195.54"/>
    <n v="405.97"/>
    <n v="405.97"/>
    <n v="0.187"/>
    <n v="16"/>
    <n v="5280.8577599999999"/>
    <n v="3128.64"/>
    <n v="2152.21776"/>
    <n v="0.40755079152141377"/>
    <x v="20"/>
    <x v="6"/>
    <s v="Asia →Japan →Osaka"/>
    <s v="Low"/>
    <x v="8"/>
    <x v="1"/>
  </r>
  <r>
    <s v="ORD-2024-972999"/>
    <d v="2024-09-06T00:00:00"/>
    <d v="2024-10-04T00:00:00"/>
    <d v="2024-09-06T00:00:00"/>
    <d v="2024-10-04T00:00:00"/>
    <n v="28"/>
    <d v="2024-10-04T00:00:00"/>
    <n v="28"/>
    <x v="0"/>
    <x v="0"/>
    <x v="1"/>
    <x v="1"/>
    <s v="Cape Town"/>
    <s v="Corporate"/>
    <x v="4"/>
    <x v="2"/>
    <x v="5"/>
    <x v="387"/>
    <n v="1174.17"/>
    <n v="1641.61"/>
    <n v="1641.61"/>
    <n v="0.122"/>
    <n v="9"/>
    <n v="12972.00222"/>
    <n v="10567.53"/>
    <n v="2404.4722199999997"/>
    <n v="0.18535860380079394"/>
    <x v="20"/>
    <x v="6"/>
    <s v="Africa →South Africa →Cape Town"/>
    <s v="High"/>
    <x v="8"/>
    <x v="1"/>
  </r>
  <r>
    <s v="ORD-2024-594527"/>
    <d v="2024-09-06T00:00:00"/>
    <d v="2024-09-04T00:00:00"/>
    <d v="2024-09-04T00:00:00"/>
    <d v="2024-09-06T00:00:00"/>
    <n v="2"/>
    <d v="2024-09-13T00:00:00"/>
    <n v="7"/>
    <x v="1"/>
    <x v="0"/>
    <x v="3"/>
    <x v="11"/>
    <s v="Osaka"/>
    <s v="Corporate"/>
    <x v="2"/>
    <x v="1"/>
    <x v="0"/>
    <x v="388"/>
    <n v="1368.17"/>
    <n v="2307.75"/>
    <n v="2307.75"/>
    <n v="0.16300000000000001"/>
    <n v="21"/>
    <n v="40563.321749999996"/>
    <n v="28731.57"/>
    <n v="11831.751749999996"/>
    <n v="0.29168596750831921"/>
    <x v="20"/>
    <x v="6"/>
    <s v="Asia →Japan →Osaka"/>
    <s v="High"/>
    <x v="8"/>
    <x v="1"/>
  </r>
  <r>
    <s v="ORD-2024-862371"/>
    <d v="2024-09-07T00:00:00"/>
    <d v="2024-09-07T00:00:00"/>
    <d v="2024-09-07T00:00:00"/>
    <d v="2024-09-07T00:00:00"/>
    <n v="0"/>
    <d v="2024-09-07T00:00:00"/>
    <n v="0"/>
    <x v="1"/>
    <x v="0"/>
    <x v="3"/>
    <x v="9"/>
    <s v="Mumbai"/>
    <s v="Education"/>
    <x v="0"/>
    <x v="0"/>
    <x v="4"/>
    <x v="389"/>
    <n v="1066.6500000000001"/>
    <n v="2569.77"/>
    <n v="2569.77"/>
    <n v="0.13400000000000001"/>
    <n v="9"/>
    <n v="20028.787380000002"/>
    <n v="9599.85"/>
    <n v="10428.937380000001"/>
    <n v="0.52069739331368348"/>
    <x v="20"/>
    <x v="6"/>
    <s v="Asia →India →Mumbai"/>
    <s v="High"/>
    <x v="8"/>
    <x v="1"/>
  </r>
  <r>
    <s v="ORD-2024-581530"/>
    <d v="2024-09-07T00:00:00"/>
    <d v="2024-09-18T00:00:00"/>
    <d v="2024-09-07T00:00:00"/>
    <d v="2024-09-18T00:00:00"/>
    <n v="11"/>
    <d v="2024-09-18T00:00:00"/>
    <n v="11"/>
    <x v="0"/>
    <x v="1"/>
    <x v="3"/>
    <x v="3"/>
    <s v="Beijing"/>
    <s v="Consumer"/>
    <x v="0"/>
    <x v="5"/>
    <x v="4"/>
    <x v="390"/>
    <n v="181.74"/>
    <n v="190.84"/>
    <n v="190.84"/>
    <n v="0.214"/>
    <n v="13"/>
    <n v="1950.0031200000001"/>
    <n v="2362.62"/>
    <n v="-412.61687999999981"/>
    <n v="-0.21159806144310159"/>
    <x v="20"/>
    <x v="6"/>
    <s v="Asia →China →Beijing"/>
    <s v="Low"/>
    <x v="8"/>
    <x v="1"/>
  </r>
  <r>
    <s v="ORD-2024-988736"/>
    <d v="2024-09-09T00:00:00"/>
    <d v="2024-10-01T00:00:00"/>
    <d v="2024-09-09T00:00:00"/>
    <d v="2024-10-01T00:00:00"/>
    <n v="22"/>
    <d v="2024-10-01T00:00:00"/>
    <n v="22"/>
    <x v="0"/>
    <x v="0"/>
    <x v="3"/>
    <x v="3"/>
    <s v="Shenzhen"/>
    <s v="Consumer"/>
    <x v="2"/>
    <x v="9"/>
    <x v="1"/>
    <x v="391"/>
    <n v="1166.18"/>
    <n v="1335.02"/>
    <n v="1335.02"/>
    <n v="0.128"/>
    <n v="6"/>
    <n v="6984.8246399999998"/>
    <n v="6997.08"/>
    <n v="-12.25536000000011"/>
    <n v="-1.7545694604582242E-3"/>
    <x v="20"/>
    <x v="6"/>
    <s v="Asia →China →Shenzhen"/>
    <s v="Medium"/>
    <x v="8"/>
    <x v="1"/>
  </r>
  <r>
    <s v="ORD-2024-500890"/>
    <d v="2024-09-09T00:00:00"/>
    <d v="2024-10-08T00:00:00"/>
    <d v="2024-09-09T00:00:00"/>
    <d v="2024-10-08T00:00:00"/>
    <n v="29"/>
    <d v="2024-10-08T00:00:00"/>
    <n v="29"/>
    <x v="0"/>
    <x v="0"/>
    <x v="0"/>
    <x v="10"/>
    <s v="São Paulo"/>
    <s v="Education"/>
    <x v="2"/>
    <x v="13"/>
    <x v="6"/>
    <x v="392"/>
    <n v="1010.33"/>
    <n v="2492.14"/>
    <n v="2492.14"/>
    <n v="5.0999999999999997E-2"/>
    <n v="11"/>
    <n v="26015.449459999996"/>
    <n v="11113.630000000001"/>
    <n v="14901.819459999995"/>
    <n v="0.57280653493656752"/>
    <x v="20"/>
    <x v="6"/>
    <s v="Americas →Brazil →São Paulo"/>
    <s v="High"/>
    <x v="8"/>
    <x v="1"/>
  </r>
  <r>
    <s v="ORD-2024-728474"/>
    <d v="2024-09-09T00:00:00"/>
    <d v="2024-09-13T00:00:00"/>
    <d v="2024-09-09T00:00:00"/>
    <d v="2024-09-13T00:00:00"/>
    <n v="4"/>
    <d v="2024-09-13T00:00:00"/>
    <n v="4"/>
    <x v="1"/>
    <x v="0"/>
    <x v="2"/>
    <x v="6"/>
    <s v="London"/>
    <s v="Consumer"/>
    <x v="4"/>
    <x v="7"/>
    <x v="4"/>
    <x v="393"/>
    <n v="1133.08"/>
    <n v="976.17"/>
    <n v="976.17"/>
    <n v="4.2000000000000003E-2"/>
    <n v="27"/>
    <n v="25249.613219999999"/>
    <n v="30593.159999999996"/>
    <n v="-5343.5467799999969"/>
    <n v="-0.21162885678452373"/>
    <x v="20"/>
    <x v="6"/>
    <s v="Europe →United Kingdom →London"/>
    <s v="Medium"/>
    <x v="8"/>
    <x v="1"/>
  </r>
  <r>
    <s v="ORD-2024-687100"/>
    <d v="2024-09-10T00:00:00"/>
    <d v="2024-10-07T00:00:00"/>
    <d v="2024-09-10T00:00:00"/>
    <d v="2024-10-07T00:00:00"/>
    <n v="27"/>
    <d v="2024-10-07T00:00:00"/>
    <n v="27"/>
    <x v="0"/>
    <x v="1"/>
    <x v="1"/>
    <x v="7"/>
    <s v="Kisumu"/>
    <s v="Consumer"/>
    <x v="3"/>
    <x v="9"/>
    <x v="1"/>
    <x v="394"/>
    <n v="1248.3900000000001"/>
    <n v="1805.11"/>
    <n v="1805.11"/>
    <n v="0.20300000000000001"/>
    <n v="11"/>
    <n v="15825.399369999997"/>
    <n v="13732.29"/>
    <n v="2093.1093699999965"/>
    <n v="0.13226265707820786"/>
    <x v="20"/>
    <x v="6"/>
    <s v="Africa →Kenya →Kisumu"/>
    <s v="High"/>
    <x v="8"/>
    <x v="1"/>
  </r>
  <r>
    <s v="ORD-2024-805860"/>
    <d v="2024-09-13T00:00:00"/>
    <d v="2024-10-02T00:00:00"/>
    <d v="2024-09-13T00:00:00"/>
    <d v="2024-10-02T00:00:00"/>
    <n v="19"/>
    <d v="2024-10-02T00:00:00"/>
    <n v="19"/>
    <x v="0"/>
    <x v="0"/>
    <x v="1"/>
    <x v="7"/>
    <s v="Mombasa"/>
    <s v="Small Business"/>
    <x v="3"/>
    <x v="3"/>
    <x v="2"/>
    <x v="395"/>
    <n v="1338.99"/>
    <n v="1765.76"/>
    <n v="1765.76"/>
    <n v="0.126"/>
    <n v="24"/>
    <n v="37038.581760000001"/>
    <n v="32135.760000000002"/>
    <n v="4902.8217599999989"/>
    <n v="0.1323706666677725"/>
    <x v="20"/>
    <x v="6"/>
    <s v="Africa →Kenya →Mombasa"/>
    <s v="High"/>
    <x v="8"/>
    <x v="1"/>
  </r>
  <r>
    <s v="ORD-2024-771210"/>
    <d v="2024-09-14T00:00:00"/>
    <d v="2024-10-05T00:00:00"/>
    <d v="2024-09-14T00:00:00"/>
    <d v="2024-10-05T00:00:00"/>
    <n v="21"/>
    <d v="2024-10-05T00:00:00"/>
    <n v="21"/>
    <x v="0"/>
    <x v="0"/>
    <x v="3"/>
    <x v="3"/>
    <s v="Shanghai"/>
    <s v="Small Business"/>
    <x v="1"/>
    <x v="4"/>
    <x v="0"/>
    <x v="396"/>
    <n v="1405.56"/>
    <n v="2968.87"/>
    <n v="2968.87"/>
    <n v="0.16900000000000001"/>
    <n v="5"/>
    <n v="12335.654849999999"/>
    <n v="7027.7999999999993"/>
    <n v="5307.8548499999997"/>
    <n v="0.4302856163327235"/>
    <x v="20"/>
    <x v="6"/>
    <s v="Asia →China →Shanghai"/>
    <s v="High"/>
    <x v="8"/>
    <x v="1"/>
  </r>
  <r>
    <s v="ORD-2024-777623"/>
    <d v="2024-09-19T00:00:00"/>
    <d v="2024-10-14T00:00:00"/>
    <d v="2024-09-19T00:00:00"/>
    <d v="2024-10-14T00:00:00"/>
    <n v="25"/>
    <d v="2024-10-14T00:00:00"/>
    <n v="25"/>
    <x v="0"/>
    <x v="1"/>
    <x v="0"/>
    <x v="10"/>
    <s v="Rio de Janeiro"/>
    <s v="Small Business"/>
    <x v="3"/>
    <x v="10"/>
    <x v="1"/>
    <x v="397"/>
    <n v="386.96"/>
    <n v="937.46"/>
    <n v="937.46"/>
    <n v="0.26600000000000001"/>
    <n v="41"/>
    <n v="28211.92124"/>
    <n v="15865.359999999999"/>
    <n v="12346.561240000001"/>
    <n v="0.43763631462626335"/>
    <x v="20"/>
    <x v="6"/>
    <s v="Americas →Brazil →Rio de Janeiro"/>
    <s v="Medium"/>
    <x v="8"/>
    <x v="1"/>
  </r>
  <r>
    <s v="ORD-2024-444710"/>
    <d v="2024-09-22T00:00:00"/>
    <d v="2024-10-01T00:00:00"/>
    <d v="2024-09-22T00:00:00"/>
    <d v="2024-10-01T00:00:00"/>
    <n v="9"/>
    <d v="2024-10-01T00:00:00"/>
    <n v="9"/>
    <x v="0"/>
    <x v="0"/>
    <x v="0"/>
    <x v="10"/>
    <s v="São Paulo"/>
    <s v="Non-Profit"/>
    <x v="1"/>
    <x v="10"/>
    <x v="5"/>
    <x v="398"/>
    <n v="1378.8"/>
    <n v="1952.04"/>
    <n v="1952.04"/>
    <n v="0.159"/>
    <n v="19"/>
    <n v="31191.64716"/>
    <n v="26197.200000000001"/>
    <n v="4994.4471599999997"/>
    <n v="0.16012130216723058"/>
    <x v="20"/>
    <x v="6"/>
    <s v="Americas →Brazil →São Paulo"/>
    <s v="High"/>
    <x v="8"/>
    <x v="1"/>
  </r>
  <r>
    <s v="ORD-2024-438404"/>
    <d v="2024-09-23T00:00:00"/>
    <d v="2024-10-18T00:00:00"/>
    <d v="2024-09-23T00:00:00"/>
    <d v="2024-10-18T00:00:00"/>
    <n v="25"/>
    <d v="2024-10-18T00:00:00"/>
    <n v="25"/>
    <x v="0"/>
    <x v="0"/>
    <x v="0"/>
    <x v="0"/>
    <s v="Vancouver"/>
    <s v="Small Business"/>
    <x v="1"/>
    <x v="8"/>
    <x v="2"/>
    <x v="399"/>
    <n v="1297"/>
    <n v="2411.52"/>
    <n v="2411.52"/>
    <n v="2.1000000000000001E-2"/>
    <n v="18"/>
    <n v="42495.805439999996"/>
    <n v="23346"/>
    <n v="19149.805439999996"/>
    <n v="0.45062813239385913"/>
    <x v="20"/>
    <x v="6"/>
    <s v="Americas →Canada →Vancouver"/>
    <s v="High"/>
    <x v="8"/>
    <x v="1"/>
  </r>
  <r>
    <s v="ORD-2024-510520"/>
    <d v="2024-09-25T00:00:00"/>
    <d v="2024-10-03T00:00:00"/>
    <d v="2024-09-25T00:00:00"/>
    <d v="2024-10-03T00:00:00"/>
    <n v="8"/>
    <d v="2024-10-03T00:00:00"/>
    <n v="8"/>
    <x v="0"/>
    <x v="0"/>
    <x v="0"/>
    <x v="0"/>
    <s v="Toronto"/>
    <s v="Consumer"/>
    <x v="1"/>
    <x v="14"/>
    <x v="1"/>
    <x v="400"/>
    <n v="558.19000000000005"/>
    <n v="1031.6400000000001"/>
    <n v="1031.6400000000001"/>
    <n v="0"/>
    <n v="21"/>
    <n v="21664.440000000002"/>
    <n v="11721.990000000002"/>
    <n v="9942.4500000000007"/>
    <n v="0.45892947152107322"/>
    <x v="20"/>
    <x v="6"/>
    <s v="Americas →Canada →Toronto"/>
    <s v="Medium"/>
    <x v="8"/>
    <x v="1"/>
  </r>
  <r>
    <s v="ORD-2024-686712"/>
    <d v="2024-10-02T00:00:00"/>
    <d v="2024-10-23T00:00:00"/>
    <d v="2024-10-02T00:00:00"/>
    <d v="2024-10-23T00:00:00"/>
    <n v="21"/>
    <d v="2024-10-23T00:00:00"/>
    <n v="21"/>
    <x v="0"/>
    <x v="0"/>
    <x v="1"/>
    <x v="1"/>
    <s v="Durban"/>
    <s v="Corporate"/>
    <x v="4"/>
    <x v="1"/>
    <x v="6"/>
    <x v="401"/>
    <n v="1095.6099999999999"/>
    <n v="2366.5100000000002"/>
    <n v="2366.5100000000002"/>
    <n v="0.152"/>
    <n v="9"/>
    <n v="18061.204320000004"/>
    <n v="9860.49"/>
    <n v="8200.7143200000046"/>
    <n v="0.4540513564158607"/>
    <x v="21"/>
    <x v="7"/>
    <s v="Africa →South Africa →Durban"/>
    <s v="High"/>
    <x v="9"/>
    <x v="1"/>
  </r>
  <r>
    <s v="ORD-2024-237478"/>
    <d v="2024-10-03T00:00:00"/>
    <d v="2024-10-11T00:00:00"/>
    <d v="2024-10-03T00:00:00"/>
    <d v="2024-10-11T00:00:00"/>
    <n v="8"/>
    <d v="2024-10-11T00:00:00"/>
    <n v="8"/>
    <x v="0"/>
    <x v="0"/>
    <x v="3"/>
    <x v="3"/>
    <s v="Beijing"/>
    <s v="Enterprise"/>
    <x v="2"/>
    <x v="0"/>
    <x v="2"/>
    <x v="402"/>
    <n v="1132.6099999999999"/>
    <n v="2206.63"/>
    <n v="2206.63"/>
    <n v="6.3E-2"/>
    <n v="20"/>
    <n v="41352.246200000009"/>
    <n v="22652.199999999997"/>
    <n v="18700.046200000012"/>
    <n v="0.45221355351671338"/>
    <x v="21"/>
    <x v="7"/>
    <s v="Asia →China →Beijing"/>
    <s v="High"/>
    <x v="9"/>
    <x v="1"/>
  </r>
  <r>
    <s v="ORD-2024-997336"/>
    <d v="2024-10-04T00:00:00"/>
    <d v="2024-11-02T00:00:00"/>
    <d v="2024-10-04T00:00:00"/>
    <d v="2024-11-02T00:00:00"/>
    <n v="29"/>
    <d v="2024-11-02T00:00:00"/>
    <n v="29"/>
    <x v="0"/>
    <x v="0"/>
    <x v="1"/>
    <x v="5"/>
    <s v="Abuja"/>
    <s v="Corporate"/>
    <x v="0"/>
    <x v="7"/>
    <x v="3"/>
    <x v="403"/>
    <n v="412.09"/>
    <n v="968.94"/>
    <n v="968.94"/>
    <n v="9.9000000000000005E-2"/>
    <n v="23"/>
    <n v="20079.343620000003"/>
    <n v="9478.07"/>
    <n v="10601.273620000004"/>
    <n v="0.52796913189137418"/>
    <x v="21"/>
    <x v="7"/>
    <s v="Africa →Nigeria →Abuja"/>
    <s v="Medium"/>
    <x v="9"/>
    <x v="1"/>
  </r>
  <r>
    <s v="ORD-2024-500511"/>
    <d v="2024-10-08T00:00:00"/>
    <d v="2024-10-08T00:00:00"/>
    <d v="2024-10-08T00:00:00"/>
    <d v="2024-10-08T00:00:00"/>
    <n v="0"/>
    <d v="2024-10-08T00:00:00"/>
    <n v="0"/>
    <x v="1"/>
    <x v="0"/>
    <x v="2"/>
    <x v="6"/>
    <s v="London"/>
    <s v="Corporate"/>
    <x v="1"/>
    <x v="14"/>
    <x v="5"/>
    <x v="404"/>
    <n v="1108.1099999999999"/>
    <n v="2503.79"/>
    <n v="2503.79"/>
    <n v="0.184"/>
    <n v="19"/>
    <n v="38818.760160000005"/>
    <n v="21054.089999999997"/>
    <n v="17764.670160000009"/>
    <n v="0.45763105485025896"/>
    <x v="21"/>
    <x v="7"/>
    <s v="Europe →United Kingdom →London"/>
    <s v="High"/>
    <x v="9"/>
    <x v="1"/>
  </r>
  <r>
    <s v="ORD-2024-942981"/>
    <d v="2024-10-09T00:00:00"/>
    <d v="2024-11-08T00:00:00"/>
    <d v="2024-10-09T00:00:00"/>
    <d v="2024-11-08T00:00:00"/>
    <n v="30"/>
    <d v="2024-11-08T00:00:00"/>
    <n v="30"/>
    <x v="0"/>
    <x v="0"/>
    <x v="2"/>
    <x v="6"/>
    <s v="Manchester"/>
    <s v="Small Business"/>
    <x v="0"/>
    <x v="13"/>
    <x v="6"/>
    <x v="405"/>
    <n v="343.85"/>
    <n v="538.04"/>
    <n v="538.04"/>
    <n v="0.13900000000000001"/>
    <n v="5"/>
    <n v="2316.2621999999997"/>
    <n v="1719.25"/>
    <n v="597.01219999999967"/>
    <n v="0.25774810813732563"/>
    <x v="21"/>
    <x v="7"/>
    <s v="Europe →United Kingdom →Manchester"/>
    <s v="Low"/>
    <x v="9"/>
    <x v="1"/>
  </r>
  <r>
    <s v="ORD-2024-964950"/>
    <d v="2024-10-10T00:00:00"/>
    <d v="2024-10-11T00:00:00"/>
    <d v="2024-10-10T00:00:00"/>
    <d v="2024-10-11T00:00:00"/>
    <n v="1"/>
    <d v="2024-10-11T00:00:00"/>
    <n v="1"/>
    <x v="1"/>
    <x v="0"/>
    <x v="2"/>
    <x v="6"/>
    <s v="Manchester"/>
    <s v="Non-Profit"/>
    <x v="0"/>
    <x v="9"/>
    <x v="6"/>
    <x v="406"/>
    <n v="1389.46"/>
    <n v="1784.7"/>
    <n v="1784.7"/>
    <n v="0.14599999999999999"/>
    <n v="33"/>
    <n v="50296.415399999998"/>
    <n v="45852.18"/>
    <n v="4444.2353999999978"/>
    <n v="8.8360877503011831E-2"/>
    <x v="21"/>
    <x v="7"/>
    <s v="Europe →United Kingdom →Manchester"/>
    <s v="High"/>
    <x v="9"/>
    <x v="1"/>
  </r>
  <r>
    <s v="ORD-2024-720756"/>
    <d v="2024-10-11T00:00:00"/>
    <d v="2024-11-09T00:00:00"/>
    <d v="2024-10-11T00:00:00"/>
    <d v="2024-11-09T00:00:00"/>
    <n v="29"/>
    <d v="2024-11-09T00:00:00"/>
    <n v="29"/>
    <x v="0"/>
    <x v="0"/>
    <x v="3"/>
    <x v="3"/>
    <s v="Shanghai"/>
    <s v="Non-Profit"/>
    <x v="1"/>
    <x v="7"/>
    <x v="1"/>
    <x v="407"/>
    <n v="391.64"/>
    <n v="504.76"/>
    <n v="504.76"/>
    <n v="4.0000000000000001E-3"/>
    <n v="13"/>
    <n v="6535.6324800000002"/>
    <n v="5091.32"/>
    <n v="1444.3124800000005"/>
    <n v="0.22099046793402319"/>
    <x v="21"/>
    <x v="7"/>
    <s v="Asia →China →Shanghai"/>
    <s v="Low"/>
    <x v="9"/>
    <x v="1"/>
  </r>
  <r>
    <s v="ORD-2024-756884"/>
    <d v="2024-10-13T00:00:00"/>
    <d v="2024-10-24T00:00:00"/>
    <d v="2024-10-13T00:00:00"/>
    <d v="2024-10-24T00:00:00"/>
    <n v="11"/>
    <d v="2024-10-24T00:00:00"/>
    <n v="11"/>
    <x v="0"/>
    <x v="0"/>
    <x v="2"/>
    <x v="2"/>
    <s v="Paris"/>
    <s v="Education"/>
    <x v="0"/>
    <x v="7"/>
    <x v="6"/>
    <x v="408"/>
    <n v="816.7"/>
    <n v="1010.75"/>
    <n v="1010.75"/>
    <n v="4.7E-2"/>
    <n v="43"/>
    <n v="41419.524249999995"/>
    <n v="35118.1"/>
    <n v="6301.4242499999964"/>
    <n v="0.15213656757537472"/>
    <x v="21"/>
    <x v="7"/>
    <s v="Europe →France →Paris"/>
    <s v="Medium"/>
    <x v="9"/>
    <x v="1"/>
  </r>
  <r>
    <s v="ORD-2024-966651"/>
    <d v="2024-10-14T00:00:00"/>
    <d v="2024-11-08T00:00:00"/>
    <d v="2024-10-14T00:00:00"/>
    <d v="2024-11-08T00:00:00"/>
    <n v="25"/>
    <d v="2024-11-08T00:00:00"/>
    <n v="25"/>
    <x v="0"/>
    <x v="0"/>
    <x v="1"/>
    <x v="5"/>
    <s v="Lagos"/>
    <s v="Enterprise"/>
    <x v="1"/>
    <x v="5"/>
    <x v="4"/>
    <x v="409"/>
    <n v="859.35"/>
    <n v="1825.61"/>
    <n v="1825.61"/>
    <n v="0.187"/>
    <n v="24"/>
    <n v="35621.302319999995"/>
    <n v="20624.400000000001"/>
    <n v="14996.902319999994"/>
    <n v="0.42100937762681989"/>
    <x v="21"/>
    <x v="7"/>
    <s v="Africa →Nigeria →Lagos"/>
    <s v="High"/>
    <x v="9"/>
    <x v="1"/>
  </r>
  <r>
    <s v="ORD-2024-792558"/>
    <d v="2024-10-16T00:00:00"/>
    <d v="2024-11-08T00:00:00"/>
    <d v="2024-10-16T00:00:00"/>
    <d v="2024-11-08T00:00:00"/>
    <n v="23"/>
    <d v="2024-11-08T00:00:00"/>
    <n v="23"/>
    <x v="0"/>
    <x v="0"/>
    <x v="3"/>
    <x v="11"/>
    <s v="Osaka"/>
    <s v="Small Business"/>
    <x v="3"/>
    <x v="13"/>
    <x v="4"/>
    <x v="410"/>
    <n v="82.14"/>
    <n v="166.04"/>
    <n v="166.04"/>
    <n v="0"/>
    <n v="10"/>
    <n v="1660.3999999999999"/>
    <n v="821.4"/>
    <n v="838.99999999999989"/>
    <n v="0.50529992772825827"/>
    <x v="21"/>
    <x v="7"/>
    <s v="Asia →Japan →Osaka"/>
    <s v="Low"/>
    <x v="9"/>
    <x v="1"/>
  </r>
  <r>
    <s v="ORD-2024-260775"/>
    <d v="2024-10-17T00:00:00"/>
    <d v="2024-11-06T00:00:00"/>
    <d v="2024-10-17T00:00:00"/>
    <d v="2024-11-06T00:00:00"/>
    <n v="20"/>
    <d v="2024-11-06T00:00:00"/>
    <n v="20"/>
    <x v="0"/>
    <x v="1"/>
    <x v="3"/>
    <x v="9"/>
    <s v="Bengaluru"/>
    <s v="Enterprise"/>
    <x v="0"/>
    <x v="5"/>
    <x v="5"/>
    <x v="411"/>
    <n v="72.94"/>
    <n v="106.3"/>
    <n v="106.3"/>
    <n v="0.29499999999999998"/>
    <n v="8"/>
    <n v="599.53200000000004"/>
    <n v="583.52"/>
    <n v="16.012000000000057"/>
    <n v="2.6707498515508857E-2"/>
    <x v="21"/>
    <x v="7"/>
    <s v="Asia →India →Bengaluru"/>
    <s v="Low"/>
    <x v="9"/>
    <x v="1"/>
  </r>
  <r>
    <s v="ORD-2024-741404"/>
    <d v="2024-10-19T00:00:00"/>
    <d v="2024-11-06T00:00:00"/>
    <d v="2024-10-19T00:00:00"/>
    <d v="2024-11-06T00:00:00"/>
    <n v="18"/>
    <d v="2024-11-06T00:00:00"/>
    <n v="18"/>
    <x v="0"/>
    <x v="0"/>
    <x v="0"/>
    <x v="4"/>
    <s v="Chicago"/>
    <s v="Education"/>
    <x v="5"/>
    <x v="11"/>
    <x v="5"/>
    <x v="412"/>
    <n v="942.02"/>
    <n v="1028.46"/>
    <n v="1028.46"/>
    <n v="0"/>
    <n v="9"/>
    <n v="9256.14"/>
    <n v="8478.18"/>
    <n v="777.95999999999913"/>
    <n v="8.4047994088248354E-2"/>
    <x v="21"/>
    <x v="7"/>
    <s v="Americas →USA →Chicago"/>
    <s v="Medium"/>
    <x v="9"/>
    <x v="1"/>
  </r>
  <r>
    <s v="ORD-2024-640340"/>
    <d v="2024-10-22T00:00:00"/>
    <d v="2024-10-29T00:00:00"/>
    <d v="2024-10-22T00:00:00"/>
    <d v="2024-10-29T00:00:00"/>
    <n v="7"/>
    <d v="2024-10-29T00:00:00"/>
    <n v="7"/>
    <x v="1"/>
    <x v="0"/>
    <x v="1"/>
    <x v="5"/>
    <s v="Port Harcourt"/>
    <s v="Enterprise"/>
    <x v="0"/>
    <x v="3"/>
    <x v="5"/>
    <x v="413"/>
    <n v="1023.06"/>
    <n v="1355.61"/>
    <n v="1355.61"/>
    <n v="0.153"/>
    <n v="23"/>
    <n v="26408.63841"/>
    <n v="23530.379999999997"/>
    <n v="2878.2584100000022"/>
    <n v="0.10898927711888809"/>
    <x v="21"/>
    <x v="7"/>
    <s v="Africa →Nigeria →Port Harcourt"/>
    <s v="Medium"/>
    <x v="9"/>
    <x v="1"/>
  </r>
  <r>
    <s v="ORD-2024-358795"/>
    <d v="2024-10-23T00:00:00"/>
    <d v="2024-10-22T00:00:00"/>
    <d v="2024-10-22T00:00:00"/>
    <d v="2024-10-23T00:00:00"/>
    <n v="1"/>
    <d v="2024-10-30T00:00:00"/>
    <n v="7"/>
    <x v="1"/>
    <x v="1"/>
    <x v="1"/>
    <x v="5"/>
    <s v="Port Harcourt"/>
    <s v="Education"/>
    <x v="1"/>
    <x v="13"/>
    <x v="1"/>
    <x v="414"/>
    <n v="1084.3900000000001"/>
    <n v="759.33"/>
    <n v="759.33"/>
    <n v="0.23699999999999999"/>
    <n v="31"/>
    <n v="17960.432489999999"/>
    <n v="33616.090000000004"/>
    <n v="-15655.657510000005"/>
    <n v="-0.87167486187856302"/>
    <x v="21"/>
    <x v="7"/>
    <s v="Africa →Nigeria →Port Harcourt"/>
    <s v="Low"/>
    <x v="9"/>
    <x v="1"/>
  </r>
  <r>
    <s v="ORD-2024-668926"/>
    <d v="2024-10-23T00:00:00"/>
    <d v="2024-11-14T00:00:00"/>
    <d v="2024-10-23T00:00:00"/>
    <d v="2024-11-14T00:00:00"/>
    <n v="22"/>
    <d v="2024-11-14T00:00:00"/>
    <n v="22"/>
    <x v="0"/>
    <x v="0"/>
    <x v="3"/>
    <x v="11"/>
    <s v="Osaka"/>
    <s v="Non-Profit"/>
    <x v="2"/>
    <x v="0"/>
    <x v="2"/>
    <x v="415"/>
    <n v="1406.4"/>
    <n v="1564.76"/>
    <n v="1564.76"/>
    <n v="0.185"/>
    <n v="17"/>
    <n v="21679.749799999998"/>
    <n v="23908.800000000003"/>
    <n v="-2229.0502000000051"/>
    <n v="-0.10281715520536151"/>
    <x v="21"/>
    <x v="7"/>
    <s v="Asia →Japan →Osaka"/>
    <s v="Medium"/>
    <x v="9"/>
    <x v="1"/>
  </r>
  <r>
    <s v="ORD-2024-732543"/>
    <d v="2024-10-24T00:00:00"/>
    <d v="2024-10-28T00:00:00"/>
    <d v="2024-10-24T00:00:00"/>
    <d v="2024-10-28T00:00:00"/>
    <n v="4"/>
    <d v="2024-10-28T00:00:00"/>
    <n v="4"/>
    <x v="1"/>
    <x v="0"/>
    <x v="3"/>
    <x v="3"/>
    <s v="Shanghai"/>
    <s v="Small Business"/>
    <x v="0"/>
    <x v="12"/>
    <x v="4"/>
    <x v="416"/>
    <n v="1331.77"/>
    <n v="2606.11"/>
    <n v="2606.11"/>
    <n v="0.02"/>
    <n v="6"/>
    <n v="15323.926799999999"/>
    <n v="7990.62"/>
    <n v="7333.3067999999994"/>
    <n v="0.47855271665745619"/>
    <x v="21"/>
    <x v="7"/>
    <s v="Asia →China →Shanghai"/>
    <s v="High"/>
    <x v="9"/>
    <x v="1"/>
  </r>
  <r>
    <s v="ORD-2024-998320"/>
    <d v="2024-10-25T00:00:00"/>
    <d v="2024-11-14T00:00:00"/>
    <d v="2024-10-25T00:00:00"/>
    <d v="2024-11-14T00:00:00"/>
    <n v="20"/>
    <d v="2024-11-14T00:00:00"/>
    <n v="20"/>
    <x v="0"/>
    <x v="1"/>
    <x v="1"/>
    <x v="7"/>
    <s v="Mombasa"/>
    <s v="Corporate"/>
    <x v="2"/>
    <x v="4"/>
    <x v="1"/>
    <x v="417"/>
    <n v="1396.48"/>
    <n v="3204.5"/>
    <n v="3204.5"/>
    <n v="0.318"/>
    <n v="14"/>
    <n v="30596.565999999999"/>
    <n v="19550.72"/>
    <n v="11045.845999999998"/>
    <n v="0.36101587348070363"/>
    <x v="21"/>
    <x v="7"/>
    <s v="Africa →Kenya →Mombasa"/>
    <s v="High"/>
    <x v="9"/>
    <x v="1"/>
  </r>
  <r>
    <s v="ORD-2024-250862"/>
    <d v="2024-10-25T00:00:00"/>
    <d v="2024-11-05T00:00:00"/>
    <d v="2024-10-25T00:00:00"/>
    <d v="2024-11-05T00:00:00"/>
    <n v="11"/>
    <d v="2024-11-05T00:00:00"/>
    <n v="11"/>
    <x v="0"/>
    <x v="0"/>
    <x v="0"/>
    <x v="4"/>
    <s v="New York"/>
    <s v="Corporate"/>
    <x v="0"/>
    <x v="8"/>
    <x v="6"/>
    <x v="418"/>
    <n v="446.66"/>
    <n v="527.64"/>
    <n v="527.64"/>
    <n v="0.14499999999999999"/>
    <n v="15"/>
    <n v="6766.9829999999993"/>
    <n v="6699.9000000000005"/>
    <n v="67.082999999998719"/>
    <n v="9.9132804087137105E-3"/>
    <x v="21"/>
    <x v="7"/>
    <s v="Americas →USA →New York"/>
    <s v="Low"/>
    <x v="9"/>
    <x v="1"/>
  </r>
  <r>
    <s v="ORD-2024-350100"/>
    <d v="2024-10-27T00:00:00"/>
    <d v="2024-11-20T00:00:00"/>
    <d v="2024-10-27T00:00:00"/>
    <d v="2024-11-20T00:00:00"/>
    <n v="24"/>
    <d v="2024-11-20T00:00:00"/>
    <n v="24"/>
    <x v="0"/>
    <x v="0"/>
    <x v="3"/>
    <x v="11"/>
    <s v="Nagoya"/>
    <s v="Non-Profit"/>
    <x v="1"/>
    <x v="4"/>
    <x v="5"/>
    <x v="419"/>
    <n v="317.25"/>
    <n v="758.92"/>
    <n v="758.92"/>
    <n v="5.2999999999999999E-2"/>
    <n v="9"/>
    <n v="6468.2751599999992"/>
    <n v="2855.25"/>
    <n v="3613.0251599999992"/>
    <n v="0.5585762928489888"/>
    <x v="21"/>
    <x v="7"/>
    <s v="Asia →Japan →Nagoya"/>
    <s v="Low"/>
    <x v="9"/>
    <x v="1"/>
  </r>
  <r>
    <s v="ORD-2024-333192"/>
    <d v="2024-10-29T00:00:00"/>
    <d v="2024-11-04T00:00:00"/>
    <d v="2024-10-29T00:00:00"/>
    <d v="2024-11-04T00:00:00"/>
    <n v="6"/>
    <d v="2024-11-04T00:00:00"/>
    <n v="6"/>
    <x v="1"/>
    <x v="0"/>
    <x v="1"/>
    <x v="7"/>
    <s v="Nairobi"/>
    <s v="Corporate"/>
    <x v="0"/>
    <x v="3"/>
    <x v="1"/>
    <x v="420"/>
    <n v="805.81"/>
    <n v="1823.04"/>
    <n v="1823.04"/>
    <n v="0"/>
    <n v="11"/>
    <n v="20053.439999999999"/>
    <n v="8863.91"/>
    <n v="11189.529999999999"/>
    <n v="0.55798556257679477"/>
    <x v="21"/>
    <x v="7"/>
    <s v="Africa →Kenya →Nairobi"/>
    <s v="High"/>
    <x v="9"/>
    <x v="1"/>
  </r>
  <r>
    <s v="ORD-2024-357368"/>
    <d v="2024-10-30T00:00:00"/>
    <d v="2024-11-24T00:00:00"/>
    <d v="2024-10-30T00:00:00"/>
    <d v="2024-11-24T00:00:00"/>
    <n v="25"/>
    <d v="2024-11-24T00:00:00"/>
    <n v="25"/>
    <x v="0"/>
    <x v="0"/>
    <x v="3"/>
    <x v="3"/>
    <s v="Shenzhen"/>
    <s v="Small Business"/>
    <x v="1"/>
    <x v="14"/>
    <x v="6"/>
    <x v="421"/>
    <n v="811.05"/>
    <n v="1217.71"/>
    <n v="1217.71"/>
    <n v="7.1999999999999995E-2"/>
    <n v="5"/>
    <n v="5650.1744000000008"/>
    <n v="4055.25"/>
    <n v="1594.9244000000008"/>
    <n v="0.28227879125288602"/>
    <x v="21"/>
    <x v="7"/>
    <s v="Asia →China →Shenzhen"/>
    <s v="Medium"/>
    <x v="9"/>
    <x v="1"/>
  </r>
  <r>
    <s v="ORD-2024-381197"/>
    <d v="2024-11-01T00:00:00"/>
    <d v="2024-11-12T00:00:00"/>
    <d v="2024-11-01T00:00:00"/>
    <d v="2024-11-12T00:00:00"/>
    <n v="11"/>
    <d v="2024-11-12T00:00:00"/>
    <n v="11"/>
    <x v="0"/>
    <x v="0"/>
    <x v="2"/>
    <x v="8"/>
    <s v="Frankfurt"/>
    <s v="Consumer"/>
    <x v="1"/>
    <x v="0"/>
    <x v="1"/>
    <x v="422"/>
    <n v="599.84"/>
    <n v="1330.85"/>
    <n v="1330.85"/>
    <n v="0.115"/>
    <n v="11"/>
    <n v="12955.824749999998"/>
    <n v="6598.2400000000007"/>
    <n v="6357.5847499999973"/>
    <n v="0.49071246892252063"/>
    <x v="22"/>
    <x v="7"/>
    <s v="Europe →Germany →Frankfurt"/>
    <s v="Medium"/>
    <x v="10"/>
    <x v="1"/>
  </r>
  <r>
    <s v="ORD-2024-247979"/>
    <d v="2024-11-02T00:00:00"/>
    <d v="2024-11-18T00:00:00"/>
    <d v="2024-11-02T00:00:00"/>
    <d v="2024-11-18T00:00:00"/>
    <n v="16"/>
    <d v="2024-11-18T00:00:00"/>
    <n v="16"/>
    <x v="0"/>
    <x v="1"/>
    <x v="3"/>
    <x v="9"/>
    <s v="Mumbai"/>
    <s v="Small Business"/>
    <x v="0"/>
    <x v="5"/>
    <x v="5"/>
    <x v="423"/>
    <n v="1233.58"/>
    <n v="1912.51"/>
    <n v="1912.51"/>
    <n v="0.255"/>
    <n v="51"/>
    <n v="72665.817450000002"/>
    <n v="62912.579999999994"/>
    <n v="9753.2374500000078"/>
    <n v="0.134220432553601"/>
    <x v="22"/>
    <x v="7"/>
    <s v="Asia →India →Mumbai"/>
    <s v="High"/>
    <x v="10"/>
    <x v="1"/>
  </r>
  <r>
    <s v="ORD-2024-588972"/>
    <d v="2024-11-02T00:00:00"/>
    <d v="2024-11-29T00:00:00"/>
    <d v="2024-11-02T00:00:00"/>
    <d v="2024-11-29T00:00:00"/>
    <n v="27"/>
    <d v="2024-11-29T00:00:00"/>
    <n v="27"/>
    <x v="0"/>
    <x v="0"/>
    <x v="0"/>
    <x v="10"/>
    <s v="Brasília"/>
    <s v="Small Business"/>
    <x v="2"/>
    <x v="12"/>
    <x v="4"/>
    <x v="424"/>
    <n v="1363.51"/>
    <n v="1433.9"/>
    <n v="1433.9"/>
    <n v="5.7000000000000002E-2"/>
    <n v="8"/>
    <n v="10817.3416"/>
    <n v="10908.08"/>
    <n v="-90.738400000000183"/>
    <n v="-8.3882346842037592E-3"/>
    <x v="22"/>
    <x v="7"/>
    <s v="Americas →Brazil →Brasília"/>
    <s v="Medium"/>
    <x v="10"/>
    <x v="1"/>
  </r>
  <r>
    <s v="ORD-2024-925626"/>
    <d v="2024-11-04T00:00:00"/>
    <d v="2024-11-05T00:00:00"/>
    <d v="2024-11-04T00:00:00"/>
    <d v="2024-11-05T00:00:00"/>
    <n v="1"/>
    <d v="2024-11-05T00:00:00"/>
    <n v="1"/>
    <x v="1"/>
    <x v="0"/>
    <x v="2"/>
    <x v="6"/>
    <s v="London"/>
    <s v="Corporate"/>
    <x v="3"/>
    <x v="3"/>
    <x v="1"/>
    <x v="425"/>
    <n v="840.68"/>
    <n v="1493.53"/>
    <n v="1493.53"/>
    <n v="0"/>
    <n v="27"/>
    <n v="40325.31"/>
    <n v="22698.359999999997"/>
    <n v="17626.95"/>
    <n v="0.43711877230454027"/>
    <x v="22"/>
    <x v="7"/>
    <s v="Europe →United Kingdom →London"/>
    <s v="Medium"/>
    <x v="10"/>
    <x v="1"/>
  </r>
  <r>
    <s v="ORD-2024-766980"/>
    <d v="2024-11-04T00:00:00"/>
    <d v="2024-11-07T00:00:00"/>
    <d v="2024-11-04T00:00:00"/>
    <d v="2024-11-07T00:00:00"/>
    <n v="3"/>
    <d v="2024-11-07T00:00:00"/>
    <n v="3"/>
    <x v="1"/>
    <x v="0"/>
    <x v="2"/>
    <x v="2"/>
    <s v="Lyon"/>
    <s v="Corporate"/>
    <x v="1"/>
    <x v="5"/>
    <x v="5"/>
    <x v="426"/>
    <n v="740.68"/>
    <n v="1837.19"/>
    <n v="1837.19"/>
    <n v="0.19700000000000001"/>
    <n v="17"/>
    <n v="25079.480689999997"/>
    <n v="12591.56"/>
    <n v="12487.920689999997"/>
    <n v="0.4979337827748298"/>
    <x v="22"/>
    <x v="7"/>
    <s v="Europe →France →Lyon"/>
    <s v="High"/>
    <x v="10"/>
    <x v="1"/>
  </r>
  <r>
    <s v="ORD-2024-170021"/>
    <d v="2024-11-05T00:00:00"/>
    <d v="2024-11-08T00:00:00"/>
    <d v="2024-11-05T00:00:00"/>
    <d v="2024-11-08T00:00:00"/>
    <n v="3"/>
    <d v="2024-11-08T00:00:00"/>
    <n v="3"/>
    <x v="1"/>
    <x v="0"/>
    <x v="0"/>
    <x v="0"/>
    <s v="Toronto"/>
    <s v="Education"/>
    <x v="4"/>
    <x v="5"/>
    <x v="6"/>
    <x v="427"/>
    <n v="1020.4"/>
    <n v="1184.71"/>
    <n v="1184.71"/>
    <n v="0.106"/>
    <n v="16"/>
    <n v="16946.091840000001"/>
    <n v="16326.4"/>
    <n v="619.69184000000132"/>
    <n v="3.6568422138328345E-2"/>
    <x v="22"/>
    <x v="7"/>
    <s v="Americas →Canada →Toronto"/>
    <s v="Medium"/>
    <x v="10"/>
    <x v="1"/>
  </r>
  <r>
    <s v="ORD-2024-468501"/>
    <d v="2024-11-06T00:00:00"/>
    <d v="2024-11-22T00:00:00"/>
    <d v="2024-11-06T00:00:00"/>
    <d v="2024-11-22T00:00:00"/>
    <n v="16"/>
    <d v="2024-11-22T00:00:00"/>
    <n v="16"/>
    <x v="0"/>
    <x v="1"/>
    <x v="0"/>
    <x v="0"/>
    <s v="Toronto"/>
    <s v="Non-Profit"/>
    <x v="0"/>
    <x v="2"/>
    <x v="3"/>
    <x v="428"/>
    <n v="1454.11"/>
    <n v="2629.75"/>
    <n v="2629.75"/>
    <n v="0.29199999999999998"/>
    <n v="8"/>
    <n v="14894.903999999999"/>
    <n v="11632.88"/>
    <n v="3262.0239999999994"/>
    <n v="0.21900268709351867"/>
    <x v="22"/>
    <x v="7"/>
    <s v="Americas →Canada →Toronto"/>
    <s v="High"/>
    <x v="10"/>
    <x v="1"/>
  </r>
  <r>
    <s v="ORD-2024-225829"/>
    <d v="2024-11-07T00:00:00"/>
    <d v="2024-11-26T00:00:00"/>
    <d v="2024-11-07T00:00:00"/>
    <d v="2024-11-26T00:00:00"/>
    <n v="19"/>
    <d v="2024-11-26T00:00:00"/>
    <n v="19"/>
    <x v="0"/>
    <x v="0"/>
    <x v="0"/>
    <x v="10"/>
    <s v="Rio de Janeiro"/>
    <s v="Non-Profit"/>
    <x v="0"/>
    <x v="13"/>
    <x v="1"/>
    <x v="429"/>
    <n v="55.35"/>
    <n v="128.68"/>
    <n v="128.68"/>
    <n v="0.128"/>
    <n v="10"/>
    <n v="1122.0896000000002"/>
    <n v="553.5"/>
    <n v="568.58960000000025"/>
    <n v="0.50672388372550647"/>
    <x v="22"/>
    <x v="7"/>
    <s v="Americas →Brazil →Rio de Janeiro"/>
    <s v="Low"/>
    <x v="10"/>
    <x v="1"/>
  </r>
  <r>
    <s v="ORD-2024-320972"/>
    <d v="2024-11-08T00:00:00"/>
    <d v="2024-11-08T00:00:00"/>
    <d v="2024-11-08T00:00:00"/>
    <d v="2024-11-08T00:00:00"/>
    <n v="0"/>
    <d v="2024-11-08T00:00:00"/>
    <n v="0"/>
    <x v="1"/>
    <x v="0"/>
    <x v="1"/>
    <x v="7"/>
    <s v="Nakuru"/>
    <s v="Enterprise"/>
    <x v="4"/>
    <x v="3"/>
    <x v="4"/>
    <x v="430"/>
    <n v="803.28"/>
    <n v="1009"/>
    <n v="1009"/>
    <n v="0.11"/>
    <n v="4"/>
    <n v="3592.04"/>
    <n v="3213.12"/>
    <n v="378.92000000000007"/>
    <n v="0.10548880302001093"/>
    <x v="22"/>
    <x v="7"/>
    <s v="Africa →Kenya →Nakuru"/>
    <s v="Medium"/>
    <x v="10"/>
    <x v="1"/>
  </r>
  <r>
    <s v="ORD-2024-496601"/>
    <d v="2024-11-11T00:00:00"/>
    <d v="2024-11-24T00:00:00"/>
    <d v="2024-11-11T00:00:00"/>
    <d v="2024-11-24T00:00:00"/>
    <n v="13"/>
    <d v="2024-11-24T00:00:00"/>
    <n v="13"/>
    <x v="0"/>
    <x v="0"/>
    <x v="2"/>
    <x v="6"/>
    <s v="London"/>
    <s v="Corporate"/>
    <x v="3"/>
    <x v="14"/>
    <x v="4"/>
    <x v="431"/>
    <n v="164.53"/>
    <n v="327.72"/>
    <n v="327.72"/>
    <n v="6.7000000000000004E-2"/>
    <n v="14"/>
    <n v="4280.6786400000001"/>
    <n v="2303.42"/>
    <n v="1977.25864"/>
    <n v="0.46190307805960412"/>
    <x v="22"/>
    <x v="7"/>
    <s v="Europe →United Kingdom →London"/>
    <s v="Low"/>
    <x v="10"/>
    <x v="1"/>
  </r>
  <r>
    <s v="ORD-2024-776337"/>
    <d v="2024-11-12T00:00:00"/>
    <d v="2024-11-21T00:00:00"/>
    <d v="2024-11-12T00:00:00"/>
    <d v="2024-11-21T00:00:00"/>
    <n v="9"/>
    <d v="2024-11-21T00:00:00"/>
    <n v="9"/>
    <x v="0"/>
    <x v="0"/>
    <x v="3"/>
    <x v="9"/>
    <s v="Mumbai"/>
    <s v="Corporate"/>
    <x v="2"/>
    <x v="4"/>
    <x v="0"/>
    <x v="432"/>
    <n v="903.41"/>
    <n v="1860.41"/>
    <n v="1860.41"/>
    <n v="0.108"/>
    <n v="5"/>
    <n v="8297.4286000000011"/>
    <n v="4517.05"/>
    <n v="3780.3786000000009"/>
    <n v="0.455608451996803"/>
    <x v="22"/>
    <x v="7"/>
    <s v="Asia →India →Mumbai"/>
    <s v="High"/>
    <x v="10"/>
    <x v="1"/>
  </r>
  <r>
    <s v="ORD-2024-371409"/>
    <d v="2024-11-17T00:00:00"/>
    <d v="2024-11-28T00:00:00"/>
    <d v="2024-11-17T00:00:00"/>
    <d v="2024-11-28T00:00:00"/>
    <n v="11"/>
    <d v="2024-11-28T00:00:00"/>
    <n v="11"/>
    <x v="0"/>
    <x v="0"/>
    <x v="0"/>
    <x v="0"/>
    <s v="N/A"/>
    <s v="Consumer"/>
    <x v="0"/>
    <x v="1"/>
    <x v="1"/>
    <x v="433"/>
    <n v="1008.16"/>
    <n v="2077.5"/>
    <n v="2077.5"/>
    <n v="7.3999999999999996E-2"/>
    <n v="15"/>
    <n v="28856.475000000002"/>
    <n v="15122.4"/>
    <n v="13734.075000000003"/>
    <n v="0.47594430712691005"/>
    <x v="22"/>
    <x v="7"/>
    <s v="Americas →Canada →N/A"/>
    <s v="High"/>
    <x v="10"/>
    <x v="1"/>
  </r>
  <r>
    <s v="ORD-2024-783321"/>
    <d v="2024-11-20T00:00:00"/>
    <d v="2024-12-15T00:00:00"/>
    <d v="2024-11-20T00:00:00"/>
    <d v="2024-12-15T00:00:00"/>
    <n v="25"/>
    <d v="2024-12-15T00:00:00"/>
    <n v="25"/>
    <x v="0"/>
    <x v="0"/>
    <x v="2"/>
    <x v="2"/>
    <s v="Paris"/>
    <s v="Corporate"/>
    <x v="1"/>
    <x v="6"/>
    <x v="1"/>
    <x v="434"/>
    <n v="1203.58"/>
    <n v="1856.16"/>
    <n v="1856.16"/>
    <n v="0.129"/>
    <n v="22"/>
    <n v="35567.737920000007"/>
    <n v="26478.76"/>
    <n v="9088.9779200000085"/>
    <n v="0.25553994860295032"/>
    <x v="22"/>
    <x v="7"/>
    <s v="Europe →France →Paris"/>
    <s v="High"/>
    <x v="10"/>
    <x v="1"/>
  </r>
  <r>
    <s v="ORD-2024-192263"/>
    <d v="2024-11-21T00:00:00"/>
    <d v="2024-12-21T00:00:00"/>
    <d v="2024-11-21T00:00:00"/>
    <d v="2024-12-21T00:00:00"/>
    <n v="30"/>
    <d v="2024-12-21T00:00:00"/>
    <n v="30"/>
    <x v="0"/>
    <x v="0"/>
    <x v="2"/>
    <x v="2"/>
    <s v="Marseille"/>
    <s v="Small Business"/>
    <x v="2"/>
    <x v="12"/>
    <x v="5"/>
    <x v="435"/>
    <n v="1122.68"/>
    <n v="1997.19"/>
    <n v="1997.19"/>
    <n v="0.186"/>
    <n v="3"/>
    <n v="4877.1379800000004"/>
    <n v="3368.04"/>
    <n v="1509.0979800000005"/>
    <n v="0.30942285951073306"/>
    <x v="22"/>
    <x v="7"/>
    <s v="Europe →France →Marseille"/>
    <s v="High"/>
    <x v="10"/>
    <x v="1"/>
  </r>
  <r>
    <s v="ORD-2024-508213"/>
    <d v="2024-11-22T00:00:00"/>
    <d v="2024-12-15T00:00:00"/>
    <d v="2024-11-22T00:00:00"/>
    <d v="2024-12-15T00:00:00"/>
    <n v="23"/>
    <d v="2024-12-15T00:00:00"/>
    <n v="23"/>
    <x v="0"/>
    <x v="1"/>
    <x v="1"/>
    <x v="7"/>
    <s v="Mombasa"/>
    <s v="Non-Profit"/>
    <x v="0"/>
    <x v="11"/>
    <x v="6"/>
    <x v="436"/>
    <n v="1335.76"/>
    <n v="2665.91"/>
    <n v="2665.91"/>
    <n v="0.21099999999999999"/>
    <n v="40"/>
    <n v="84136.119600000005"/>
    <n v="53430.400000000001"/>
    <n v="30705.719600000004"/>
    <n v="0.36495288522909253"/>
    <x v="22"/>
    <x v="7"/>
    <s v="Africa →Kenya →Mombasa"/>
    <s v="High"/>
    <x v="10"/>
    <x v="1"/>
  </r>
  <r>
    <s v="ORD-2024-961756"/>
    <d v="2024-11-25T00:00:00"/>
    <d v="2024-12-07T00:00:00"/>
    <d v="2024-11-25T00:00:00"/>
    <d v="2024-12-07T00:00:00"/>
    <n v="12"/>
    <d v="2024-12-07T00:00:00"/>
    <n v="12"/>
    <x v="0"/>
    <x v="0"/>
    <x v="3"/>
    <x v="3"/>
    <s v="Shanghai"/>
    <s v="Corporate"/>
    <x v="0"/>
    <x v="1"/>
    <x v="3"/>
    <x v="437"/>
    <n v="769.9"/>
    <n v="814.36"/>
    <n v="814.36"/>
    <n v="0"/>
    <n v="5"/>
    <n v="4071.8"/>
    <n v="3849.5"/>
    <n v="222.30000000000018"/>
    <n v="5.4595019401738831E-2"/>
    <x v="22"/>
    <x v="7"/>
    <s v="Asia →China →Shanghai"/>
    <s v="Low"/>
    <x v="10"/>
    <x v="1"/>
  </r>
  <r>
    <s v="ORD-2024-266562"/>
    <d v="2024-11-27T00:00:00"/>
    <d v="2024-12-24T00:00:00"/>
    <d v="2024-11-27T00:00:00"/>
    <d v="2024-12-24T00:00:00"/>
    <n v="27"/>
    <d v="2024-12-24T00:00:00"/>
    <n v="27"/>
    <x v="0"/>
    <x v="0"/>
    <x v="1"/>
    <x v="7"/>
    <s v="Mombasa"/>
    <s v="Corporate"/>
    <x v="0"/>
    <x v="0"/>
    <x v="1"/>
    <x v="438"/>
    <n v="143.33000000000001"/>
    <n v="233.51"/>
    <n v="233.51"/>
    <n v="0.16300000000000001"/>
    <n v="14"/>
    <n v="2736.27018"/>
    <n v="2006.6200000000001"/>
    <n v="729.65017999999986"/>
    <n v="0.26665867476580835"/>
    <x v="22"/>
    <x v="7"/>
    <s v="Africa →Kenya →Mombasa"/>
    <s v="Low"/>
    <x v="10"/>
    <x v="1"/>
  </r>
  <r>
    <s v="ORD-2024-788105"/>
    <d v="2024-11-30T00:00:00"/>
    <d v="2024-12-30T00:00:00"/>
    <d v="2024-11-30T00:00:00"/>
    <d v="2024-12-30T00:00:00"/>
    <n v="30"/>
    <d v="2024-12-30T00:00:00"/>
    <n v="30"/>
    <x v="0"/>
    <x v="0"/>
    <x v="2"/>
    <x v="2"/>
    <s v="Marseille"/>
    <s v="Consumer"/>
    <x v="4"/>
    <x v="7"/>
    <x v="1"/>
    <x v="439"/>
    <n v="117.64"/>
    <n v="175.67"/>
    <n v="175.67"/>
    <n v="0"/>
    <n v="10"/>
    <n v="1756.6999999999998"/>
    <n v="1176.4000000000001"/>
    <n v="580.29999999999973"/>
    <n v="0.33033528775545046"/>
    <x v="22"/>
    <x v="7"/>
    <s v="Europe →France →Marseille"/>
    <s v="Low"/>
    <x v="10"/>
    <x v="1"/>
  </r>
  <r>
    <s v="ORD-2024-655710"/>
    <d v="2024-11-30T00:00:00"/>
    <d v="2024-12-10T00:00:00"/>
    <d v="2024-11-30T00:00:00"/>
    <d v="2024-12-10T00:00:00"/>
    <n v="10"/>
    <d v="2024-12-10T00:00:00"/>
    <n v="10"/>
    <x v="0"/>
    <x v="1"/>
    <x v="3"/>
    <x v="9"/>
    <s v="Hyderabad"/>
    <s v="Small Business"/>
    <x v="3"/>
    <x v="7"/>
    <x v="3"/>
    <x v="440"/>
    <n v="851.49"/>
    <n v="901.79"/>
    <n v="901.79"/>
    <n v="0.245"/>
    <n v="16"/>
    <n v="10893.6232"/>
    <n v="13623.84"/>
    <n v="-2730.2168000000001"/>
    <n v="-0.25062522816100341"/>
    <x v="22"/>
    <x v="7"/>
    <s v="Asia →India →Hyderabad"/>
    <s v="Medium"/>
    <x v="10"/>
    <x v="1"/>
  </r>
  <r>
    <s v="ORD-2024-331226"/>
    <d v="2024-11-30T00:00:00"/>
    <d v="2024-12-19T00:00:00"/>
    <d v="2024-11-30T00:00:00"/>
    <d v="2024-12-19T00:00:00"/>
    <n v="19"/>
    <d v="2024-12-19T00:00:00"/>
    <n v="19"/>
    <x v="0"/>
    <x v="0"/>
    <x v="1"/>
    <x v="7"/>
    <s v="Kisumu"/>
    <s v="Corporate"/>
    <x v="1"/>
    <x v="9"/>
    <x v="2"/>
    <x v="441"/>
    <n v="1195.98"/>
    <n v="1841.9"/>
    <n v="1841.9"/>
    <n v="5.5E-2"/>
    <n v="19"/>
    <n v="33071.3145"/>
    <n v="22723.62"/>
    <n v="10347.694500000001"/>
    <n v="0.31289032977506842"/>
    <x v="22"/>
    <x v="7"/>
    <s v="Africa →Kenya →Kisumu"/>
    <s v="High"/>
    <x v="10"/>
    <x v="1"/>
  </r>
  <r>
    <s v="ORD-2024-866535"/>
    <d v="2024-12-04T00:00:00"/>
    <d v="2024-12-12T00:00:00"/>
    <d v="2024-12-04T00:00:00"/>
    <d v="2024-12-12T00:00:00"/>
    <n v="8"/>
    <d v="2024-12-12T00:00:00"/>
    <n v="8"/>
    <x v="0"/>
    <x v="1"/>
    <x v="2"/>
    <x v="8"/>
    <s v="Frankfurt"/>
    <s v="Enterprise"/>
    <x v="4"/>
    <x v="0"/>
    <x v="1"/>
    <x v="442"/>
    <n v="72.06"/>
    <n v="122.74"/>
    <n v="122.74"/>
    <n v="0.23799999999999999"/>
    <n v="8"/>
    <n v="748.22303999999997"/>
    <n v="576.48"/>
    <n v="171.74303999999995"/>
    <n v="0.22953455162246802"/>
    <x v="23"/>
    <x v="7"/>
    <s v="Europe →Germany →Frankfurt"/>
    <s v="Low"/>
    <x v="11"/>
    <x v="1"/>
  </r>
  <r>
    <s v="ORD-2024-478165"/>
    <d v="2024-12-05T00:00:00"/>
    <d v="2024-12-28T00:00:00"/>
    <d v="2024-12-05T00:00:00"/>
    <d v="2024-12-28T00:00:00"/>
    <n v="23"/>
    <d v="2024-12-28T00:00:00"/>
    <n v="23"/>
    <x v="0"/>
    <x v="0"/>
    <x v="0"/>
    <x v="0"/>
    <s v="Vancouver"/>
    <s v="Corporate"/>
    <x v="2"/>
    <x v="7"/>
    <x v="3"/>
    <x v="443"/>
    <n v="107.03"/>
    <n v="242.29"/>
    <n v="242.29"/>
    <n v="0.18"/>
    <n v="30"/>
    <n v="5960.3340000000007"/>
    <n v="3210.9"/>
    <n v="2749.4340000000007"/>
    <n v="0.46128857879440988"/>
    <x v="23"/>
    <x v="7"/>
    <s v="Americas →Canada →Vancouver"/>
    <s v="Low"/>
    <x v="11"/>
    <x v="1"/>
  </r>
  <r>
    <s v="ORD-2024-140633"/>
    <d v="2024-12-07T00:00:00"/>
    <d v="2024-12-26T00:00:00"/>
    <d v="2024-12-07T00:00:00"/>
    <d v="2024-12-26T00:00:00"/>
    <n v="19"/>
    <d v="2024-12-26T00:00:00"/>
    <n v="19"/>
    <x v="0"/>
    <x v="0"/>
    <x v="2"/>
    <x v="6"/>
    <s v="London"/>
    <s v="Enterprise"/>
    <x v="1"/>
    <x v="2"/>
    <x v="4"/>
    <x v="444"/>
    <n v="1035.24"/>
    <n v="2383.41"/>
    <n v="2383.41"/>
    <n v="0.17"/>
    <n v="15"/>
    <n v="29673.454499999993"/>
    <n v="15528.6"/>
    <n v="14144.854499999992"/>
    <n v="0.47668378145860962"/>
    <x v="23"/>
    <x v="7"/>
    <s v="Europe →United Kingdom →London"/>
    <s v="High"/>
    <x v="11"/>
    <x v="1"/>
  </r>
  <r>
    <s v="ORD-2024-382152"/>
    <d v="2024-12-08T00:00:00"/>
    <d v="2024-12-08T00:00:00"/>
    <d v="2024-12-08T00:00:00"/>
    <d v="2024-12-08T00:00:00"/>
    <n v="0"/>
    <d v="2024-12-08T00:00:00"/>
    <n v="0"/>
    <x v="1"/>
    <x v="0"/>
    <x v="2"/>
    <x v="2"/>
    <s v="Lyon"/>
    <s v="Enterprise"/>
    <x v="3"/>
    <x v="4"/>
    <x v="6"/>
    <x v="445"/>
    <n v="257.44"/>
    <n v="290.33"/>
    <n v="290.33"/>
    <n v="9.1999999999999998E-2"/>
    <n v="23"/>
    <n v="6063.2517199999993"/>
    <n v="5921.12"/>
    <n v="142.1317199999994"/>
    <n v="2.3441500792581216E-2"/>
    <x v="23"/>
    <x v="7"/>
    <s v="Europe →France →Lyon"/>
    <s v="Low"/>
    <x v="11"/>
    <x v="1"/>
  </r>
  <r>
    <s v="ORD-2024-206081"/>
    <d v="2024-12-10T00:00:00"/>
    <d v="2025-01-08T00:00:00"/>
    <d v="2024-12-10T00:00:00"/>
    <d v="2025-01-08T00:00:00"/>
    <n v="29"/>
    <d v="2025-01-08T00:00:00"/>
    <n v="29"/>
    <x v="0"/>
    <x v="0"/>
    <x v="2"/>
    <x v="2"/>
    <s v="Marseille"/>
    <s v="Small Business"/>
    <x v="3"/>
    <x v="10"/>
    <x v="1"/>
    <x v="446"/>
    <n v="891.08"/>
    <n v="1040.0999999999999"/>
    <n v="1040.0999999999999"/>
    <n v="0.109"/>
    <n v="28"/>
    <n v="25948.414799999995"/>
    <n v="24950.240000000002"/>
    <n v="998.17479999999341"/>
    <n v="3.8467660074556598E-2"/>
    <x v="23"/>
    <x v="7"/>
    <s v="Europe →France →Marseille"/>
    <s v="Medium"/>
    <x v="11"/>
    <x v="1"/>
  </r>
  <r>
    <s v="ORD-2024-837651"/>
    <d v="2024-12-10T00:00:00"/>
    <d v="2024-12-19T00:00:00"/>
    <d v="2024-12-10T00:00:00"/>
    <d v="2024-12-19T00:00:00"/>
    <n v="9"/>
    <d v="2024-12-19T00:00:00"/>
    <n v="9"/>
    <x v="0"/>
    <x v="0"/>
    <x v="1"/>
    <x v="5"/>
    <s v="Lagos"/>
    <s v="Corporate"/>
    <x v="3"/>
    <x v="5"/>
    <x v="5"/>
    <x v="447"/>
    <n v="488.68"/>
    <n v="984.36"/>
    <n v="984.36"/>
    <n v="5.8999999999999997E-2"/>
    <n v="14"/>
    <n v="12967.958640000001"/>
    <n v="6841.52"/>
    <n v="6126.4386400000003"/>
    <n v="0.47242891576649876"/>
    <x v="23"/>
    <x v="7"/>
    <s v="Africa →Nigeria →Lagos"/>
    <s v="Medium"/>
    <x v="11"/>
    <x v="1"/>
  </r>
  <r>
    <s v="ORD-2024-102866"/>
    <d v="2024-12-12T00:00:00"/>
    <d v="2024-12-20T00:00:00"/>
    <d v="2024-12-12T00:00:00"/>
    <d v="2024-12-20T00:00:00"/>
    <n v="8"/>
    <d v="2024-12-20T00:00:00"/>
    <n v="8"/>
    <x v="0"/>
    <x v="1"/>
    <x v="3"/>
    <x v="11"/>
    <s v="Tokyo"/>
    <s v="Corporate"/>
    <x v="3"/>
    <x v="0"/>
    <x v="0"/>
    <x v="448"/>
    <n v="1202.47"/>
    <n v="1444.72"/>
    <n v="1444.72"/>
    <n v="0.24099999999999999"/>
    <n v="17"/>
    <n v="18641.222160000001"/>
    <n v="20441.990000000002"/>
    <n v="-1800.7678400000004"/>
    <n v="-9.6601382921343834E-2"/>
    <x v="23"/>
    <x v="7"/>
    <s v="Asia →Japan →Tokyo"/>
    <s v="Medium"/>
    <x v="11"/>
    <x v="1"/>
  </r>
  <r>
    <s v="ORD-2024-836421"/>
    <d v="2024-12-14T00:00:00"/>
    <d v="2025-01-12T00:00:00"/>
    <d v="2024-12-14T00:00:00"/>
    <d v="2025-01-12T00:00:00"/>
    <n v="29"/>
    <d v="2025-01-12T00:00:00"/>
    <n v="29"/>
    <x v="0"/>
    <x v="0"/>
    <x v="3"/>
    <x v="3"/>
    <s v="Shenzhen"/>
    <s v="Education"/>
    <x v="1"/>
    <x v="13"/>
    <x v="6"/>
    <x v="449"/>
    <n v="1412.15"/>
    <n v="1631.04"/>
    <n v="1631.04"/>
    <n v="8.9999999999999993E-3"/>
    <n v="6"/>
    <n v="9698.1638399999993"/>
    <n v="8472.9000000000015"/>
    <n v="1225.2638399999978"/>
    <n v="0.12633977526203535"/>
    <x v="23"/>
    <x v="7"/>
    <s v="Asia →China →Shenzhen"/>
    <s v="High"/>
    <x v="11"/>
    <x v="1"/>
  </r>
  <r>
    <s v="ORD-2024-800947"/>
    <d v="2024-12-15T00:00:00"/>
    <d v="2024-12-20T00:00:00"/>
    <d v="2024-12-15T00:00:00"/>
    <d v="2024-12-20T00:00:00"/>
    <n v="5"/>
    <d v="2024-12-20T00:00:00"/>
    <n v="5"/>
    <x v="1"/>
    <x v="0"/>
    <x v="3"/>
    <x v="3"/>
    <s v="Shenzhen"/>
    <s v="Small Business"/>
    <x v="2"/>
    <x v="13"/>
    <x v="4"/>
    <x v="450"/>
    <n v="717.55"/>
    <n v="546.42999999999995"/>
    <n v="546.42999999999995"/>
    <n v="4.7E-2"/>
    <n v="18"/>
    <n v="9373.460219999999"/>
    <n v="12915.9"/>
    <n v="-3542.4397800000006"/>
    <n v="-0.37792231437026369"/>
    <x v="23"/>
    <x v="7"/>
    <s v="Asia →China →Shenzhen"/>
    <s v="Low"/>
    <x v="11"/>
    <x v="1"/>
  </r>
  <r>
    <s v="ORD-2024-289089"/>
    <d v="2024-12-17T00:00:00"/>
    <d v="2024-12-18T00:00:00"/>
    <d v="2024-12-17T00:00:00"/>
    <d v="2024-12-18T00:00:00"/>
    <n v="1"/>
    <d v="2024-12-18T00:00:00"/>
    <n v="1"/>
    <x v="1"/>
    <x v="0"/>
    <x v="2"/>
    <x v="8"/>
    <s v="Munich"/>
    <s v="Education"/>
    <x v="3"/>
    <x v="9"/>
    <x v="3"/>
    <x v="451"/>
    <n v="346.82"/>
    <n v="701.95"/>
    <n v="701.95"/>
    <n v="0.14699999999999999"/>
    <n v="8"/>
    <n v="4790.1068000000005"/>
    <n v="2774.56"/>
    <n v="2015.5468000000005"/>
    <n v="0.42077283120284509"/>
    <x v="23"/>
    <x v="7"/>
    <s v="Europe →Germany →Munich"/>
    <s v="Low"/>
    <x v="11"/>
    <x v="1"/>
  </r>
  <r>
    <s v="ORD-2024-930679"/>
    <d v="2024-12-17T00:00:00"/>
    <d v="2025-01-16T00:00:00"/>
    <d v="2024-12-17T00:00:00"/>
    <d v="2025-01-16T00:00:00"/>
    <n v="30"/>
    <d v="2025-01-16T00:00:00"/>
    <n v="30"/>
    <x v="0"/>
    <x v="0"/>
    <x v="2"/>
    <x v="6"/>
    <s v="Manchester"/>
    <s v="Corporate"/>
    <x v="3"/>
    <x v="2"/>
    <x v="5"/>
    <x v="452"/>
    <n v="722.87"/>
    <n v="-33.659999999999997"/>
    <n v="33.659999999999997"/>
    <n v="0.10199999999999999"/>
    <n v="28"/>
    <n v="846.34703999999988"/>
    <n v="20240.36"/>
    <n v="-19394.01296"/>
    <n v="-22.914965189693348"/>
    <x v="23"/>
    <x v="7"/>
    <s v="Europe →United Kingdom →Manchester"/>
    <s v="Low"/>
    <x v="11"/>
    <x v="1"/>
  </r>
  <r>
    <s v="ORD-2024-390951"/>
    <d v="2024-12-20T00:00:00"/>
    <d v="2025-01-14T00:00:00"/>
    <d v="2024-12-20T00:00:00"/>
    <d v="2025-01-14T00:00:00"/>
    <n v="25"/>
    <d v="2025-01-14T00:00:00"/>
    <n v="25"/>
    <x v="0"/>
    <x v="0"/>
    <x v="3"/>
    <x v="9"/>
    <s v="Delhi"/>
    <s v="Small Business"/>
    <x v="3"/>
    <x v="3"/>
    <x v="1"/>
    <x v="453"/>
    <n v="1361.34"/>
    <n v="1737.9"/>
    <n v="1737.9"/>
    <n v="7.6999999999999999E-2"/>
    <n v="14"/>
    <n v="22457.143800000002"/>
    <n v="19058.759999999998"/>
    <n v="3398.3838000000032"/>
    <n v="0.15132751654731813"/>
    <x v="23"/>
    <x v="7"/>
    <s v="Asia →India →Delhi"/>
    <s v="High"/>
    <x v="11"/>
    <x v="1"/>
  </r>
  <r>
    <s v="ORD-2024-164288"/>
    <d v="2024-12-21T00:00:00"/>
    <d v="2024-12-26T00:00:00"/>
    <d v="2024-12-21T00:00:00"/>
    <d v="2024-12-26T00:00:00"/>
    <n v="5"/>
    <d v="2024-12-26T00:00:00"/>
    <n v="5"/>
    <x v="1"/>
    <x v="0"/>
    <x v="0"/>
    <x v="4"/>
    <s v="San Francisco"/>
    <s v="Consumer"/>
    <x v="4"/>
    <x v="3"/>
    <x v="1"/>
    <x v="454"/>
    <n v="699.57"/>
    <n v="572.71"/>
    <n v="572.71"/>
    <n v="0.192"/>
    <n v="26"/>
    <n v="12031.491680000001"/>
    <n v="18188.82"/>
    <n v="-6157.3283199999987"/>
    <n v="-0.51176765805651114"/>
    <x v="23"/>
    <x v="7"/>
    <s v="Americas →USA →San Francisco"/>
    <s v="Low"/>
    <x v="11"/>
    <x v="1"/>
  </r>
  <r>
    <s v="ORD-2024-902741"/>
    <d v="2024-12-23T00:00:00"/>
    <d v="2025-01-11T00:00:00"/>
    <d v="2024-12-23T00:00:00"/>
    <d v="2025-01-11T00:00:00"/>
    <n v="19"/>
    <d v="2025-01-11T00:00:00"/>
    <n v="19"/>
    <x v="0"/>
    <x v="0"/>
    <x v="2"/>
    <x v="8"/>
    <s v="Berlin"/>
    <s v="Education"/>
    <x v="3"/>
    <x v="10"/>
    <x v="2"/>
    <x v="455"/>
    <n v="501.81"/>
    <n v="921.62"/>
    <n v="921.62"/>
    <n v="0.01"/>
    <n v="9"/>
    <n v="8211.6342000000004"/>
    <n v="4516.29"/>
    <n v="3695.3442000000005"/>
    <n v="0.45001325071202031"/>
    <x v="23"/>
    <x v="7"/>
    <s v="Europe →Germany →Berlin"/>
    <s v="Medium"/>
    <x v="11"/>
    <x v="1"/>
  </r>
  <r>
    <s v="ORD-2024-972318"/>
    <d v="2024-12-24T00:00:00"/>
    <d v="2025-01-13T00:00:00"/>
    <d v="2024-12-24T00:00:00"/>
    <d v="2025-01-13T00:00:00"/>
    <n v="20"/>
    <d v="2025-01-13T00:00:00"/>
    <n v="20"/>
    <x v="0"/>
    <x v="0"/>
    <x v="3"/>
    <x v="9"/>
    <s v="Bengaluru"/>
    <s v="Corporate"/>
    <x v="4"/>
    <x v="2"/>
    <x v="4"/>
    <x v="456"/>
    <n v="126.15"/>
    <n v="284.23"/>
    <n v="284.23"/>
    <n v="0.113"/>
    <n v="22"/>
    <n v="5546.4642200000008"/>
    <n v="2775.3"/>
    <n v="2771.1642200000006"/>
    <n v="0.49962716968541088"/>
    <x v="23"/>
    <x v="7"/>
    <s v="Asia →India →Bengaluru"/>
    <s v="Low"/>
    <x v="11"/>
    <x v="1"/>
  </r>
  <r>
    <s v="ORD-2024-336584"/>
    <d v="2024-12-27T00:00:00"/>
    <d v="2025-01-14T00:00:00"/>
    <d v="2024-12-27T00:00:00"/>
    <d v="2025-01-14T00:00:00"/>
    <n v="18"/>
    <d v="2025-01-14T00:00:00"/>
    <n v="18"/>
    <x v="0"/>
    <x v="0"/>
    <x v="3"/>
    <x v="9"/>
    <s v="Bengaluru"/>
    <s v="Small Business"/>
    <x v="4"/>
    <x v="14"/>
    <x v="5"/>
    <x v="457"/>
    <n v="586.07000000000005"/>
    <n v="845.97"/>
    <n v="845.97"/>
    <n v="0.14699999999999999"/>
    <n v="4"/>
    <n v="2886.4496399999998"/>
    <n v="2344.2800000000002"/>
    <n v="542.16963999999962"/>
    <n v="0.18783270370862928"/>
    <x v="23"/>
    <x v="7"/>
    <s v="Asia →India →Bengaluru"/>
    <s v="Medium"/>
    <x v="11"/>
    <x v="1"/>
  </r>
  <r>
    <s v="ORD-2024-170313"/>
    <d v="2024-12-27T00:00:00"/>
    <d v="2025-01-15T00:00:00"/>
    <d v="2024-12-27T00:00:00"/>
    <d v="2025-01-15T00:00:00"/>
    <n v="19"/>
    <d v="2025-01-15T00:00:00"/>
    <n v="19"/>
    <x v="0"/>
    <x v="0"/>
    <x v="3"/>
    <x v="9"/>
    <s v="Delhi"/>
    <s v="Non-Profit"/>
    <x v="0"/>
    <x v="6"/>
    <x v="6"/>
    <x v="458"/>
    <n v="495.59"/>
    <n v="631.78"/>
    <n v="631.78"/>
    <n v="8.6999999999999994E-2"/>
    <n v="17"/>
    <n v="9805.8573800000013"/>
    <n v="8425.0299999999988"/>
    <n v="1380.8273800000024"/>
    <n v="0.14081658813601899"/>
    <x v="23"/>
    <x v="7"/>
    <s v="Asia →India →Delhi"/>
    <s v="Low"/>
    <x v="11"/>
    <x v="1"/>
  </r>
  <r>
    <s v="ORD-2024-474999"/>
    <d v="2024-12-27T00:00:00"/>
    <d v="2025-01-02T00:00:00"/>
    <d v="2024-12-27T00:00:00"/>
    <d v="2025-01-02T00:00:00"/>
    <n v="6"/>
    <d v="2025-01-02T00:00:00"/>
    <n v="6"/>
    <x v="1"/>
    <x v="0"/>
    <x v="2"/>
    <x v="8"/>
    <s v="Frankfurt"/>
    <s v="Education"/>
    <x v="2"/>
    <x v="7"/>
    <x v="0"/>
    <x v="459"/>
    <n v="1391.99"/>
    <n v="3469.7"/>
    <n v="3469.7"/>
    <n v="0.184"/>
    <n v="23"/>
    <n v="65119.329599999997"/>
    <n v="32015.77"/>
    <n v="33103.559599999993"/>
    <n v="0.50835227886006973"/>
    <x v="23"/>
    <x v="7"/>
    <s v="Europe →Germany →Frankfurt"/>
    <s v="High"/>
    <x v="11"/>
    <x v="1"/>
  </r>
  <r>
    <s v="ORD-2024-257550"/>
    <d v="2024-12-27T00:00:00"/>
    <d v="2024-12-29T00:00:00"/>
    <d v="2024-12-27T00:00:00"/>
    <d v="2024-12-29T00:00:00"/>
    <n v="2"/>
    <d v="2024-12-29T00:00:00"/>
    <n v="2"/>
    <x v="1"/>
    <x v="0"/>
    <x v="0"/>
    <x v="0"/>
    <s v="Vancouver"/>
    <s v="Enterprise"/>
    <x v="4"/>
    <x v="11"/>
    <x v="3"/>
    <x v="460"/>
    <n v="1146.72"/>
    <n v="2074.34"/>
    <n v="2074.34"/>
    <n v="0.111"/>
    <n v="8"/>
    <n v="14752.706080000002"/>
    <n v="9173.76"/>
    <n v="5578.9460800000015"/>
    <n v="0.37816425337472737"/>
    <x v="23"/>
    <x v="7"/>
    <s v="Americas →Canada →Vancouver"/>
    <s v="High"/>
    <x v="11"/>
    <x v="1"/>
  </r>
  <r>
    <s v="ORD-2024-651852"/>
    <d v="2024-12-28T00:00:00"/>
    <d v="2025-01-08T00:00:00"/>
    <d v="2024-12-28T00:00:00"/>
    <d v="2025-01-08T00:00:00"/>
    <n v="11"/>
    <d v="2025-01-08T00:00:00"/>
    <n v="11"/>
    <x v="0"/>
    <x v="0"/>
    <x v="3"/>
    <x v="3"/>
    <s v="Shenzhen"/>
    <s v="Enterprise"/>
    <x v="1"/>
    <x v="10"/>
    <x v="0"/>
    <x v="461"/>
    <n v="1201.31"/>
    <n v="2764.65"/>
    <n v="2764.65"/>
    <n v="0"/>
    <n v="21"/>
    <n v="58057.65"/>
    <n v="25227.51"/>
    <n v="32830.14"/>
    <n v="0.56547483406579491"/>
    <x v="23"/>
    <x v="7"/>
    <s v="Asia →China →Shenzhen"/>
    <s v="High"/>
    <x v="11"/>
    <x v="1"/>
  </r>
  <r>
    <s v="ORD-2024-165942"/>
    <d v="2024-12-29T00:00:00"/>
    <d v="2025-01-12T00:00:00"/>
    <d v="2024-12-29T00:00:00"/>
    <d v="2025-01-12T00:00:00"/>
    <n v="14"/>
    <d v="2025-01-12T00:00:00"/>
    <n v="14"/>
    <x v="0"/>
    <x v="0"/>
    <x v="2"/>
    <x v="6"/>
    <s v="Manchester"/>
    <s v="Corporate"/>
    <x v="2"/>
    <x v="0"/>
    <x v="5"/>
    <x v="462"/>
    <n v="1399.72"/>
    <n v="3149.21"/>
    <n v="3149.21"/>
    <n v="0.185"/>
    <n v="12"/>
    <n v="30799.273800000003"/>
    <n v="16796.64"/>
    <n v="14002.633800000003"/>
    <n v="0.45464168703873797"/>
    <x v="23"/>
    <x v="7"/>
    <s v="Europe →United Kingdom →Manchester"/>
    <s v="High"/>
    <x v="11"/>
    <x v="1"/>
  </r>
  <r>
    <s v="ORD-2025-515515"/>
    <d v="2025-01-03T00:00:00"/>
    <d v="2025-01-23T00:00:00"/>
    <d v="2025-01-03T00:00:00"/>
    <d v="2025-01-23T00:00:00"/>
    <n v="20"/>
    <d v="2025-01-23T00:00:00"/>
    <n v="20"/>
    <x v="0"/>
    <x v="1"/>
    <x v="3"/>
    <x v="11"/>
    <s v="Osaka"/>
    <s v="Corporate"/>
    <x v="0"/>
    <x v="7"/>
    <x v="2"/>
    <x v="463"/>
    <n v="908.6"/>
    <n v="691.37"/>
    <n v="691.37"/>
    <n v="0.25"/>
    <n v="20"/>
    <n v="10370.549999999999"/>
    <n v="18172"/>
    <n v="-7801.4500000000007"/>
    <n v="-0.75226964818645115"/>
    <x v="24"/>
    <x v="8"/>
    <s v="Asia →Japan →Osaka"/>
    <s v="Low"/>
    <x v="0"/>
    <x v="2"/>
  </r>
  <r>
    <s v="ORD-2025-137394"/>
    <d v="2025-01-04T00:00:00"/>
    <d v="2025-01-05T00:00:00"/>
    <d v="2025-01-04T00:00:00"/>
    <d v="2025-01-05T00:00:00"/>
    <n v="1"/>
    <d v="2025-01-05T00:00:00"/>
    <n v="1"/>
    <x v="1"/>
    <x v="0"/>
    <x v="3"/>
    <x v="9"/>
    <s v="Delhi"/>
    <s v="Education"/>
    <x v="3"/>
    <x v="12"/>
    <x v="6"/>
    <x v="464"/>
    <n v="1428.33"/>
    <n v="3028.05"/>
    <n v="3028.05"/>
    <n v="0"/>
    <n v="11"/>
    <n v="33308.550000000003"/>
    <n v="15711.63"/>
    <n v="17596.920000000006"/>
    <n v="0.52830039134096207"/>
    <x v="24"/>
    <x v="8"/>
    <s v="Asia →India →Delhi"/>
    <s v="High"/>
    <x v="0"/>
    <x v="2"/>
  </r>
  <r>
    <s v="ORD-2025-636162"/>
    <d v="2025-01-07T00:00:00"/>
    <d v="2025-01-20T00:00:00"/>
    <d v="2025-01-07T00:00:00"/>
    <d v="2025-01-20T00:00:00"/>
    <n v="13"/>
    <d v="2025-01-20T00:00:00"/>
    <n v="13"/>
    <x v="0"/>
    <x v="0"/>
    <x v="1"/>
    <x v="1"/>
    <s v="Cape Town"/>
    <s v="Corporate"/>
    <x v="2"/>
    <x v="10"/>
    <x v="4"/>
    <x v="465"/>
    <n v="432.13"/>
    <n v="1034.6600000000001"/>
    <n v="1034.6600000000001"/>
    <n v="9.1999999999999998E-2"/>
    <n v="7"/>
    <n v="6576.298960000001"/>
    <n v="3024.91"/>
    <n v="3551.3889600000011"/>
    <n v="0.54002851476204794"/>
    <x v="24"/>
    <x v="8"/>
    <s v="Africa →South Africa →Cape Town"/>
    <s v="Medium"/>
    <x v="0"/>
    <x v="2"/>
  </r>
  <r>
    <s v="ORD-2025-354346"/>
    <d v="2025-01-09T00:00:00"/>
    <d v="2025-01-15T00:00:00"/>
    <d v="2025-01-09T00:00:00"/>
    <d v="2025-01-15T00:00:00"/>
    <n v="6"/>
    <d v="2025-01-15T00:00:00"/>
    <n v="6"/>
    <x v="1"/>
    <x v="0"/>
    <x v="3"/>
    <x v="3"/>
    <s v="Beijing"/>
    <s v="Education"/>
    <x v="1"/>
    <x v="11"/>
    <x v="2"/>
    <x v="466"/>
    <n v="304.77999999999997"/>
    <n v="537.27"/>
    <n v="537.27"/>
    <n v="0.187"/>
    <n v="8"/>
    <n v="3494.4040799999998"/>
    <n v="2438.2399999999998"/>
    <n v="1056.16408"/>
    <n v="0.3022444044307549"/>
    <x v="24"/>
    <x v="8"/>
    <s v="Asia →China →Beijing"/>
    <s v="Low"/>
    <x v="0"/>
    <x v="2"/>
  </r>
  <r>
    <s v="ORD-2025-149156"/>
    <d v="2025-01-10T00:00:00"/>
    <d v="2025-02-06T00:00:00"/>
    <d v="2025-01-10T00:00:00"/>
    <d v="2025-02-06T00:00:00"/>
    <n v="27"/>
    <d v="2025-02-06T00:00:00"/>
    <n v="27"/>
    <x v="0"/>
    <x v="0"/>
    <x v="0"/>
    <x v="10"/>
    <s v="Brasília"/>
    <s v="Non-Profit"/>
    <x v="3"/>
    <x v="0"/>
    <x v="0"/>
    <x v="467"/>
    <n v="725.62"/>
    <n v="1559.19"/>
    <n v="1559.19"/>
    <n v="0.19"/>
    <n v="12"/>
    <n v="15155.326800000001"/>
    <n v="8707.44"/>
    <n v="6447.8868000000002"/>
    <n v="0.42545349797405885"/>
    <x v="24"/>
    <x v="8"/>
    <s v="Americas →Brazil →Brasília"/>
    <s v="Medium"/>
    <x v="0"/>
    <x v="2"/>
  </r>
  <r>
    <s v="ORD-2025-653781"/>
    <d v="2025-01-11T00:00:00"/>
    <d v="2025-01-23T00:00:00"/>
    <d v="2025-01-11T00:00:00"/>
    <d v="2025-01-23T00:00:00"/>
    <n v="12"/>
    <d v="2025-01-23T00:00:00"/>
    <n v="12"/>
    <x v="0"/>
    <x v="0"/>
    <x v="0"/>
    <x v="4"/>
    <s v="Austin"/>
    <s v="Consumer"/>
    <x v="0"/>
    <x v="4"/>
    <x v="2"/>
    <x v="468"/>
    <n v="100.69"/>
    <n v="226.14"/>
    <n v="226.14"/>
    <n v="6.5000000000000002E-2"/>
    <n v="12"/>
    <n v="2537.2908000000002"/>
    <n v="1208.28"/>
    <n v="1329.0108000000002"/>
    <n v="0.52379128162999689"/>
    <x v="24"/>
    <x v="8"/>
    <s v="Americas →USA →Austin"/>
    <s v="Low"/>
    <x v="0"/>
    <x v="2"/>
  </r>
  <r>
    <s v="ORD-2025-542939"/>
    <d v="2025-01-13T00:00:00"/>
    <d v="2025-02-08T00:00:00"/>
    <d v="2025-01-13T00:00:00"/>
    <d v="2025-02-08T00:00:00"/>
    <n v="26"/>
    <d v="2025-02-08T00:00:00"/>
    <n v="26"/>
    <x v="0"/>
    <x v="1"/>
    <x v="2"/>
    <x v="2"/>
    <s v="Paris"/>
    <s v="Non-Profit"/>
    <x v="5"/>
    <x v="14"/>
    <x v="5"/>
    <x v="469"/>
    <n v="594.74"/>
    <n v="1020.69"/>
    <n v="1020.69"/>
    <n v="0.21099999999999999"/>
    <n v="6"/>
    <n v="4831.9464600000001"/>
    <n v="3568.44"/>
    <n v="1263.5064600000001"/>
    <n v="0.26149016146176424"/>
    <x v="24"/>
    <x v="8"/>
    <s v="Europe →France →Paris"/>
    <s v="Medium"/>
    <x v="0"/>
    <x v="2"/>
  </r>
  <r>
    <s v="ORD-2025-649239"/>
    <d v="2025-01-17T00:00:00"/>
    <d v="2025-01-24T00:00:00"/>
    <d v="2025-01-17T00:00:00"/>
    <d v="2025-01-24T00:00:00"/>
    <n v="7"/>
    <d v="2025-01-24T00:00:00"/>
    <n v="7"/>
    <x v="1"/>
    <x v="0"/>
    <x v="0"/>
    <x v="4"/>
    <s v="Austin"/>
    <s v="Enterprise"/>
    <x v="1"/>
    <x v="6"/>
    <x v="3"/>
    <x v="470"/>
    <n v="142.09"/>
    <n v="218.5"/>
    <n v="218.5"/>
    <n v="0.11899999999999999"/>
    <n v="11"/>
    <n v="2117.4834999999998"/>
    <n v="1562.99"/>
    <n v="554.49349999999981"/>
    <n v="0.26186437816398561"/>
    <x v="24"/>
    <x v="8"/>
    <s v="Americas →USA →Austin"/>
    <s v="Low"/>
    <x v="0"/>
    <x v="2"/>
  </r>
  <r>
    <s v="ORD-2025-909340"/>
    <d v="2025-01-20T00:00:00"/>
    <d v="2025-02-03T00:00:00"/>
    <d v="2025-01-20T00:00:00"/>
    <d v="2025-02-03T00:00:00"/>
    <n v="14"/>
    <d v="2025-02-03T00:00:00"/>
    <n v="14"/>
    <x v="0"/>
    <x v="0"/>
    <x v="0"/>
    <x v="10"/>
    <s v="Brasília"/>
    <s v="Enterprise"/>
    <x v="4"/>
    <x v="7"/>
    <x v="6"/>
    <x v="471"/>
    <n v="974.11"/>
    <n v="880.99"/>
    <n v="880.99"/>
    <n v="0.111"/>
    <n v="10"/>
    <n v="7832.0010999999995"/>
    <n v="9741.1"/>
    <n v="-1909.0989000000009"/>
    <n v="-0.2437562093805121"/>
    <x v="24"/>
    <x v="8"/>
    <s v="Americas →Brazil →Brasília"/>
    <s v="Medium"/>
    <x v="0"/>
    <x v="2"/>
  </r>
  <r>
    <s v="ORD-2025-578007"/>
    <d v="2025-01-21T00:00:00"/>
    <d v="2025-02-16T00:00:00"/>
    <d v="2025-01-21T00:00:00"/>
    <d v="2025-02-16T00:00:00"/>
    <n v="26"/>
    <d v="2025-02-16T00:00:00"/>
    <n v="26"/>
    <x v="0"/>
    <x v="0"/>
    <x v="2"/>
    <x v="2"/>
    <s v="Lyon"/>
    <s v="Corporate"/>
    <x v="0"/>
    <x v="5"/>
    <x v="0"/>
    <x v="472"/>
    <n v="204.11"/>
    <n v="236.87"/>
    <n v="236.87"/>
    <n v="0.182"/>
    <n v="13"/>
    <n v="2518.8755800000004"/>
    <n v="2653.4300000000003"/>
    <n v="-134.55441999999994"/>
    <n v="-5.3418446337075494E-2"/>
    <x v="24"/>
    <x v="8"/>
    <s v="Europe →France →Lyon"/>
    <s v="Low"/>
    <x v="0"/>
    <x v="2"/>
  </r>
  <r>
    <s v="ORD-2025-146850"/>
    <d v="2025-01-21T00:00:00"/>
    <d v="2025-02-14T00:00:00"/>
    <d v="2025-01-21T00:00:00"/>
    <d v="2025-02-14T00:00:00"/>
    <n v="24"/>
    <d v="2025-02-14T00:00:00"/>
    <n v="24"/>
    <x v="0"/>
    <x v="0"/>
    <x v="1"/>
    <x v="7"/>
    <s v="Nairobi"/>
    <s v="Small Business"/>
    <x v="3"/>
    <x v="13"/>
    <x v="3"/>
    <x v="473"/>
    <n v="1030.44"/>
    <n v="2562.84"/>
    <n v="2562.84"/>
    <n v="0.14799999999999999"/>
    <n v="13"/>
    <n v="28386.015839999996"/>
    <n v="13395.720000000001"/>
    <n v="14990.295839999995"/>
    <n v="0.52808734852027039"/>
    <x v="24"/>
    <x v="8"/>
    <s v="Africa →Kenya →Nairobi"/>
    <s v="High"/>
    <x v="0"/>
    <x v="2"/>
  </r>
  <r>
    <s v="ORD-2025-939953"/>
    <d v="2025-01-22T00:00:00"/>
    <d v="2025-01-22T00:00:00"/>
    <d v="2025-01-22T00:00:00"/>
    <d v="2025-01-22T00:00:00"/>
    <n v="0"/>
    <d v="2025-01-22T00:00:00"/>
    <n v="0"/>
    <x v="1"/>
    <x v="0"/>
    <x v="2"/>
    <x v="2"/>
    <s v="Lyon"/>
    <s v="Small Business"/>
    <x v="1"/>
    <x v="0"/>
    <x v="3"/>
    <x v="474"/>
    <n v="591.72"/>
    <n v="577.24"/>
    <n v="577.24"/>
    <n v="0"/>
    <n v="22"/>
    <n v="12699.28"/>
    <n v="13017.84"/>
    <n v="-318.55999999999949"/>
    <n v="-2.5084886702238195E-2"/>
    <x v="24"/>
    <x v="8"/>
    <s v="Europe →France →Lyon"/>
    <s v="Low"/>
    <x v="0"/>
    <x v="2"/>
  </r>
  <r>
    <s v="ORD-2025-415018"/>
    <d v="2025-01-22T00:00:00"/>
    <d v="2025-02-04T00:00:00"/>
    <d v="2025-01-22T00:00:00"/>
    <d v="2025-02-04T00:00:00"/>
    <n v="13"/>
    <d v="2025-02-04T00:00:00"/>
    <n v="13"/>
    <x v="0"/>
    <x v="0"/>
    <x v="3"/>
    <x v="11"/>
    <s v="Tokyo"/>
    <s v="Small Business"/>
    <x v="0"/>
    <x v="9"/>
    <x v="1"/>
    <x v="475"/>
    <n v="122.29"/>
    <n v="224.95"/>
    <n v="224.95"/>
    <n v="0.153"/>
    <n v="28"/>
    <n v="5334.9141999999993"/>
    <n v="3424.1200000000003"/>
    <n v="1910.7941999999989"/>
    <n v="0.3581677471026618"/>
    <x v="24"/>
    <x v="8"/>
    <s v="Asia →Japan →Tokyo"/>
    <s v="Low"/>
    <x v="0"/>
    <x v="2"/>
  </r>
  <r>
    <s v="ORD-2025-328504"/>
    <d v="2025-01-27T00:00:00"/>
    <d v="2025-02-15T00:00:00"/>
    <d v="2025-01-27T00:00:00"/>
    <d v="2025-02-15T00:00:00"/>
    <n v="19"/>
    <d v="2025-02-15T00:00:00"/>
    <n v="19"/>
    <x v="0"/>
    <x v="0"/>
    <x v="3"/>
    <x v="3"/>
    <s v="Shenzhen"/>
    <s v="Non-Profit"/>
    <x v="2"/>
    <x v="9"/>
    <x v="2"/>
    <x v="476"/>
    <n v="1253.22"/>
    <n v="3104.71"/>
    <n v="3104.71"/>
    <n v="0"/>
    <n v="17"/>
    <n v="52780.07"/>
    <n v="21304.74"/>
    <n v="31475.329999999998"/>
    <n v="0.59634877331538205"/>
    <x v="24"/>
    <x v="8"/>
    <s v="Asia →China →Shenzhen"/>
    <s v="High"/>
    <x v="0"/>
    <x v="2"/>
  </r>
  <r>
    <s v="ORD-2025-564184"/>
    <d v="2025-01-29T00:00:00"/>
    <d v="2025-02-06T00:00:00"/>
    <d v="2025-01-29T00:00:00"/>
    <d v="2025-02-06T00:00:00"/>
    <n v="8"/>
    <d v="2025-02-06T00:00:00"/>
    <n v="8"/>
    <x v="0"/>
    <x v="0"/>
    <x v="1"/>
    <x v="7"/>
    <s v="Kisumu"/>
    <s v="Education"/>
    <x v="3"/>
    <x v="0"/>
    <x v="2"/>
    <x v="477"/>
    <n v="1445.27"/>
    <n v="2691.45"/>
    <n v="2691.45"/>
    <n v="0"/>
    <n v="9"/>
    <n v="24223.05"/>
    <n v="13007.43"/>
    <n v="11215.619999999999"/>
    <n v="0.46301436028906351"/>
    <x v="24"/>
    <x v="8"/>
    <s v="Africa →Kenya →Kisumu"/>
    <s v="High"/>
    <x v="0"/>
    <x v="2"/>
  </r>
  <r>
    <s v="ORD-2025-192876"/>
    <d v="2025-01-31T00:00:00"/>
    <d v="2025-02-17T00:00:00"/>
    <d v="2025-01-31T00:00:00"/>
    <d v="2025-02-17T00:00:00"/>
    <n v="17"/>
    <d v="2025-02-17T00:00:00"/>
    <n v="17"/>
    <x v="0"/>
    <x v="0"/>
    <x v="2"/>
    <x v="6"/>
    <s v="London"/>
    <s v="Enterprise"/>
    <x v="3"/>
    <x v="4"/>
    <x v="6"/>
    <x v="104"/>
    <n v="378.26"/>
    <n v="541.55999999999995"/>
    <n v="541.55999999999995"/>
    <n v="0.16300000000000001"/>
    <n v="25"/>
    <n v="11332.142999999998"/>
    <n v="9456.5"/>
    <n v="1875.6429999999982"/>
    <n v="0.16551529573885526"/>
    <x v="24"/>
    <x v="8"/>
    <s v="Europe →United Kingdom →London"/>
    <s v="Low"/>
    <x v="0"/>
    <x v="2"/>
  </r>
  <r>
    <s v="ORD-2025-898843"/>
    <d v="2025-02-02T00:00:00"/>
    <d v="2025-03-04T00:00:00"/>
    <d v="2025-02-02T00:00:00"/>
    <d v="2025-03-04T00:00:00"/>
    <n v="30"/>
    <d v="2025-03-04T00:00:00"/>
    <n v="30"/>
    <x v="0"/>
    <x v="0"/>
    <x v="3"/>
    <x v="11"/>
    <s v="Osaka"/>
    <s v="Education"/>
    <x v="0"/>
    <x v="9"/>
    <x v="3"/>
    <x v="478"/>
    <n v="766.59"/>
    <n v="1912.8"/>
    <n v="1912.8"/>
    <n v="0.19600000000000001"/>
    <n v="5"/>
    <n v="7689.4560000000001"/>
    <n v="3832.9500000000003"/>
    <n v="3856.5059999999999"/>
    <n v="0.50153170783472845"/>
    <x v="25"/>
    <x v="8"/>
    <s v="Asia →Japan →Osaka"/>
    <s v="High"/>
    <x v="1"/>
    <x v="2"/>
  </r>
  <r>
    <s v="ORD-2025-964661"/>
    <d v="2025-02-04T00:00:00"/>
    <d v="2025-02-25T00:00:00"/>
    <d v="2025-02-04T00:00:00"/>
    <d v="2025-02-25T00:00:00"/>
    <n v="21"/>
    <d v="2025-02-25T00:00:00"/>
    <n v="21"/>
    <x v="0"/>
    <x v="0"/>
    <x v="2"/>
    <x v="6"/>
    <s v="Birmingham"/>
    <s v="Corporate"/>
    <x v="4"/>
    <x v="2"/>
    <x v="5"/>
    <x v="479"/>
    <n v="1016.32"/>
    <n v="2253.42"/>
    <n v="2253.42"/>
    <n v="5.5E-2"/>
    <n v="12"/>
    <n v="25553.782800000001"/>
    <n v="12195.84"/>
    <n v="13357.942800000001"/>
    <n v="0.52273837124419797"/>
    <x v="25"/>
    <x v="8"/>
    <s v="Europe →United Kingdom →Birmingham"/>
    <s v="High"/>
    <x v="1"/>
    <x v="2"/>
  </r>
  <r>
    <s v="ORD-2025-659650"/>
    <d v="2025-02-04T00:00:00"/>
    <d v="2025-02-08T00:00:00"/>
    <d v="2025-02-04T00:00:00"/>
    <d v="2025-02-08T00:00:00"/>
    <n v="4"/>
    <d v="2025-02-08T00:00:00"/>
    <n v="4"/>
    <x v="1"/>
    <x v="0"/>
    <x v="2"/>
    <x v="6"/>
    <s v="Manchester"/>
    <s v="Enterprise"/>
    <x v="4"/>
    <x v="9"/>
    <x v="4"/>
    <x v="480"/>
    <n v="586.21"/>
    <n v="727.22"/>
    <n v="727.22"/>
    <n v="6.8000000000000005E-2"/>
    <n v="15"/>
    <n v="10166.535600000001"/>
    <n v="8793.1500000000015"/>
    <n v="1373.3855999999996"/>
    <n v="0.13508884973559721"/>
    <x v="25"/>
    <x v="8"/>
    <s v="Europe →United Kingdom →Manchester"/>
    <s v="Low"/>
    <x v="1"/>
    <x v="2"/>
  </r>
  <r>
    <s v="ORD-2025-915869"/>
    <d v="2025-02-06T00:00:00"/>
    <d v="2025-02-15T00:00:00"/>
    <d v="2025-02-06T00:00:00"/>
    <d v="2025-02-15T00:00:00"/>
    <n v="9"/>
    <d v="2025-02-15T00:00:00"/>
    <n v="9"/>
    <x v="0"/>
    <x v="0"/>
    <x v="0"/>
    <x v="10"/>
    <s v="São Paulo"/>
    <s v="Non-Profit"/>
    <x v="0"/>
    <x v="7"/>
    <x v="4"/>
    <x v="481"/>
    <n v="837.39"/>
    <n v="1905.42"/>
    <n v="1905.42"/>
    <n v="3.2000000000000001E-2"/>
    <n v="18"/>
    <n v="33200.038079999998"/>
    <n v="15073.02"/>
    <n v="18127.018079999998"/>
    <n v="0.54599389423350919"/>
    <x v="25"/>
    <x v="8"/>
    <s v="Americas →Brazil →São Paulo"/>
    <s v="High"/>
    <x v="1"/>
    <x v="2"/>
  </r>
  <r>
    <s v="ORD-2025-460466"/>
    <d v="2025-02-07T00:00:00"/>
    <d v="2025-02-16T00:00:00"/>
    <d v="2025-02-07T00:00:00"/>
    <d v="2025-02-16T00:00:00"/>
    <n v="9"/>
    <d v="2025-02-16T00:00:00"/>
    <n v="9"/>
    <x v="0"/>
    <x v="0"/>
    <x v="1"/>
    <x v="5"/>
    <s v="Lagos"/>
    <s v="Small Business"/>
    <x v="0"/>
    <x v="11"/>
    <x v="1"/>
    <x v="482"/>
    <n v="90.68"/>
    <n v="118.17"/>
    <n v="118.17"/>
    <n v="0.13500000000000001"/>
    <n v="21"/>
    <n v="2146.5580500000001"/>
    <n v="1904.2800000000002"/>
    <n v="242.27804999999989"/>
    <n v="0.11286815653552899"/>
    <x v="25"/>
    <x v="8"/>
    <s v="Africa →Nigeria →Lagos"/>
    <s v="Low"/>
    <x v="1"/>
    <x v="2"/>
  </r>
  <r>
    <s v="ORD-2025-931538"/>
    <d v="2025-02-09T00:00:00"/>
    <d v="2025-03-01T00:00:00"/>
    <d v="2025-02-09T00:00:00"/>
    <d v="2025-03-01T00:00:00"/>
    <n v="20"/>
    <d v="2025-03-01T00:00:00"/>
    <n v="20"/>
    <x v="0"/>
    <x v="0"/>
    <x v="0"/>
    <x v="10"/>
    <s v="São Paulo"/>
    <s v="Corporate"/>
    <x v="0"/>
    <x v="0"/>
    <x v="0"/>
    <x v="483"/>
    <n v="1154.6400000000001"/>
    <n v="2794.13"/>
    <n v="2794.13"/>
    <n v="3.5000000000000003E-2"/>
    <n v="11"/>
    <n v="29659.68995"/>
    <n v="12701.04"/>
    <n v="16958.649949999999"/>
    <n v="0.57177435025749479"/>
    <x v="25"/>
    <x v="8"/>
    <s v="Americas →Brazil →São Paulo"/>
    <s v="High"/>
    <x v="1"/>
    <x v="2"/>
  </r>
  <r>
    <s v="ORD-2025-650719"/>
    <d v="2025-02-12T00:00:00"/>
    <d v="2025-02-28T00:00:00"/>
    <d v="2025-02-12T00:00:00"/>
    <d v="2025-02-28T00:00:00"/>
    <n v="16"/>
    <d v="2025-02-28T00:00:00"/>
    <n v="16"/>
    <x v="0"/>
    <x v="0"/>
    <x v="0"/>
    <x v="10"/>
    <s v="São Paulo"/>
    <s v="Non-Profit"/>
    <x v="2"/>
    <x v="0"/>
    <x v="5"/>
    <x v="484"/>
    <n v="414.95"/>
    <n v="1027.73"/>
    <n v="1027.73"/>
    <n v="6.3E-2"/>
    <n v="8"/>
    <n v="7703.8640800000003"/>
    <n v="3319.6"/>
    <n v="4384.2640800000008"/>
    <n v="0.56909935513815568"/>
    <x v="25"/>
    <x v="8"/>
    <s v="Americas →Brazil →São Paulo"/>
    <s v="Medium"/>
    <x v="1"/>
    <x v="2"/>
  </r>
  <r>
    <s v="ORD-2025-766923"/>
    <d v="2025-02-15T00:00:00"/>
    <d v="2025-02-15T00:00:00"/>
    <d v="2025-02-15T00:00:00"/>
    <d v="2025-02-15T00:00:00"/>
    <n v="0"/>
    <d v="2025-02-15T00:00:00"/>
    <n v="0"/>
    <x v="1"/>
    <x v="0"/>
    <x v="2"/>
    <x v="8"/>
    <s v="Frankfurt"/>
    <s v="Small Business"/>
    <x v="4"/>
    <x v="9"/>
    <x v="3"/>
    <x v="485"/>
    <n v="815.83"/>
    <n v="1982.18"/>
    <n v="1982.18"/>
    <n v="0.127"/>
    <n v="6"/>
    <n v="10382.65884"/>
    <n v="4894.9800000000005"/>
    <n v="5487.6788399999996"/>
    <n v="0.52854272923408507"/>
    <x v="25"/>
    <x v="8"/>
    <s v="Europe →Germany →Frankfurt"/>
    <s v="High"/>
    <x v="1"/>
    <x v="2"/>
  </r>
  <r>
    <s v="ORD-2025-332931"/>
    <d v="2025-02-15T00:00:00"/>
    <d v="2025-03-01T00:00:00"/>
    <d v="2025-02-15T00:00:00"/>
    <d v="2025-03-01T00:00:00"/>
    <n v="14"/>
    <d v="2025-03-01T00:00:00"/>
    <n v="14"/>
    <x v="0"/>
    <x v="0"/>
    <x v="1"/>
    <x v="7"/>
    <s v="Mombasa"/>
    <s v="Education"/>
    <x v="2"/>
    <x v="9"/>
    <x v="3"/>
    <x v="486"/>
    <n v="1162.8599999999999"/>
    <n v="1447.68"/>
    <n v="1447.68"/>
    <n v="8.6999999999999994E-2"/>
    <n v="12"/>
    <n v="15860.782080000001"/>
    <n v="13954.32"/>
    <n v="1906.4620800000012"/>
    <n v="0.12019975247021369"/>
    <x v="25"/>
    <x v="8"/>
    <s v="Africa →Kenya →Mombasa"/>
    <s v="Medium"/>
    <x v="1"/>
    <x v="2"/>
  </r>
  <r>
    <s v="ORD-2025-281062"/>
    <d v="2025-02-15T00:00:00"/>
    <d v="2025-02-27T00:00:00"/>
    <d v="2025-02-15T00:00:00"/>
    <d v="2025-02-27T00:00:00"/>
    <n v="12"/>
    <d v="2025-02-27T00:00:00"/>
    <n v="12"/>
    <x v="0"/>
    <x v="0"/>
    <x v="2"/>
    <x v="2"/>
    <s v="Lyon"/>
    <s v="Non-Profit"/>
    <x v="2"/>
    <x v="10"/>
    <x v="3"/>
    <x v="487"/>
    <n v="1027.26"/>
    <n v="2200.41"/>
    <n v="2200.41"/>
    <n v="8.7999999999999995E-2"/>
    <n v="6"/>
    <n v="12040.64352"/>
    <n v="6163.5599999999995"/>
    <n v="5877.0835200000001"/>
    <n v="0.48810377204822358"/>
    <x v="25"/>
    <x v="8"/>
    <s v="Europe →France →Lyon"/>
    <s v="High"/>
    <x v="1"/>
    <x v="2"/>
  </r>
  <r>
    <s v="ORD-2025-337268"/>
    <d v="2025-02-16T00:00:00"/>
    <d v="2025-03-17T00:00:00"/>
    <d v="2025-02-16T00:00:00"/>
    <d v="2025-03-17T00:00:00"/>
    <n v="29"/>
    <d v="2025-03-17T00:00:00"/>
    <n v="29"/>
    <x v="0"/>
    <x v="0"/>
    <x v="2"/>
    <x v="8"/>
    <s v="Munich"/>
    <s v="Consumer"/>
    <x v="3"/>
    <x v="9"/>
    <x v="3"/>
    <x v="488"/>
    <n v="730.42"/>
    <n v="956.7"/>
    <n v="956.7"/>
    <n v="4.2000000000000003E-2"/>
    <n v="22"/>
    <n v="20163.409200000002"/>
    <n v="16069.24"/>
    <n v="4094.1692000000021"/>
    <n v="0.20304945256975698"/>
    <x v="25"/>
    <x v="8"/>
    <s v="Europe →Germany →Munich"/>
    <s v="Medium"/>
    <x v="1"/>
    <x v="2"/>
  </r>
  <r>
    <s v="ORD-2025-705398"/>
    <d v="2025-02-17T00:00:00"/>
    <d v="2025-02-15T00:00:00"/>
    <d v="2025-02-15T00:00:00"/>
    <d v="2025-02-17T00:00:00"/>
    <n v="2"/>
    <d v="2025-02-24T00:00:00"/>
    <n v="7"/>
    <x v="1"/>
    <x v="0"/>
    <x v="0"/>
    <x v="0"/>
    <s v="Toronto"/>
    <s v="Small Business"/>
    <x v="3"/>
    <x v="2"/>
    <x v="6"/>
    <x v="489"/>
    <n v="1133.47"/>
    <n v="1698.75"/>
    <n v="1698.75"/>
    <n v="4.2999999999999997E-2"/>
    <n v="5"/>
    <n v="8128.5187499999993"/>
    <n v="5667.35"/>
    <n v="2461.1687499999989"/>
    <n v="0.30278194904821976"/>
    <x v="25"/>
    <x v="8"/>
    <s v="Americas →Canada →Toronto"/>
    <s v="High"/>
    <x v="1"/>
    <x v="2"/>
  </r>
  <r>
    <s v="ORD-2025-484073"/>
    <d v="2025-02-19T00:00:00"/>
    <d v="2025-03-09T00:00:00"/>
    <d v="2025-02-19T00:00:00"/>
    <d v="2025-03-09T00:00:00"/>
    <n v="18"/>
    <d v="2025-03-09T00:00:00"/>
    <n v="18"/>
    <x v="0"/>
    <x v="0"/>
    <x v="3"/>
    <x v="9"/>
    <s v="Delhi"/>
    <s v="Small Business"/>
    <x v="2"/>
    <x v="5"/>
    <x v="5"/>
    <x v="490"/>
    <n v="325.87"/>
    <n v="538.79"/>
    <n v="538.79"/>
    <n v="0.17399999999999999"/>
    <n v="16"/>
    <n v="7120.6486400000003"/>
    <n v="5213.92"/>
    <n v="1906.7286400000003"/>
    <n v="0.26777457172778013"/>
    <x v="25"/>
    <x v="8"/>
    <s v="Asia →India →Delhi"/>
    <s v="Low"/>
    <x v="1"/>
    <x v="2"/>
  </r>
  <r>
    <s v="ORD-2025-881624"/>
    <d v="2025-02-21T00:00:00"/>
    <d v="2025-03-21T00:00:00"/>
    <d v="2025-02-21T00:00:00"/>
    <d v="2025-03-21T00:00:00"/>
    <n v="28"/>
    <d v="2025-03-21T00:00:00"/>
    <n v="28"/>
    <x v="0"/>
    <x v="0"/>
    <x v="1"/>
    <x v="5"/>
    <s v="Abuja"/>
    <s v="Enterprise"/>
    <x v="4"/>
    <x v="12"/>
    <x v="2"/>
    <x v="491"/>
    <n v="1437.39"/>
    <n v="1388.31"/>
    <n v="1388.31"/>
    <n v="0.13800000000000001"/>
    <n v="18"/>
    <n v="21541.017959999997"/>
    <n v="25873.02"/>
    <n v="-4332.002040000003"/>
    <n v="-0.20110479681341872"/>
    <x v="25"/>
    <x v="8"/>
    <s v="Africa →Nigeria →Abuja"/>
    <s v="Medium"/>
    <x v="1"/>
    <x v="2"/>
  </r>
  <r>
    <s v="ORD-2025-276968"/>
    <d v="2025-02-25T00:00:00"/>
    <d v="2025-03-17T00:00:00"/>
    <d v="2025-02-25T00:00:00"/>
    <d v="2025-03-17T00:00:00"/>
    <n v="20"/>
    <d v="2025-03-17T00:00:00"/>
    <n v="20"/>
    <x v="0"/>
    <x v="0"/>
    <x v="0"/>
    <x v="4"/>
    <s v="San Francisco"/>
    <s v="Non-Profit"/>
    <x v="4"/>
    <x v="4"/>
    <x v="2"/>
    <x v="492"/>
    <n v="1205.26"/>
    <n v="1696.35"/>
    <n v="1696.35"/>
    <n v="1.9E-2"/>
    <n v="6"/>
    <n v="9984.7160999999978"/>
    <n v="7231.5599999999995"/>
    <n v="2753.1560999999983"/>
    <n v="0.27573704374028213"/>
    <x v="25"/>
    <x v="8"/>
    <s v="Americas →USA →San Francisco"/>
    <s v="High"/>
    <x v="1"/>
    <x v="2"/>
  </r>
  <r>
    <s v="ORD-2025-728935"/>
    <d v="2025-02-28T00:00:00"/>
    <d v="2025-03-10T00:00:00"/>
    <d v="2025-02-28T00:00:00"/>
    <d v="2025-03-10T00:00:00"/>
    <n v="10"/>
    <d v="2025-03-10T00:00:00"/>
    <n v="10"/>
    <x v="0"/>
    <x v="0"/>
    <x v="3"/>
    <x v="11"/>
    <s v="Osaka"/>
    <s v="Education"/>
    <x v="0"/>
    <x v="8"/>
    <x v="0"/>
    <x v="493"/>
    <n v="51.86"/>
    <n v="45.98"/>
    <n v="45.98"/>
    <n v="0.17299999999999999"/>
    <n v="7"/>
    <n v="266.17821999999995"/>
    <n v="363.02"/>
    <n v="-96.841780000000028"/>
    <n v="-0.3638230806412337"/>
    <x v="25"/>
    <x v="8"/>
    <s v="Asia →Japan →Osaka"/>
    <s v="Low"/>
    <x v="1"/>
    <x v="2"/>
  </r>
  <r>
    <s v="ORD-2025-501927"/>
    <d v="2025-03-03T00:00:00"/>
    <d v="2025-03-24T00:00:00"/>
    <d v="2025-03-03T00:00:00"/>
    <d v="2025-03-24T00:00:00"/>
    <n v="21"/>
    <d v="2025-03-24T00:00:00"/>
    <n v="21"/>
    <x v="0"/>
    <x v="0"/>
    <x v="1"/>
    <x v="5"/>
    <s v="Abuja"/>
    <s v="Enterprise"/>
    <x v="2"/>
    <x v="4"/>
    <x v="3"/>
    <x v="494"/>
    <n v="555.95000000000005"/>
    <n v="468.09"/>
    <n v="468.09"/>
    <n v="0.14199999999999999"/>
    <n v="11"/>
    <n v="4417.8334199999999"/>
    <n v="6115.4500000000007"/>
    <n v="-1697.6165800000008"/>
    <n v="-0.38426450674095375"/>
    <x v="26"/>
    <x v="8"/>
    <s v="Africa →Nigeria →Abuja"/>
    <s v="Low"/>
    <x v="2"/>
    <x v="2"/>
  </r>
  <r>
    <s v="ORD-2025-487261"/>
    <d v="2025-03-06T00:00:00"/>
    <d v="2025-03-31T00:00:00"/>
    <d v="2025-03-06T00:00:00"/>
    <d v="2025-03-31T00:00:00"/>
    <n v="25"/>
    <d v="2025-03-31T00:00:00"/>
    <n v="25"/>
    <x v="0"/>
    <x v="0"/>
    <x v="0"/>
    <x v="10"/>
    <s v="Brasília"/>
    <s v="Non-Profit"/>
    <x v="1"/>
    <x v="13"/>
    <x v="6"/>
    <x v="495"/>
    <n v="331.57"/>
    <n v="548.4"/>
    <n v="548.4"/>
    <n v="9.4E-2"/>
    <n v="10"/>
    <n v="4968.5039999999999"/>
    <n v="3315.7"/>
    <n v="1652.8040000000001"/>
    <n v="0.33265626836568918"/>
    <x v="26"/>
    <x v="8"/>
    <s v="Americas →Brazil →Brasília"/>
    <s v="Low"/>
    <x v="2"/>
    <x v="2"/>
  </r>
  <r>
    <s v="ORD-2025-512310"/>
    <d v="2025-03-08T00:00:00"/>
    <d v="2025-03-15T00:00:00"/>
    <d v="2025-03-08T00:00:00"/>
    <d v="2025-03-15T00:00:00"/>
    <n v="7"/>
    <d v="2025-03-15T00:00:00"/>
    <n v="7"/>
    <x v="1"/>
    <x v="0"/>
    <x v="3"/>
    <x v="9"/>
    <s v="Bengaluru"/>
    <s v="Corporate"/>
    <x v="0"/>
    <x v="10"/>
    <x v="0"/>
    <x v="496"/>
    <n v="475.66"/>
    <n v="529.14"/>
    <n v="529.14"/>
    <n v="0.19600000000000001"/>
    <n v="11"/>
    <n v="4679.7141600000004"/>
    <n v="5232.26"/>
    <n v="-552.54583999999977"/>
    <n v="-0.11807256193613323"/>
    <x v="26"/>
    <x v="8"/>
    <s v="Asia →India →Bengaluru"/>
    <s v="Low"/>
    <x v="2"/>
    <x v="2"/>
  </r>
  <r>
    <s v="ORD-2025-680118"/>
    <d v="2025-03-10T00:00:00"/>
    <d v="2025-03-27T00:00:00"/>
    <d v="2025-03-10T00:00:00"/>
    <d v="2025-03-27T00:00:00"/>
    <n v="17"/>
    <d v="2025-03-27T00:00:00"/>
    <n v="17"/>
    <x v="0"/>
    <x v="0"/>
    <x v="0"/>
    <x v="10"/>
    <s v="Rio de Janeiro"/>
    <s v="Enterprise"/>
    <x v="2"/>
    <x v="7"/>
    <x v="4"/>
    <x v="497"/>
    <n v="996.73"/>
    <n v="1217.43"/>
    <n v="1217.43"/>
    <n v="7.0000000000000007E-2"/>
    <n v="9"/>
    <n v="10189.8891"/>
    <n v="8970.57"/>
    <n v="1219.3191000000006"/>
    <n v="0.11965970267527255"/>
    <x v="26"/>
    <x v="8"/>
    <s v="Americas →Brazil →Rio de Janeiro"/>
    <s v="Medium"/>
    <x v="2"/>
    <x v="2"/>
  </r>
  <r>
    <s v="ORD-2025-683247"/>
    <d v="2025-03-10T00:00:00"/>
    <d v="2025-04-04T00:00:00"/>
    <d v="2025-03-10T00:00:00"/>
    <d v="2025-04-04T00:00:00"/>
    <n v="25"/>
    <d v="2025-04-04T00:00:00"/>
    <n v="25"/>
    <x v="0"/>
    <x v="0"/>
    <x v="3"/>
    <x v="11"/>
    <s v="Osaka"/>
    <s v="Corporate"/>
    <x v="2"/>
    <x v="4"/>
    <x v="1"/>
    <x v="498"/>
    <n v="783.72"/>
    <n v="1355.94"/>
    <n v="1355.94"/>
    <n v="0.187"/>
    <n v="4"/>
    <n v="4409.5168800000001"/>
    <n v="3134.88"/>
    <n v="1274.63688"/>
    <n v="0.28906497348525856"/>
    <x v="26"/>
    <x v="8"/>
    <s v="Asia →Japan →Osaka"/>
    <s v="Medium"/>
    <x v="2"/>
    <x v="2"/>
  </r>
  <r>
    <s v="ORD-2025-926547"/>
    <d v="2025-03-11T00:00:00"/>
    <d v="2025-03-26T00:00:00"/>
    <d v="2025-03-11T00:00:00"/>
    <d v="2025-03-26T00:00:00"/>
    <n v="15"/>
    <d v="2025-03-26T00:00:00"/>
    <n v="15"/>
    <x v="0"/>
    <x v="0"/>
    <x v="2"/>
    <x v="8"/>
    <s v="Berlin"/>
    <s v="Small Business"/>
    <x v="1"/>
    <x v="12"/>
    <x v="2"/>
    <x v="499"/>
    <n v="116.97"/>
    <n v="140.82"/>
    <n v="140.82"/>
    <n v="0.122"/>
    <n v="5"/>
    <n v="618.19979999999987"/>
    <n v="584.85"/>
    <n v="33.349799999999846"/>
    <n v="5.3946636669891926E-2"/>
    <x v="26"/>
    <x v="8"/>
    <s v="Europe →Germany →Berlin"/>
    <s v="Low"/>
    <x v="2"/>
    <x v="2"/>
  </r>
  <r>
    <s v="ORD-2025-532859"/>
    <d v="2025-03-11T00:00:00"/>
    <d v="2025-03-27T00:00:00"/>
    <d v="2025-03-11T00:00:00"/>
    <d v="2025-03-27T00:00:00"/>
    <n v="16"/>
    <d v="2025-03-27T00:00:00"/>
    <n v="16"/>
    <x v="0"/>
    <x v="0"/>
    <x v="3"/>
    <x v="11"/>
    <s v="Tokyo"/>
    <s v="Enterprise"/>
    <x v="0"/>
    <x v="0"/>
    <x v="1"/>
    <x v="500"/>
    <n v="1317.58"/>
    <n v="1897.74"/>
    <n v="1897.74"/>
    <n v="8.1000000000000003E-2"/>
    <n v="6"/>
    <n v="10464.138360000001"/>
    <n v="7905.48"/>
    <n v="2558.6583600000013"/>
    <n v="0.24451687009230266"/>
    <x v="26"/>
    <x v="8"/>
    <s v="Asia →Japan →Tokyo"/>
    <s v="High"/>
    <x v="2"/>
    <x v="2"/>
  </r>
  <r>
    <s v="ORD-2025-685236"/>
    <d v="2025-03-14T00:00:00"/>
    <d v="2025-03-29T00:00:00"/>
    <d v="2025-03-14T00:00:00"/>
    <d v="2025-03-29T00:00:00"/>
    <n v="15"/>
    <d v="2025-03-29T00:00:00"/>
    <n v="15"/>
    <x v="0"/>
    <x v="1"/>
    <x v="3"/>
    <x v="11"/>
    <s v="Tokyo"/>
    <s v="Non-Profit"/>
    <x v="2"/>
    <x v="4"/>
    <x v="4"/>
    <x v="501"/>
    <n v="1106.96"/>
    <n v="2726.62"/>
    <n v="2726.62"/>
    <n v="0.317"/>
    <n v="7"/>
    <n v="13035.970220000001"/>
    <n v="7748.72"/>
    <n v="5287.2502200000008"/>
    <n v="0.40558931408789306"/>
    <x v="26"/>
    <x v="8"/>
    <s v="Asia →Japan →Tokyo"/>
    <s v="High"/>
    <x v="2"/>
    <x v="2"/>
  </r>
  <r>
    <s v="ORD-2025-222035"/>
    <d v="2025-03-14T00:00:00"/>
    <d v="2025-04-08T00:00:00"/>
    <d v="2025-03-14T00:00:00"/>
    <d v="2025-04-08T00:00:00"/>
    <n v="25"/>
    <d v="2025-04-08T00:00:00"/>
    <n v="25"/>
    <x v="0"/>
    <x v="1"/>
    <x v="3"/>
    <x v="3"/>
    <s v="N/A"/>
    <s v="Corporate"/>
    <x v="0"/>
    <x v="2"/>
    <x v="1"/>
    <x v="502"/>
    <n v="80.59"/>
    <n v="157.82"/>
    <n v="157.82"/>
    <n v="0.217"/>
    <n v="6"/>
    <n v="741.43835999999999"/>
    <n v="483.54"/>
    <n v="257.89835999999997"/>
    <n v="0.34783519967863541"/>
    <x v="26"/>
    <x v="8"/>
    <s v="Asia →China →N/A"/>
    <s v="Low"/>
    <x v="2"/>
    <x v="2"/>
  </r>
  <r>
    <s v="ORD-2025-624006"/>
    <d v="2025-03-15T00:00:00"/>
    <d v="2025-03-29T00:00:00"/>
    <d v="2025-03-15T00:00:00"/>
    <d v="2025-03-29T00:00:00"/>
    <n v="14"/>
    <d v="2025-03-29T00:00:00"/>
    <n v="14"/>
    <x v="0"/>
    <x v="0"/>
    <x v="3"/>
    <x v="9"/>
    <s v="Mumbai"/>
    <s v="Enterprise"/>
    <x v="2"/>
    <x v="11"/>
    <x v="6"/>
    <x v="503"/>
    <n v="935.83"/>
    <n v="2303.46"/>
    <n v="2303.46"/>
    <n v="0.105"/>
    <n v="9"/>
    <n v="18554.370299999999"/>
    <n v="8422.4700000000012"/>
    <n v="10131.900299999998"/>
    <n v="0.54606543559174292"/>
    <x v="26"/>
    <x v="8"/>
    <s v="Asia →India →Mumbai"/>
    <s v="High"/>
    <x v="2"/>
    <x v="2"/>
  </r>
  <r>
    <s v="ORD-2025-125517"/>
    <d v="2025-03-21T00:00:00"/>
    <d v="2025-04-09T00:00:00"/>
    <d v="2025-03-21T00:00:00"/>
    <d v="2025-04-09T00:00:00"/>
    <n v="19"/>
    <d v="2025-04-09T00:00:00"/>
    <n v="19"/>
    <x v="0"/>
    <x v="0"/>
    <x v="3"/>
    <x v="11"/>
    <s v="Tokyo"/>
    <s v="Small Business"/>
    <x v="0"/>
    <x v="14"/>
    <x v="6"/>
    <x v="504"/>
    <n v="1055.45"/>
    <n v="1210.04"/>
    <n v="1210.04"/>
    <n v="8.9999999999999993E-3"/>
    <n v="18"/>
    <n v="21584.693520000001"/>
    <n v="18998.100000000002"/>
    <n v="2586.5935199999985"/>
    <n v="0.1198346188053727"/>
    <x v="26"/>
    <x v="8"/>
    <s v="Asia →Japan →Tokyo"/>
    <s v="Medium"/>
    <x v="2"/>
    <x v="2"/>
  </r>
  <r>
    <s v="ORD-2025-947929"/>
    <d v="2025-03-23T00:00:00"/>
    <d v="2025-04-02T00:00:00"/>
    <d v="2025-03-23T00:00:00"/>
    <d v="2025-04-02T00:00:00"/>
    <n v="10"/>
    <d v="2025-04-02T00:00:00"/>
    <n v="10"/>
    <x v="0"/>
    <x v="0"/>
    <x v="2"/>
    <x v="8"/>
    <s v="Berlin"/>
    <s v="Enterprise"/>
    <x v="1"/>
    <x v="14"/>
    <x v="1"/>
    <x v="505"/>
    <n v="663.61"/>
    <n v="1002.11"/>
    <n v="1002.11"/>
    <n v="4.5999999999999999E-2"/>
    <n v="17"/>
    <n v="16252.219979999998"/>
    <n v="11281.37"/>
    <n v="4970.8499799999972"/>
    <n v="0.30585667595670812"/>
    <x v="26"/>
    <x v="8"/>
    <s v="Europe →Germany →Berlin"/>
    <s v="Medium"/>
    <x v="2"/>
    <x v="2"/>
  </r>
  <r>
    <s v="ORD-2025-331237"/>
    <d v="2025-03-24T00:00:00"/>
    <d v="2025-03-25T00:00:00"/>
    <d v="2025-03-24T00:00:00"/>
    <d v="2025-03-25T00:00:00"/>
    <n v="1"/>
    <d v="2025-03-25T00:00:00"/>
    <n v="1"/>
    <x v="1"/>
    <x v="0"/>
    <x v="3"/>
    <x v="3"/>
    <s v="Beijing"/>
    <s v="Non-Profit"/>
    <x v="1"/>
    <x v="6"/>
    <x v="4"/>
    <x v="506"/>
    <n v="1133.03"/>
    <n v="1921.51"/>
    <n v="1921.51"/>
    <n v="0.10100000000000001"/>
    <n v="5"/>
    <n v="8637.1874499999994"/>
    <n v="5665.15"/>
    <n v="2972.0374499999998"/>
    <n v="0.3440978289755654"/>
    <x v="26"/>
    <x v="8"/>
    <s v="Asia →China →Beijing"/>
    <s v="High"/>
    <x v="2"/>
    <x v="2"/>
  </r>
  <r>
    <s v="ORD-2025-177994"/>
    <d v="2025-03-24T00:00:00"/>
    <d v="2025-04-04T00:00:00"/>
    <d v="2025-03-24T00:00:00"/>
    <d v="2025-04-04T00:00:00"/>
    <n v="11"/>
    <d v="2025-04-04T00:00:00"/>
    <n v="11"/>
    <x v="0"/>
    <x v="0"/>
    <x v="3"/>
    <x v="9"/>
    <s v="Mumbai"/>
    <s v="Education"/>
    <x v="4"/>
    <x v="13"/>
    <x v="2"/>
    <x v="507"/>
    <n v="23.83"/>
    <n v="47.29"/>
    <n v="47.29"/>
    <n v="6.4000000000000001E-2"/>
    <n v="19"/>
    <n v="841.00536"/>
    <n v="452.77"/>
    <n v="388.23536000000001"/>
    <n v="0.46163244429262618"/>
    <x v="26"/>
    <x v="8"/>
    <s v="Asia →India →Mumbai"/>
    <s v="Low"/>
    <x v="2"/>
    <x v="2"/>
  </r>
  <r>
    <s v="ORD-2025-330203"/>
    <d v="2025-03-25T00:00:00"/>
    <d v="2025-04-17T00:00:00"/>
    <d v="2025-03-25T00:00:00"/>
    <d v="2025-04-17T00:00:00"/>
    <n v="23"/>
    <d v="2025-04-17T00:00:00"/>
    <n v="23"/>
    <x v="0"/>
    <x v="0"/>
    <x v="2"/>
    <x v="6"/>
    <s v="London"/>
    <s v="Consumer"/>
    <x v="3"/>
    <x v="4"/>
    <x v="4"/>
    <x v="508"/>
    <n v="1421.19"/>
    <n v="1808.26"/>
    <n v="1808.26"/>
    <n v="0.104"/>
    <n v="13"/>
    <n v="21062.61248"/>
    <n v="18475.47"/>
    <n v="2587.1424799999986"/>
    <n v="0.12283103449093123"/>
    <x v="26"/>
    <x v="8"/>
    <s v="Europe →United Kingdom →London"/>
    <s v="High"/>
    <x v="2"/>
    <x v="2"/>
  </r>
  <r>
    <s v="ORD-2025-944081"/>
    <d v="2025-03-25T00:00:00"/>
    <d v="2025-03-26T00:00:00"/>
    <d v="2025-03-25T00:00:00"/>
    <d v="2025-03-26T00:00:00"/>
    <n v="1"/>
    <d v="2025-03-26T00:00:00"/>
    <n v="1"/>
    <x v="1"/>
    <x v="0"/>
    <x v="1"/>
    <x v="5"/>
    <s v="Lagos"/>
    <s v="Education"/>
    <x v="0"/>
    <x v="6"/>
    <x v="3"/>
    <x v="509"/>
    <n v="1450.43"/>
    <n v="1994.67"/>
    <n v="1994.67"/>
    <n v="0.1"/>
    <n v="24"/>
    <n v="43084.872000000003"/>
    <n v="34810.32"/>
    <n v="8274.5520000000033"/>
    <n v="0.19205237513529116"/>
    <x v="26"/>
    <x v="8"/>
    <s v="Africa →Nigeria →Lagos"/>
    <s v="High"/>
    <x v="2"/>
    <x v="2"/>
  </r>
  <r>
    <s v="ORD-2025-168148"/>
    <d v="2025-03-29T00:00:00"/>
    <d v="2025-04-02T00:00:00"/>
    <d v="2025-03-29T00:00:00"/>
    <d v="2025-04-02T00:00:00"/>
    <n v="4"/>
    <d v="2025-04-02T00:00:00"/>
    <n v="4"/>
    <x v="1"/>
    <x v="0"/>
    <x v="1"/>
    <x v="5"/>
    <s v="Lagos"/>
    <s v="Non-Profit"/>
    <x v="4"/>
    <x v="6"/>
    <x v="2"/>
    <x v="510"/>
    <n v="259.93"/>
    <n v="255.94"/>
    <n v="255.94"/>
    <n v="7.1999999999999995E-2"/>
    <n v="22"/>
    <n v="5225.2710400000005"/>
    <n v="5718.46"/>
    <n v="-493.1889599999995"/>
    <n v="-9.4385335463861311E-2"/>
    <x v="26"/>
    <x v="8"/>
    <s v="Africa →Nigeria →Lagos"/>
    <s v="Low"/>
    <x v="2"/>
    <x v="2"/>
  </r>
  <r>
    <s v="ORD-2025-752845"/>
    <d v="2025-03-30T00:00:00"/>
    <d v="2025-04-07T00:00:00"/>
    <d v="2025-03-30T00:00:00"/>
    <d v="2025-04-07T00:00:00"/>
    <n v="8"/>
    <d v="2025-04-07T00:00:00"/>
    <n v="8"/>
    <x v="0"/>
    <x v="0"/>
    <x v="0"/>
    <x v="10"/>
    <s v="São Paulo"/>
    <s v="Non-Profit"/>
    <x v="2"/>
    <x v="9"/>
    <x v="1"/>
    <x v="511"/>
    <n v="71.62"/>
    <n v="118.37"/>
    <n v="118.37"/>
    <n v="0.156"/>
    <n v="11"/>
    <n v="1098.9470800000001"/>
    <n v="787.82"/>
    <n v="311.12708000000009"/>
    <n v="0.28311379652603474"/>
    <x v="26"/>
    <x v="8"/>
    <s v="Americas →Brazil →São Paulo"/>
    <s v="Low"/>
    <x v="2"/>
    <x v="2"/>
  </r>
  <r>
    <s v="ORD-2025-473192"/>
    <d v="2025-03-30T00:00:00"/>
    <d v="2025-04-29T00:00:00"/>
    <d v="2025-03-30T00:00:00"/>
    <d v="2025-04-29T00:00:00"/>
    <n v="30"/>
    <d v="2025-04-29T00:00:00"/>
    <n v="30"/>
    <x v="0"/>
    <x v="1"/>
    <x v="1"/>
    <x v="1"/>
    <s v="Durban"/>
    <s v="Consumer"/>
    <x v="4"/>
    <x v="13"/>
    <x v="5"/>
    <x v="512"/>
    <n v="194.6"/>
    <n v="314.87"/>
    <n v="314.87"/>
    <n v="0.29299999999999998"/>
    <n v="25"/>
    <n v="5565.3272500000003"/>
    <n v="4865"/>
    <n v="700.32725000000028"/>
    <n v="0.1258375686712763"/>
    <x v="26"/>
    <x v="8"/>
    <s v="Africa →South Africa →Durban"/>
    <s v="Low"/>
    <x v="2"/>
    <x v="2"/>
  </r>
  <r>
    <s v="ORD-2025-662997"/>
    <d v="2025-03-31T00:00:00"/>
    <d v="2025-04-04T00:00:00"/>
    <d v="2025-03-31T00:00:00"/>
    <d v="2025-04-04T00:00:00"/>
    <n v="4"/>
    <d v="2025-04-04T00:00:00"/>
    <n v="4"/>
    <x v="1"/>
    <x v="0"/>
    <x v="1"/>
    <x v="7"/>
    <s v="Nakuru"/>
    <s v="Corporate"/>
    <x v="2"/>
    <x v="11"/>
    <x v="0"/>
    <x v="513"/>
    <n v="862.08"/>
    <n v="1952.83"/>
    <n v="1952.83"/>
    <n v="0"/>
    <n v="7"/>
    <n v="13669.81"/>
    <n v="6034.56"/>
    <n v="7635.2499999999991"/>
    <n v="0.5585483631447693"/>
    <x v="26"/>
    <x v="8"/>
    <s v="Africa →Kenya →Nakuru"/>
    <s v="High"/>
    <x v="2"/>
    <x v="2"/>
  </r>
  <r>
    <s v="ORD-2025-861401"/>
    <d v="2025-04-01T00:00:00"/>
    <d v="2025-04-27T00:00:00"/>
    <d v="2025-04-01T00:00:00"/>
    <d v="2025-04-27T00:00:00"/>
    <n v="26"/>
    <d v="2025-04-27T00:00:00"/>
    <n v="26"/>
    <x v="0"/>
    <x v="0"/>
    <x v="0"/>
    <x v="4"/>
    <s v="San Francisco"/>
    <s v="Corporate"/>
    <x v="2"/>
    <x v="12"/>
    <x v="5"/>
    <x v="514"/>
    <n v="156.55000000000001"/>
    <n v="227.45"/>
    <n v="227.45"/>
    <n v="1.4E-2"/>
    <n v="13"/>
    <n v="2915.4540999999999"/>
    <n v="2035.15"/>
    <n v="880.30409999999983"/>
    <n v="0.3019440779396938"/>
    <x v="27"/>
    <x v="9"/>
    <s v="Americas →USA →San Francisco"/>
    <s v="Low"/>
    <x v="3"/>
    <x v="2"/>
  </r>
  <r>
    <s v="ORD-2025-541048"/>
    <d v="2025-04-04T00:00:00"/>
    <d v="2025-04-13T00:00:00"/>
    <d v="2025-04-04T00:00:00"/>
    <d v="2025-04-13T00:00:00"/>
    <n v="9"/>
    <d v="2025-04-13T00:00:00"/>
    <n v="9"/>
    <x v="0"/>
    <x v="0"/>
    <x v="2"/>
    <x v="8"/>
    <s v="Munich"/>
    <s v="Consumer"/>
    <x v="4"/>
    <x v="7"/>
    <x v="2"/>
    <x v="515"/>
    <n v="7.02"/>
    <n v="6.28"/>
    <n v="6.28"/>
    <n v="0.13400000000000001"/>
    <n v="14"/>
    <n v="76.138720000000006"/>
    <n v="98.28"/>
    <n v="-22.141279999999995"/>
    <n v="-0.29080184169106066"/>
    <x v="27"/>
    <x v="9"/>
    <s v="Europe →Germany →Munich"/>
    <s v="Low"/>
    <x v="3"/>
    <x v="2"/>
  </r>
  <r>
    <s v="ORD-2025-269934"/>
    <d v="2025-04-04T00:00:00"/>
    <d v="2025-04-10T00:00:00"/>
    <d v="2025-04-04T00:00:00"/>
    <d v="2025-04-10T00:00:00"/>
    <n v="6"/>
    <d v="2025-04-10T00:00:00"/>
    <n v="6"/>
    <x v="1"/>
    <x v="0"/>
    <x v="2"/>
    <x v="6"/>
    <s v="Birmingham"/>
    <s v="Non-Profit"/>
    <x v="2"/>
    <x v="8"/>
    <x v="1"/>
    <x v="516"/>
    <n v="290.14"/>
    <n v="250.73"/>
    <n v="250.73"/>
    <n v="3.4000000000000002E-2"/>
    <n v="17"/>
    <n v="4117.4880599999997"/>
    <n v="4932.38"/>
    <n v="-814.89194000000043"/>
    <n v="-0.19790997038131072"/>
    <x v="27"/>
    <x v="9"/>
    <s v="Europe →United Kingdom →Birmingham"/>
    <s v="Low"/>
    <x v="3"/>
    <x v="2"/>
  </r>
  <r>
    <s v="ORD-2025-765220"/>
    <d v="2025-04-06T00:00:00"/>
    <d v="2025-04-30T00:00:00"/>
    <d v="2025-04-06T00:00:00"/>
    <d v="2025-04-30T00:00:00"/>
    <n v="24"/>
    <d v="2025-04-30T00:00:00"/>
    <n v="24"/>
    <x v="0"/>
    <x v="0"/>
    <x v="0"/>
    <x v="10"/>
    <s v="Brasília"/>
    <s v="Education"/>
    <x v="1"/>
    <x v="10"/>
    <x v="5"/>
    <x v="517"/>
    <n v="855.78"/>
    <n v="977.38"/>
    <n v="977.38"/>
    <n v="0.14699999999999999"/>
    <n v="38"/>
    <n v="31680.795320000001"/>
    <n v="32519.64"/>
    <n v="-838.84467999999833"/>
    <n v="-2.6478018355506307E-2"/>
    <x v="27"/>
    <x v="9"/>
    <s v="Americas →Brazil →Brasília"/>
    <s v="Medium"/>
    <x v="3"/>
    <x v="2"/>
  </r>
  <r>
    <s v="ORD-2025-548982"/>
    <d v="2025-04-07T00:00:00"/>
    <d v="2025-04-11T00:00:00"/>
    <d v="2025-04-07T00:00:00"/>
    <d v="2025-04-11T00:00:00"/>
    <n v="4"/>
    <d v="2025-04-11T00:00:00"/>
    <n v="4"/>
    <x v="1"/>
    <x v="0"/>
    <x v="2"/>
    <x v="2"/>
    <s v="Lyon"/>
    <s v="Education"/>
    <x v="3"/>
    <x v="14"/>
    <x v="4"/>
    <x v="518"/>
    <n v="754.77"/>
    <n v="1666.18"/>
    <n v="1666.18"/>
    <n v="0.13900000000000001"/>
    <n v="14"/>
    <n v="20084.133720000002"/>
    <n v="10566.779999999999"/>
    <n v="9517.3537200000028"/>
    <n v="0.47387424584424653"/>
    <x v="27"/>
    <x v="9"/>
    <s v="Europe →France →Lyon"/>
    <s v="High"/>
    <x v="3"/>
    <x v="2"/>
  </r>
  <r>
    <s v="ORD-2025-640677"/>
    <d v="2025-04-09T00:00:00"/>
    <d v="2025-05-06T00:00:00"/>
    <d v="2025-04-09T00:00:00"/>
    <d v="2025-05-06T00:00:00"/>
    <n v="27"/>
    <d v="2025-05-06T00:00:00"/>
    <n v="27"/>
    <x v="0"/>
    <x v="0"/>
    <x v="0"/>
    <x v="10"/>
    <s v="Brasília"/>
    <s v="Enterprise"/>
    <x v="4"/>
    <x v="7"/>
    <x v="0"/>
    <x v="519"/>
    <n v="264.19"/>
    <n v="620.92999999999995"/>
    <n v="620.92999999999995"/>
    <n v="0.14199999999999999"/>
    <n v="12"/>
    <n v="6393.0952799999995"/>
    <n v="3170.2799999999997"/>
    <n v="3222.8152799999998"/>
    <n v="0.50410875152794532"/>
    <x v="27"/>
    <x v="9"/>
    <s v="Americas →Brazil →Brasília"/>
    <s v="Low"/>
    <x v="3"/>
    <x v="2"/>
  </r>
  <r>
    <s v="ORD-2025-138578"/>
    <d v="2025-04-09T00:00:00"/>
    <d v="2025-04-12T00:00:00"/>
    <d v="2025-04-09T00:00:00"/>
    <d v="2025-04-12T00:00:00"/>
    <n v="3"/>
    <d v="2025-04-12T00:00:00"/>
    <n v="3"/>
    <x v="1"/>
    <x v="0"/>
    <x v="2"/>
    <x v="2"/>
    <s v="Lyon"/>
    <s v="Small Business"/>
    <x v="0"/>
    <x v="4"/>
    <x v="5"/>
    <x v="520"/>
    <n v="86.68"/>
    <n v="213.32"/>
    <n v="213.32"/>
    <n v="3.7999999999999999E-2"/>
    <n v="8"/>
    <n v="1641.7107199999998"/>
    <n v="693.44"/>
    <n v="948.27071999999976"/>
    <n v="0.57761133459614611"/>
    <x v="27"/>
    <x v="9"/>
    <s v="Europe →France →Lyon"/>
    <s v="Low"/>
    <x v="3"/>
    <x v="2"/>
  </r>
  <r>
    <s v="ORD-2025-306251"/>
    <d v="2025-04-10T00:00:00"/>
    <d v="2025-04-19T00:00:00"/>
    <d v="2025-04-10T00:00:00"/>
    <d v="2025-04-19T00:00:00"/>
    <n v="9"/>
    <d v="2025-04-19T00:00:00"/>
    <n v="9"/>
    <x v="0"/>
    <x v="0"/>
    <x v="1"/>
    <x v="1"/>
    <s v="Durban"/>
    <s v="Enterprise"/>
    <x v="5"/>
    <x v="6"/>
    <x v="4"/>
    <x v="521"/>
    <n v="113.74"/>
    <n v="165.7"/>
    <n v="165.7"/>
    <n v="0.124"/>
    <n v="13"/>
    <n v="1886.9915999999998"/>
    <n v="1478.62"/>
    <n v="408.37159999999994"/>
    <n v="0.21641410592394794"/>
    <x v="27"/>
    <x v="9"/>
    <s v="Africa →South Africa →Durban"/>
    <s v="Low"/>
    <x v="3"/>
    <x v="2"/>
  </r>
  <r>
    <s v="ORD-2025-487025"/>
    <d v="2025-04-11T00:00:00"/>
    <d v="2025-05-04T00:00:00"/>
    <d v="2025-04-11T00:00:00"/>
    <d v="2025-05-04T00:00:00"/>
    <n v="23"/>
    <d v="2025-05-04T00:00:00"/>
    <n v="23"/>
    <x v="0"/>
    <x v="0"/>
    <x v="3"/>
    <x v="11"/>
    <s v="Osaka"/>
    <s v="Small Business"/>
    <x v="1"/>
    <x v="3"/>
    <x v="6"/>
    <x v="522"/>
    <n v="786.2"/>
    <n v="1075.3"/>
    <n v="1075.3"/>
    <n v="0.08"/>
    <n v="9"/>
    <n v="8903.4839999999986"/>
    <n v="7075.8"/>
    <n v="1827.6839999999984"/>
    <n v="0.20527739478163815"/>
    <x v="27"/>
    <x v="9"/>
    <s v="Asia →Japan →Osaka"/>
    <s v="Medium"/>
    <x v="3"/>
    <x v="2"/>
  </r>
  <r>
    <s v="ORD-2025-608069"/>
    <d v="2025-04-12T00:00:00"/>
    <d v="2025-04-30T00:00:00"/>
    <d v="2025-04-12T00:00:00"/>
    <d v="2025-04-30T00:00:00"/>
    <n v="18"/>
    <d v="2025-04-30T00:00:00"/>
    <n v="18"/>
    <x v="0"/>
    <x v="0"/>
    <x v="1"/>
    <x v="7"/>
    <s v="Kisumu"/>
    <s v="Corporate"/>
    <x v="4"/>
    <x v="7"/>
    <x v="4"/>
    <x v="523"/>
    <n v="1119.04"/>
    <n v="1299.02"/>
    <n v="1299.02"/>
    <n v="2.5000000000000001E-2"/>
    <n v="14"/>
    <n v="17731.623"/>
    <n v="15666.56"/>
    <n v="2065.0630000000001"/>
    <n v="0.11646215352085933"/>
    <x v="27"/>
    <x v="9"/>
    <s v="Africa →Kenya →Kisumu"/>
    <s v="Medium"/>
    <x v="3"/>
    <x v="2"/>
  </r>
  <r>
    <s v="ORD-2025-169093"/>
    <d v="2025-04-13T00:00:00"/>
    <d v="2025-04-14T00:00:00"/>
    <d v="2025-04-13T00:00:00"/>
    <d v="2025-04-14T00:00:00"/>
    <n v="1"/>
    <d v="2025-04-14T00:00:00"/>
    <n v="1"/>
    <x v="1"/>
    <x v="0"/>
    <x v="3"/>
    <x v="11"/>
    <s v="Osaka"/>
    <s v="Enterprise"/>
    <x v="1"/>
    <x v="6"/>
    <x v="6"/>
    <x v="524"/>
    <n v="138.9"/>
    <n v="289.92"/>
    <n v="289.92"/>
    <n v="2.9000000000000001E-2"/>
    <n v="12"/>
    <n v="3378.1478400000001"/>
    <n v="1666.8000000000002"/>
    <n v="1711.3478399999999"/>
    <n v="0.50659353025828491"/>
    <x v="27"/>
    <x v="9"/>
    <s v="Asia →Japan →Osaka"/>
    <s v="Low"/>
    <x v="3"/>
    <x v="2"/>
  </r>
  <r>
    <s v="ORD-2025-845715"/>
    <d v="2025-04-14T00:00:00"/>
    <d v="2025-05-04T00:00:00"/>
    <d v="2025-04-14T00:00:00"/>
    <d v="2025-05-04T00:00:00"/>
    <n v="20"/>
    <d v="2025-05-04T00:00:00"/>
    <n v="20"/>
    <x v="0"/>
    <x v="1"/>
    <x v="2"/>
    <x v="6"/>
    <s v="Birmingham"/>
    <s v="Enterprise"/>
    <x v="4"/>
    <x v="10"/>
    <x v="5"/>
    <x v="525"/>
    <n v="1413.87"/>
    <n v="3275"/>
    <n v="3275"/>
    <n v="0.255"/>
    <n v="38"/>
    <n v="92715.25"/>
    <n v="53727.06"/>
    <n v="38988.19"/>
    <n v="0.42051539525590453"/>
    <x v="27"/>
    <x v="9"/>
    <s v="Europe →United Kingdom →Birmingham"/>
    <s v="High"/>
    <x v="3"/>
    <x v="2"/>
  </r>
  <r>
    <s v="ORD-2025-246470"/>
    <d v="2025-04-16T00:00:00"/>
    <d v="2025-05-16T00:00:00"/>
    <d v="2025-04-16T00:00:00"/>
    <d v="2025-05-16T00:00:00"/>
    <n v="30"/>
    <d v="2025-05-16T00:00:00"/>
    <n v="30"/>
    <x v="0"/>
    <x v="0"/>
    <x v="0"/>
    <x v="0"/>
    <s v="Montreal"/>
    <s v="Enterprise"/>
    <x v="0"/>
    <x v="10"/>
    <x v="1"/>
    <x v="526"/>
    <n v="763.32"/>
    <n v="568.29"/>
    <n v="568.29"/>
    <n v="0.13100000000000001"/>
    <n v="16"/>
    <n v="7901.5041599999995"/>
    <n v="12213.12"/>
    <n v="-4311.6158400000013"/>
    <n v="-0.54567026134426555"/>
    <x v="27"/>
    <x v="9"/>
    <s v="Americas →Canada →Montreal"/>
    <s v="Low"/>
    <x v="3"/>
    <x v="2"/>
  </r>
  <r>
    <s v="ORD-2025-440093"/>
    <d v="2025-04-16T00:00:00"/>
    <d v="2025-04-26T00:00:00"/>
    <d v="2025-04-16T00:00:00"/>
    <d v="2025-04-26T00:00:00"/>
    <n v="10"/>
    <d v="2025-04-26T00:00:00"/>
    <n v="10"/>
    <x v="0"/>
    <x v="0"/>
    <x v="1"/>
    <x v="5"/>
    <s v="Port Harcourt"/>
    <s v="Enterprise"/>
    <x v="4"/>
    <x v="7"/>
    <x v="0"/>
    <x v="527"/>
    <n v="1457.44"/>
    <n v="1996.81"/>
    <n v="1996.81"/>
    <n v="0.126"/>
    <n v="23"/>
    <n v="40139.874619999995"/>
    <n v="33521.120000000003"/>
    <n v="6618.7546199999924"/>
    <n v="0.16489225944672353"/>
    <x v="27"/>
    <x v="9"/>
    <s v="Africa →Nigeria →Port Harcourt"/>
    <s v="High"/>
    <x v="3"/>
    <x v="2"/>
  </r>
  <r>
    <s v="ORD-2025-246692"/>
    <d v="2025-04-17T00:00:00"/>
    <d v="2025-04-17T00:00:00"/>
    <d v="2025-04-17T00:00:00"/>
    <d v="2025-04-17T00:00:00"/>
    <n v="0"/>
    <d v="2025-04-17T00:00:00"/>
    <n v="0"/>
    <x v="1"/>
    <x v="0"/>
    <x v="0"/>
    <x v="10"/>
    <s v="São Paulo"/>
    <s v="Corporate"/>
    <x v="0"/>
    <x v="9"/>
    <x v="2"/>
    <x v="528"/>
    <n v="719.41"/>
    <n v="1125.99"/>
    <n v="1125.99"/>
    <n v="4.1000000000000002E-2"/>
    <n v="21"/>
    <n v="22676.312610000001"/>
    <n v="15107.609999999999"/>
    <n v="7568.7026100000021"/>
    <n v="0.33377131194876403"/>
    <x v="27"/>
    <x v="9"/>
    <s v="Americas →Brazil →São Paulo"/>
    <s v="Medium"/>
    <x v="3"/>
    <x v="2"/>
  </r>
  <r>
    <s v="ORD-2025-907040"/>
    <d v="2025-04-17T00:00:00"/>
    <d v="2025-05-03T00:00:00"/>
    <d v="2025-04-17T00:00:00"/>
    <d v="2025-05-03T00:00:00"/>
    <n v="16"/>
    <d v="2025-05-03T00:00:00"/>
    <n v="16"/>
    <x v="0"/>
    <x v="0"/>
    <x v="0"/>
    <x v="10"/>
    <s v="Rio de Janeiro"/>
    <s v="Consumer"/>
    <x v="4"/>
    <x v="13"/>
    <x v="4"/>
    <x v="529"/>
    <n v="168.68"/>
    <n v="413.34"/>
    <n v="413.34"/>
    <n v="0.186"/>
    <n v="7"/>
    <n v="2355.2113199999999"/>
    <n v="1180.76"/>
    <n v="1174.4513199999999"/>
    <n v="0.49866069767361682"/>
    <x v="27"/>
    <x v="9"/>
    <s v="Americas →Brazil →Rio de Janeiro"/>
    <s v="Low"/>
    <x v="3"/>
    <x v="2"/>
  </r>
  <r>
    <s v="ORD-2025-946490"/>
    <d v="2025-04-22T00:00:00"/>
    <d v="2025-05-02T00:00:00"/>
    <d v="2025-04-22T00:00:00"/>
    <d v="2025-05-02T00:00:00"/>
    <n v="10"/>
    <d v="2025-05-02T00:00:00"/>
    <n v="10"/>
    <x v="0"/>
    <x v="0"/>
    <x v="2"/>
    <x v="8"/>
    <s v="Berlin"/>
    <s v="Corporate"/>
    <x v="4"/>
    <x v="11"/>
    <x v="5"/>
    <x v="530"/>
    <n v="20.149999999999999"/>
    <n v="39.74"/>
    <n v="39.74"/>
    <n v="0.151"/>
    <n v="18"/>
    <n v="607.30668000000003"/>
    <n v="362.7"/>
    <n v="244.60668000000004"/>
    <n v="0.4027729120318585"/>
    <x v="27"/>
    <x v="9"/>
    <s v="Europe →Germany →Berlin"/>
    <s v="Low"/>
    <x v="3"/>
    <x v="2"/>
  </r>
  <r>
    <s v="ORD-2025-778145"/>
    <d v="2025-04-22T00:00:00"/>
    <d v="2025-05-12T00:00:00"/>
    <d v="2025-04-22T00:00:00"/>
    <d v="2025-05-12T00:00:00"/>
    <n v="20"/>
    <d v="2025-05-12T00:00:00"/>
    <n v="20"/>
    <x v="0"/>
    <x v="0"/>
    <x v="2"/>
    <x v="2"/>
    <s v="Lyon"/>
    <s v="Enterprise"/>
    <x v="4"/>
    <x v="10"/>
    <x v="5"/>
    <x v="531"/>
    <n v="59.51"/>
    <n v="67.040000000000006"/>
    <n v="67.040000000000006"/>
    <n v="0.114"/>
    <n v="9"/>
    <n v="534.57695999999999"/>
    <n v="535.59"/>
    <n v="-1.0130400000000463"/>
    <n v="-1.8950311663264469E-3"/>
    <x v="27"/>
    <x v="9"/>
    <s v="Europe →France →Lyon"/>
    <s v="Low"/>
    <x v="3"/>
    <x v="2"/>
  </r>
  <r>
    <s v="ORD-2025-488349"/>
    <d v="2025-04-23T00:00:00"/>
    <d v="2025-04-22T00:00:00"/>
    <d v="2025-04-22T00:00:00"/>
    <d v="2025-04-23T00:00:00"/>
    <n v="1"/>
    <d v="2025-04-30T00:00:00"/>
    <n v="7"/>
    <x v="1"/>
    <x v="1"/>
    <x v="0"/>
    <x v="4"/>
    <s v="San Francisco"/>
    <s v="Non-Profit"/>
    <x v="0"/>
    <x v="2"/>
    <x v="5"/>
    <x v="532"/>
    <n v="23.24"/>
    <n v="44.57"/>
    <n v="44.57"/>
    <n v="0.215"/>
    <n v="15"/>
    <n v="524.81174999999996"/>
    <n v="348.59999999999997"/>
    <n v="176.21174999999999"/>
    <n v="0.33576182316802167"/>
    <x v="27"/>
    <x v="9"/>
    <s v="Americas →USA →San Francisco"/>
    <s v="Low"/>
    <x v="3"/>
    <x v="2"/>
  </r>
  <r>
    <s v="ORD-2025-757957"/>
    <d v="2025-04-24T00:00:00"/>
    <d v="2025-05-06T00:00:00"/>
    <d v="2025-04-24T00:00:00"/>
    <d v="2025-05-06T00:00:00"/>
    <n v="12"/>
    <d v="2025-05-06T00:00:00"/>
    <n v="12"/>
    <x v="0"/>
    <x v="0"/>
    <x v="0"/>
    <x v="10"/>
    <s v="Brasília"/>
    <s v="Consumer"/>
    <x v="1"/>
    <x v="11"/>
    <x v="2"/>
    <x v="533"/>
    <n v="394.13"/>
    <n v="932.29"/>
    <n v="932.29"/>
    <n v="0.109"/>
    <n v="7"/>
    <n v="5814.6927299999998"/>
    <n v="2758.91"/>
    <n v="3055.7827299999999"/>
    <n v="0.5255278089303268"/>
    <x v="27"/>
    <x v="9"/>
    <s v="Americas →Brazil →Brasília"/>
    <s v="Medium"/>
    <x v="3"/>
    <x v="2"/>
  </r>
  <r>
    <s v="ORD-2025-526650"/>
    <d v="2025-04-27T00:00:00"/>
    <d v="2025-05-25T00:00:00"/>
    <d v="2025-04-27T00:00:00"/>
    <d v="2025-05-25T00:00:00"/>
    <n v="28"/>
    <d v="2025-05-25T00:00:00"/>
    <n v="28"/>
    <x v="0"/>
    <x v="0"/>
    <x v="2"/>
    <x v="2"/>
    <s v="Paris"/>
    <s v="Small Business"/>
    <x v="4"/>
    <x v="12"/>
    <x v="2"/>
    <x v="534"/>
    <n v="603.45000000000005"/>
    <n v="1244.08"/>
    <n v="1244.08"/>
    <n v="0.2"/>
    <n v="11"/>
    <n v="10947.904"/>
    <n v="6637.9500000000007"/>
    <n v="4309.9539999999997"/>
    <n v="0.39367846119220623"/>
    <x v="27"/>
    <x v="9"/>
    <s v="Europe →France →Paris"/>
    <s v="Medium"/>
    <x v="3"/>
    <x v="2"/>
  </r>
  <r>
    <s v="ORD-2025-323492"/>
    <d v="2025-04-27T00:00:00"/>
    <d v="2025-05-27T00:00:00"/>
    <d v="2025-04-27T00:00:00"/>
    <d v="2025-05-27T00:00:00"/>
    <n v="30"/>
    <d v="2025-05-27T00:00:00"/>
    <n v="30"/>
    <x v="0"/>
    <x v="0"/>
    <x v="3"/>
    <x v="9"/>
    <s v="N/A"/>
    <s v="Enterprise"/>
    <x v="4"/>
    <x v="4"/>
    <x v="2"/>
    <x v="535"/>
    <n v="481.32"/>
    <n v="1135.99"/>
    <n v="1135.99"/>
    <n v="0.14499999999999999"/>
    <n v="5"/>
    <n v="4856.35725"/>
    <n v="2406.6"/>
    <n v="2449.7572500000001"/>
    <n v="0.50444337677175621"/>
    <x v="27"/>
    <x v="9"/>
    <s v="Asia →India →N/A"/>
    <s v="Medium"/>
    <x v="3"/>
    <x v="2"/>
  </r>
  <r>
    <s v="ORD-2025-474368"/>
    <d v="2025-04-27T00:00:00"/>
    <d v="2025-05-17T00:00:00"/>
    <d v="2025-04-27T00:00:00"/>
    <d v="2025-05-17T00:00:00"/>
    <n v="20"/>
    <d v="2025-05-17T00:00:00"/>
    <n v="20"/>
    <x v="0"/>
    <x v="1"/>
    <x v="0"/>
    <x v="4"/>
    <s v="Austin"/>
    <s v="Corporate"/>
    <x v="2"/>
    <x v="8"/>
    <x v="2"/>
    <x v="536"/>
    <n v="932.26"/>
    <n v="1624.67"/>
    <n v="1624.67"/>
    <n v="0.23499999999999999"/>
    <n v="28"/>
    <n v="34800.431400000001"/>
    <n v="26103.279999999999"/>
    <n v="8697.1514000000025"/>
    <n v="0.24991504559337163"/>
    <x v="27"/>
    <x v="9"/>
    <s v="Americas →USA →Austin"/>
    <s v="High"/>
    <x v="3"/>
    <x v="2"/>
  </r>
  <r>
    <s v="ORD-2025-626047"/>
    <d v="2025-04-28T00:00:00"/>
    <d v="2025-05-15T00:00:00"/>
    <d v="2025-04-28T00:00:00"/>
    <d v="2025-05-15T00:00:00"/>
    <n v="17"/>
    <d v="2025-05-15T00:00:00"/>
    <n v="17"/>
    <x v="0"/>
    <x v="0"/>
    <x v="3"/>
    <x v="11"/>
    <s v="Nagoya"/>
    <s v="Education"/>
    <x v="2"/>
    <x v="8"/>
    <x v="4"/>
    <x v="537"/>
    <n v="691.19"/>
    <n v="1284.3"/>
    <n v="1284.3"/>
    <n v="7.3999999999999996E-2"/>
    <n v="7"/>
    <n v="8324.8326000000015"/>
    <n v="4838.33"/>
    <n v="3486.5026000000016"/>
    <n v="0.41880753253825198"/>
    <x v="27"/>
    <x v="9"/>
    <s v="Asia →Japan →Nagoya"/>
    <s v="Medium"/>
    <x v="3"/>
    <x v="2"/>
  </r>
  <r>
    <s v="ORD-2025-252117"/>
    <d v="2025-04-28T00:00:00"/>
    <d v="2025-05-19T00:00:00"/>
    <d v="2025-04-28T00:00:00"/>
    <d v="2025-05-19T00:00:00"/>
    <n v="21"/>
    <d v="2025-05-19T00:00:00"/>
    <n v="21"/>
    <x v="0"/>
    <x v="0"/>
    <x v="2"/>
    <x v="8"/>
    <s v="Berlin"/>
    <s v="Corporate"/>
    <x v="0"/>
    <x v="0"/>
    <x v="2"/>
    <x v="538"/>
    <n v="350.76"/>
    <n v="492.18"/>
    <n v="492.18"/>
    <n v="5.2999999999999999E-2"/>
    <n v="11"/>
    <n v="5127.0390600000001"/>
    <n v="3858.3599999999997"/>
    <n v="1268.6790600000004"/>
    <n v="0.24744868239798437"/>
    <x v="27"/>
    <x v="9"/>
    <s v="Europe →Germany →Berlin"/>
    <s v="Low"/>
    <x v="3"/>
    <x v="2"/>
  </r>
  <r>
    <s v="ORD-2025-762301"/>
    <d v="2025-05-02T00:00:00"/>
    <d v="2025-05-13T00:00:00"/>
    <d v="2025-05-02T00:00:00"/>
    <d v="2025-05-13T00:00:00"/>
    <n v="11"/>
    <d v="2025-05-13T00:00:00"/>
    <n v="11"/>
    <x v="0"/>
    <x v="1"/>
    <x v="1"/>
    <x v="7"/>
    <s v="Nakuru"/>
    <s v="Small Business"/>
    <x v="1"/>
    <x v="1"/>
    <x v="3"/>
    <x v="539"/>
    <n v="1057.5999999999999"/>
    <n v="1437.06"/>
    <n v="1437.06"/>
    <n v="0.20499999999999999"/>
    <n v="4"/>
    <n v="4569.8508000000002"/>
    <n v="4230.3999999999996"/>
    <n v="339.45080000000053"/>
    <n v="7.4280499485891424E-2"/>
    <x v="28"/>
    <x v="9"/>
    <s v="Africa →Kenya →Nakuru"/>
    <s v="Medium"/>
    <x v="4"/>
    <x v="2"/>
  </r>
  <r>
    <s v="ORD-2025-673091"/>
    <d v="2025-05-07T00:00:00"/>
    <d v="2025-05-13T00:00:00"/>
    <d v="2025-05-07T00:00:00"/>
    <d v="2025-05-13T00:00:00"/>
    <n v="6"/>
    <d v="2025-05-13T00:00:00"/>
    <n v="6"/>
    <x v="1"/>
    <x v="0"/>
    <x v="3"/>
    <x v="9"/>
    <s v="Bengaluru"/>
    <s v="Enterprise"/>
    <x v="2"/>
    <x v="13"/>
    <x v="2"/>
    <x v="540"/>
    <n v="935.98"/>
    <n v="2077.69"/>
    <n v="2077.69"/>
    <n v="0.17499999999999999"/>
    <n v="24"/>
    <n v="41138.261999999995"/>
    <n v="22463.52"/>
    <n v="18674.741999999995"/>
    <n v="0.45395067978321491"/>
    <x v="28"/>
    <x v="9"/>
    <s v="Asia →India →Bengaluru"/>
    <s v="High"/>
    <x v="4"/>
    <x v="2"/>
  </r>
  <r>
    <s v="ORD-2025-191328"/>
    <d v="2025-05-10T00:00:00"/>
    <d v="2025-05-27T00:00:00"/>
    <d v="2025-05-10T00:00:00"/>
    <d v="2025-05-27T00:00:00"/>
    <n v="17"/>
    <d v="2025-05-27T00:00:00"/>
    <n v="17"/>
    <x v="0"/>
    <x v="0"/>
    <x v="0"/>
    <x v="0"/>
    <s v="Vancouver"/>
    <s v="Education"/>
    <x v="2"/>
    <x v="11"/>
    <x v="6"/>
    <x v="541"/>
    <n v="862.89"/>
    <n v="1426.03"/>
    <n v="1426.03"/>
    <n v="5.6000000000000001E-2"/>
    <n v="19"/>
    <n v="25577.274079999999"/>
    <n v="16394.91"/>
    <n v="9182.3640799999994"/>
    <n v="0.35900479665188778"/>
    <x v="28"/>
    <x v="9"/>
    <s v="Americas →Canada →Vancouver"/>
    <s v="Medium"/>
    <x v="4"/>
    <x v="2"/>
  </r>
  <r>
    <s v="ORD-2025-866565"/>
    <d v="2025-05-12T00:00:00"/>
    <d v="2025-05-26T00:00:00"/>
    <d v="2025-05-12T00:00:00"/>
    <d v="2025-05-26T00:00:00"/>
    <n v="14"/>
    <d v="2025-05-26T00:00:00"/>
    <n v="14"/>
    <x v="0"/>
    <x v="0"/>
    <x v="3"/>
    <x v="9"/>
    <s v="Hyderabad"/>
    <s v="Corporate"/>
    <x v="4"/>
    <x v="6"/>
    <x v="1"/>
    <x v="542"/>
    <n v="320.12"/>
    <n v="594.41999999999996"/>
    <n v="594.41999999999996"/>
    <n v="0.104"/>
    <n v="18"/>
    <n v="9586.8057599999993"/>
    <n v="5762.16"/>
    <n v="3824.6457599999994"/>
    <n v="0.39894891538931104"/>
    <x v="28"/>
    <x v="9"/>
    <s v="Asia →India →Hyderabad"/>
    <s v="Low"/>
    <x v="4"/>
    <x v="2"/>
  </r>
  <r>
    <s v="ORD-2025-114382"/>
    <d v="2025-05-14T00:00:00"/>
    <d v="2025-05-24T00:00:00"/>
    <d v="2025-05-14T00:00:00"/>
    <d v="2025-05-24T00:00:00"/>
    <n v="10"/>
    <d v="2025-05-24T00:00:00"/>
    <n v="10"/>
    <x v="0"/>
    <x v="0"/>
    <x v="2"/>
    <x v="2"/>
    <s v="Paris"/>
    <s v="Small Business"/>
    <x v="4"/>
    <x v="10"/>
    <x v="6"/>
    <x v="543"/>
    <n v="170.39"/>
    <n v="388.04"/>
    <n v="388.04"/>
    <n v="8.4000000000000005E-2"/>
    <n v="15"/>
    <n v="5331.6696000000002"/>
    <n v="2555.85"/>
    <n v="2775.8196000000003"/>
    <n v="0.52062858508711796"/>
    <x v="28"/>
    <x v="9"/>
    <s v="Europe →France →Paris"/>
    <s v="Low"/>
    <x v="4"/>
    <x v="2"/>
  </r>
  <r>
    <s v="ORD-2025-874124"/>
    <d v="2025-05-14T00:00:00"/>
    <d v="2025-05-12T00:00:00"/>
    <d v="2025-05-12T00:00:00"/>
    <d v="2025-05-14T00:00:00"/>
    <n v="2"/>
    <d v="2025-05-21T00:00:00"/>
    <n v="7"/>
    <x v="1"/>
    <x v="0"/>
    <x v="0"/>
    <x v="0"/>
    <s v="Vancouver"/>
    <s v="Non-Profit"/>
    <x v="0"/>
    <x v="7"/>
    <x v="1"/>
    <x v="544"/>
    <n v="883.5"/>
    <n v="1978.91"/>
    <n v="1978.91"/>
    <n v="5.3999999999999999E-2"/>
    <n v="27"/>
    <n v="50545.319219999998"/>
    <n v="23854.5"/>
    <n v="26690.819219999998"/>
    <n v="0.52805718970390547"/>
    <x v="28"/>
    <x v="9"/>
    <s v="Americas →Canada →Vancouver"/>
    <s v="High"/>
    <x v="4"/>
    <x v="2"/>
  </r>
  <r>
    <s v="ORD-2025-254721"/>
    <d v="2025-05-15T00:00:00"/>
    <d v="2025-06-05T00:00:00"/>
    <d v="2025-05-15T00:00:00"/>
    <d v="2025-06-05T00:00:00"/>
    <n v="21"/>
    <d v="2025-06-05T00:00:00"/>
    <n v="21"/>
    <x v="0"/>
    <x v="0"/>
    <x v="3"/>
    <x v="11"/>
    <s v="Osaka"/>
    <s v="Enterprise"/>
    <x v="2"/>
    <x v="4"/>
    <x v="2"/>
    <x v="545"/>
    <n v="1466.5"/>
    <n v="2778.74"/>
    <n v="2778.74"/>
    <n v="0.13500000000000001"/>
    <n v="4"/>
    <n v="9614.4403999999995"/>
    <n v="5866"/>
    <n v="3748.4403999999995"/>
    <n v="0.38987608680792279"/>
    <x v="28"/>
    <x v="9"/>
    <s v="Asia →Japan →Osaka"/>
    <s v="High"/>
    <x v="4"/>
    <x v="2"/>
  </r>
  <r>
    <s v="ORD-2025-509940"/>
    <d v="2025-05-16T00:00:00"/>
    <d v="2025-05-27T00:00:00"/>
    <d v="2025-05-16T00:00:00"/>
    <d v="2025-05-27T00:00:00"/>
    <n v="11"/>
    <d v="2025-05-27T00:00:00"/>
    <n v="11"/>
    <x v="0"/>
    <x v="0"/>
    <x v="3"/>
    <x v="3"/>
    <s v="Beijing"/>
    <s v="Enterprise"/>
    <x v="1"/>
    <x v="7"/>
    <x v="2"/>
    <x v="546"/>
    <n v="918.12"/>
    <n v="1337.69"/>
    <n v="1337.69"/>
    <n v="9.5000000000000001E-2"/>
    <n v="8"/>
    <n v="9684.8756000000012"/>
    <n v="7344.96"/>
    <n v="2339.9156000000012"/>
    <n v="0.24160512707050164"/>
    <x v="28"/>
    <x v="9"/>
    <s v="Asia →China →Beijing"/>
    <s v="Medium"/>
    <x v="4"/>
    <x v="2"/>
  </r>
  <r>
    <s v="ORD-2025-752192"/>
    <d v="2025-05-16T00:00:00"/>
    <d v="2025-05-18T00:00:00"/>
    <d v="2025-05-16T00:00:00"/>
    <d v="2025-05-18T00:00:00"/>
    <n v="2"/>
    <d v="2025-05-18T00:00:00"/>
    <n v="2"/>
    <x v="1"/>
    <x v="0"/>
    <x v="3"/>
    <x v="11"/>
    <s v="Tokyo"/>
    <s v="Enterprise"/>
    <x v="3"/>
    <x v="13"/>
    <x v="1"/>
    <x v="547"/>
    <n v="1144.3800000000001"/>
    <n v="2755.04"/>
    <n v="2755.04"/>
    <n v="0.15"/>
    <n v="17"/>
    <n v="39810.328000000001"/>
    <n v="19454.460000000003"/>
    <n v="20355.867999999999"/>
    <n v="0.51132128326096682"/>
    <x v="28"/>
    <x v="9"/>
    <s v="Asia →Japan →Tokyo"/>
    <s v="High"/>
    <x v="4"/>
    <x v="2"/>
  </r>
  <r>
    <s v="ORD-2025-983096"/>
    <d v="2025-05-17T00:00:00"/>
    <d v="2025-05-28T00:00:00"/>
    <d v="2025-05-17T00:00:00"/>
    <d v="2025-05-28T00:00:00"/>
    <n v="11"/>
    <d v="2025-05-28T00:00:00"/>
    <n v="11"/>
    <x v="0"/>
    <x v="0"/>
    <x v="3"/>
    <x v="9"/>
    <s v="Bengaluru"/>
    <s v="Corporate"/>
    <x v="0"/>
    <x v="0"/>
    <x v="0"/>
    <x v="548"/>
    <n v="623.4"/>
    <n v="1100.0899999999999"/>
    <n v="1100.0899999999999"/>
    <n v="0.114"/>
    <n v="12"/>
    <n v="11696.156879999999"/>
    <n v="7480.7999999999993"/>
    <n v="4215.3568799999994"/>
    <n v="0.36040529579490388"/>
    <x v="28"/>
    <x v="9"/>
    <s v="Asia →India →Bengaluru"/>
    <s v="Medium"/>
    <x v="4"/>
    <x v="2"/>
  </r>
  <r>
    <s v="ORD-2025-828263"/>
    <d v="2025-05-17T00:00:00"/>
    <d v="2025-05-30T00:00:00"/>
    <d v="2025-05-17T00:00:00"/>
    <d v="2025-05-30T00:00:00"/>
    <n v="13"/>
    <d v="2025-05-30T00:00:00"/>
    <n v="13"/>
    <x v="0"/>
    <x v="0"/>
    <x v="1"/>
    <x v="5"/>
    <s v="Lagos"/>
    <s v="Consumer"/>
    <x v="0"/>
    <x v="7"/>
    <x v="3"/>
    <x v="549"/>
    <n v="66.400000000000006"/>
    <n v="141.43"/>
    <n v="141.43"/>
    <n v="0.107"/>
    <n v="8"/>
    <n v="1010.3759200000001"/>
    <n v="531.20000000000005"/>
    <n v="479.17592000000002"/>
    <n v="0.47425508715607551"/>
    <x v="28"/>
    <x v="9"/>
    <s v="Africa →Nigeria →Lagos"/>
    <s v="Low"/>
    <x v="4"/>
    <x v="2"/>
  </r>
  <r>
    <s v="ORD-2025-364852"/>
    <d v="2025-05-18T00:00:00"/>
    <d v="2025-06-09T00:00:00"/>
    <d v="2025-05-18T00:00:00"/>
    <d v="2025-06-09T00:00:00"/>
    <n v="22"/>
    <d v="2025-06-09T00:00:00"/>
    <n v="22"/>
    <x v="0"/>
    <x v="0"/>
    <x v="0"/>
    <x v="4"/>
    <s v="New York"/>
    <s v="Consumer"/>
    <x v="3"/>
    <x v="4"/>
    <x v="4"/>
    <x v="550"/>
    <n v="382.96"/>
    <n v="552.84"/>
    <n v="552.84"/>
    <n v="0.17599999999999999"/>
    <n v="8"/>
    <n v="3644.3212800000006"/>
    <n v="3063.68"/>
    <n v="580.64128000000073"/>
    <n v="0.15932768693763483"/>
    <x v="28"/>
    <x v="9"/>
    <s v="Americas →USA →New York"/>
    <s v="Low"/>
    <x v="4"/>
    <x v="2"/>
  </r>
  <r>
    <s v="ORD-2025-779530"/>
    <d v="2025-05-19T00:00:00"/>
    <d v="2025-05-17T00:00:00"/>
    <d v="2025-05-17T00:00:00"/>
    <d v="2025-05-19T00:00:00"/>
    <n v="2"/>
    <d v="2025-05-26T00:00:00"/>
    <n v="7"/>
    <x v="1"/>
    <x v="1"/>
    <x v="0"/>
    <x v="10"/>
    <s v="São Paulo"/>
    <s v="Small Business"/>
    <x v="0"/>
    <x v="9"/>
    <x v="5"/>
    <x v="551"/>
    <n v="383.77"/>
    <n v="952.56"/>
    <n v="952.56"/>
    <n v="0.34599999999999997"/>
    <n v="10"/>
    <n v="6229.7423999999992"/>
    <n v="3837.7"/>
    <n v="2392.0423999999994"/>
    <n v="0.38397131797937578"/>
    <x v="28"/>
    <x v="9"/>
    <s v="Americas →Brazil →São Paulo"/>
    <s v="Medium"/>
    <x v="4"/>
    <x v="2"/>
  </r>
  <r>
    <s v="ORD-2025-997421"/>
    <d v="2025-05-21T00:00:00"/>
    <d v="2025-06-09T00:00:00"/>
    <d v="2025-05-21T00:00:00"/>
    <d v="2025-06-09T00:00:00"/>
    <n v="19"/>
    <d v="2025-06-09T00:00:00"/>
    <n v="19"/>
    <x v="0"/>
    <x v="0"/>
    <x v="0"/>
    <x v="10"/>
    <s v="São Paulo"/>
    <s v="Non-Profit"/>
    <x v="1"/>
    <x v="1"/>
    <x v="6"/>
    <x v="552"/>
    <n v="1331.38"/>
    <n v="2309.56"/>
    <n v="2309.56"/>
    <n v="0.14899999999999999"/>
    <n v="31"/>
    <n v="60928.502359999999"/>
    <n v="41272.780000000006"/>
    <n v="19655.722359999992"/>
    <n v="0.32260307735553528"/>
    <x v="28"/>
    <x v="9"/>
    <s v="Americas →Brazil →São Paulo"/>
    <s v="High"/>
    <x v="4"/>
    <x v="2"/>
  </r>
  <r>
    <s v="ORD-2025-745263"/>
    <d v="2025-05-21T00:00:00"/>
    <d v="2025-05-19T00:00:00"/>
    <d v="2025-05-19T00:00:00"/>
    <d v="2025-05-21T00:00:00"/>
    <n v="2"/>
    <d v="2025-05-28T00:00:00"/>
    <n v="7"/>
    <x v="1"/>
    <x v="0"/>
    <x v="2"/>
    <x v="6"/>
    <s v="Birmingham"/>
    <s v="Enterprise"/>
    <x v="1"/>
    <x v="3"/>
    <x v="0"/>
    <x v="553"/>
    <n v="1015.16"/>
    <n v="2148.14"/>
    <n v="2148.14"/>
    <n v="3.7999999999999999E-2"/>
    <n v="19"/>
    <n v="39263.702919999996"/>
    <n v="19288.04"/>
    <n v="19975.662919999995"/>
    <n v="0.50875647059322227"/>
    <x v="28"/>
    <x v="9"/>
    <s v="Europe →United Kingdom →Birmingham"/>
    <s v="High"/>
    <x v="4"/>
    <x v="2"/>
  </r>
  <r>
    <s v="ORD-2025-700847"/>
    <d v="2025-05-21T00:00:00"/>
    <d v="2025-05-19T00:00:00"/>
    <d v="2025-05-19T00:00:00"/>
    <d v="2025-05-21T00:00:00"/>
    <n v="2"/>
    <d v="2025-05-28T00:00:00"/>
    <n v="7"/>
    <x v="1"/>
    <x v="0"/>
    <x v="1"/>
    <x v="1"/>
    <s v="Johannesburg"/>
    <s v="Non-Profit"/>
    <x v="0"/>
    <x v="5"/>
    <x v="0"/>
    <x v="554"/>
    <n v="1263.8399999999999"/>
    <n v="2281.7199999999998"/>
    <n v="2281.7199999999998"/>
    <n v="7.8E-2"/>
    <n v="15"/>
    <n v="31556.187599999997"/>
    <n v="18957.599999999999"/>
    <n v="12598.587599999999"/>
    <n v="0.39924301882398494"/>
    <x v="28"/>
    <x v="9"/>
    <s v="Africa →South Africa →Johannesburg"/>
    <s v="High"/>
    <x v="4"/>
    <x v="2"/>
  </r>
  <r>
    <s v="ORD-2025-486350"/>
    <d v="2025-05-27T00:00:00"/>
    <d v="2025-06-08T00:00:00"/>
    <d v="2025-05-27T00:00:00"/>
    <d v="2025-06-08T00:00:00"/>
    <n v="12"/>
    <d v="2025-06-08T00:00:00"/>
    <n v="12"/>
    <x v="0"/>
    <x v="0"/>
    <x v="3"/>
    <x v="11"/>
    <s v="Osaka"/>
    <s v="Corporate"/>
    <x v="3"/>
    <x v="4"/>
    <x v="3"/>
    <x v="555"/>
    <n v="653.6"/>
    <n v="842.09"/>
    <n v="842.09"/>
    <n v="9.8000000000000004E-2"/>
    <n v="19"/>
    <n v="14431.738420000001"/>
    <n v="12418.4"/>
    <n v="2013.3384200000019"/>
    <n v="0.13950768517324622"/>
    <x v="28"/>
    <x v="9"/>
    <s v="Asia →Japan →Osaka"/>
    <s v="Medium"/>
    <x v="4"/>
    <x v="2"/>
  </r>
  <r>
    <s v="ORD-2025-820255"/>
    <d v="2025-05-29T00:00:00"/>
    <d v="2025-06-20T00:00:00"/>
    <d v="2025-05-29T00:00:00"/>
    <d v="2025-06-20T00:00:00"/>
    <n v="22"/>
    <d v="2025-06-20T00:00:00"/>
    <n v="22"/>
    <x v="0"/>
    <x v="0"/>
    <x v="2"/>
    <x v="8"/>
    <s v="Berlin"/>
    <s v="Corporate"/>
    <x v="2"/>
    <x v="1"/>
    <x v="1"/>
    <x v="556"/>
    <n v="483.47"/>
    <n v="1135.43"/>
    <n v="1135.43"/>
    <n v="0.14599999999999999"/>
    <n v="11"/>
    <n v="10666.229420000001"/>
    <n v="5318.17"/>
    <n v="5348.0594200000014"/>
    <n v="0.50140112399719983"/>
    <x v="28"/>
    <x v="9"/>
    <s v="Europe →Germany →Berlin"/>
    <s v="Medium"/>
    <x v="4"/>
    <x v="2"/>
  </r>
  <r>
    <s v="ORD-2025-398335"/>
    <d v="2025-06-01T00:00:00"/>
    <d v="2025-06-27T00:00:00"/>
    <d v="2025-06-01T00:00:00"/>
    <d v="2025-06-27T00:00:00"/>
    <n v="26"/>
    <d v="2025-06-27T00:00:00"/>
    <n v="26"/>
    <x v="0"/>
    <x v="0"/>
    <x v="2"/>
    <x v="8"/>
    <s v="Munich"/>
    <s v="Consumer"/>
    <x v="0"/>
    <x v="14"/>
    <x v="0"/>
    <x v="557"/>
    <n v="1362.31"/>
    <n v="3294.57"/>
    <n v="3294.57"/>
    <n v="0.113"/>
    <n v="7"/>
    <n v="20455.985130000001"/>
    <n v="9536.17"/>
    <n v="10919.815130000001"/>
    <n v="0.5338200561157721"/>
    <x v="29"/>
    <x v="9"/>
    <s v="Europe →Germany →Munich"/>
    <s v="High"/>
    <x v="5"/>
    <x v="2"/>
  </r>
  <r>
    <s v="ORD-2025-231184"/>
    <d v="2025-06-01T00:00:00"/>
    <d v="2025-06-06T00:00:00"/>
    <d v="2025-06-01T00:00:00"/>
    <d v="2025-06-06T00:00:00"/>
    <n v="5"/>
    <d v="2025-06-06T00:00:00"/>
    <n v="5"/>
    <x v="1"/>
    <x v="0"/>
    <x v="2"/>
    <x v="2"/>
    <s v="Paris"/>
    <s v="Consumer"/>
    <x v="0"/>
    <x v="6"/>
    <x v="6"/>
    <x v="558"/>
    <n v="379.45"/>
    <n v="742.23"/>
    <n v="742.23"/>
    <n v="0.09"/>
    <n v="13"/>
    <n v="8780.5809000000008"/>
    <n v="4932.8499999999995"/>
    <n v="3847.7309000000014"/>
    <n v="0.43820915083192286"/>
    <x v="29"/>
    <x v="9"/>
    <s v="Europe →France →Paris"/>
    <s v="Low"/>
    <x v="5"/>
    <x v="2"/>
  </r>
  <r>
    <s v="ORD-2025-795385"/>
    <d v="2025-06-01T00:00:00"/>
    <d v="2025-06-05T00:00:00"/>
    <d v="2025-06-01T00:00:00"/>
    <d v="2025-06-05T00:00:00"/>
    <n v="4"/>
    <d v="2025-06-05T00:00:00"/>
    <n v="4"/>
    <x v="1"/>
    <x v="1"/>
    <x v="2"/>
    <x v="8"/>
    <s v="Munich"/>
    <s v="Enterprise"/>
    <x v="2"/>
    <x v="3"/>
    <x v="6"/>
    <x v="559"/>
    <n v="1171.42"/>
    <n v="2187.8000000000002"/>
    <n v="2187.8000000000002"/>
    <n v="0.23"/>
    <n v="15"/>
    <n v="25269.09"/>
    <n v="17571.300000000003"/>
    <n v="7697.7899999999972"/>
    <n v="0.30463265594447592"/>
    <x v="29"/>
    <x v="9"/>
    <s v="Europe →Germany →Munich"/>
    <s v="High"/>
    <x v="5"/>
    <x v="2"/>
  </r>
  <r>
    <s v="ORD-2025-698069"/>
    <d v="2025-06-03T00:00:00"/>
    <d v="2025-06-10T00:00:00"/>
    <d v="2025-06-03T00:00:00"/>
    <d v="2025-06-10T00:00:00"/>
    <n v="7"/>
    <d v="2025-06-10T00:00:00"/>
    <n v="7"/>
    <x v="1"/>
    <x v="0"/>
    <x v="0"/>
    <x v="0"/>
    <s v="Toronto"/>
    <s v="Consumer"/>
    <x v="0"/>
    <x v="5"/>
    <x v="1"/>
    <x v="560"/>
    <n v="75.180000000000007"/>
    <n v="53.45"/>
    <n v="53.45"/>
    <n v="0.157"/>
    <n v="17"/>
    <n v="765.99195000000009"/>
    <n v="1278.0600000000002"/>
    <n v="-512.06805000000008"/>
    <n v="-0.66850317421743144"/>
    <x v="29"/>
    <x v="9"/>
    <s v="Americas →Canada →Toronto"/>
    <s v="Low"/>
    <x v="5"/>
    <x v="2"/>
  </r>
  <r>
    <s v="ORD-2025-411385"/>
    <d v="2025-06-05T00:00:00"/>
    <d v="2025-06-14T00:00:00"/>
    <d v="2025-06-05T00:00:00"/>
    <d v="2025-06-14T00:00:00"/>
    <n v="9"/>
    <d v="2025-06-14T00:00:00"/>
    <n v="9"/>
    <x v="0"/>
    <x v="0"/>
    <x v="3"/>
    <x v="9"/>
    <s v="Delhi"/>
    <s v="Non-Profit"/>
    <x v="3"/>
    <x v="1"/>
    <x v="3"/>
    <x v="561"/>
    <n v="618.69000000000005"/>
    <n v="796.15"/>
    <n v="796.15"/>
    <n v="0.09"/>
    <n v="11"/>
    <n v="7969.4615000000003"/>
    <n v="6805.59"/>
    <n v="1163.8715000000002"/>
    <n v="0.14604142325049191"/>
    <x v="29"/>
    <x v="9"/>
    <s v="Asia →India →Delhi"/>
    <s v="Low"/>
    <x v="5"/>
    <x v="2"/>
  </r>
  <r>
    <s v="ORD-2025-639542"/>
    <d v="2025-06-09T00:00:00"/>
    <d v="2025-06-18T00:00:00"/>
    <d v="2025-06-09T00:00:00"/>
    <d v="2025-06-18T00:00:00"/>
    <n v="9"/>
    <d v="2025-06-18T00:00:00"/>
    <n v="9"/>
    <x v="0"/>
    <x v="0"/>
    <x v="2"/>
    <x v="2"/>
    <s v="Marseille"/>
    <s v="Small Business"/>
    <x v="4"/>
    <x v="4"/>
    <x v="3"/>
    <x v="562"/>
    <n v="1225.5"/>
    <n v="-5.27"/>
    <n v="5.27"/>
    <n v="7.4999999999999997E-2"/>
    <n v="56"/>
    <n v="272.98599999999999"/>
    <n v="68628"/>
    <n v="-68355.013999999996"/>
    <n v="-250.39750756449047"/>
    <x v="29"/>
    <x v="9"/>
    <s v="Europe →France →Marseille"/>
    <s v="Low"/>
    <x v="5"/>
    <x v="2"/>
  </r>
  <r>
    <s v="ORD-2025-526752"/>
    <d v="2025-06-09T00:00:00"/>
    <d v="2025-06-25T00:00:00"/>
    <d v="2025-06-09T00:00:00"/>
    <d v="2025-06-25T00:00:00"/>
    <n v="16"/>
    <d v="2025-06-25T00:00:00"/>
    <n v="16"/>
    <x v="0"/>
    <x v="0"/>
    <x v="3"/>
    <x v="9"/>
    <s v="Hyderabad"/>
    <s v="Enterprise"/>
    <x v="0"/>
    <x v="3"/>
    <x v="2"/>
    <x v="563"/>
    <n v="527.33000000000004"/>
    <n v="911.72"/>
    <n v="911.72"/>
    <n v="0.14399999999999999"/>
    <n v="25"/>
    <n v="19510.808000000001"/>
    <n v="13183.250000000002"/>
    <n v="6327.5579999999991"/>
    <n v="0.32431040272652978"/>
    <x v="29"/>
    <x v="9"/>
    <s v="Asia →India →Hyderabad"/>
    <s v="Medium"/>
    <x v="5"/>
    <x v="2"/>
  </r>
  <r>
    <s v="ORD-2025-417942"/>
    <d v="2025-06-09T00:00:00"/>
    <d v="2025-06-24T00:00:00"/>
    <d v="2025-06-09T00:00:00"/>
    <d v="2025-06-24T00:00:00"/>
    <n v="15"/>
    <d v="2025-06-24T00:00:00"/>
    <n v="15"/>
    <x v="0"/>
    <x v="0"/>
    <x v="3"/>
    <x v="11"/>
    <s v="Nagoya"/>
    <s v="Corporate"/>
    <x v="2"/>
    <x v="0"/>
    <x v="2"/>
    <x v="564"/>
    <n v="400.39"/>
    <n v="712.75"/>
    <n v="712.75"/>
    <n v="0.115"/>
    <n v="19"/>
    <n v="11984.891250000001"/>
    <n v="7607.41"/>
    <n v="4377.4812500000007"/>
    <n v="0.36524997671547504"/>
    <x v="29"/>
    <x v="9"/>
    <s v="Asia →Japan →Nagoya"/>
    <s v="Low"/>
    <x v="5"/>
    <x v="2"/>
  </r>
  <r>
    <s v="ORD-2025-580047"/>
    <d v="2025-06-14T00:00:00"/>
    <d v="2025-06-29T00:00:00"/>
    <d v="2025-06-14T00:00:00"/>
    <d v="2025-06-29T00:00:00"/>
    <n v="15"/>
    <d v="2025-06-29T00:00:00"/>
    <n v="15"/>
    <x v="0"/>
    <x v="0"/>
    <x v="1"/>
    <x v="5"/>
    <s v="Port Harcourt"/>
    <s v="Consumer"/>
    <x v="4"/>
    <x v="3"/>
    <x v="3"/>
    <x v="565"/>
    <n v="730.99"/>
    <n v="1242.8399999999999"/>
    <n v="1242.8399999999999"/>
    <n v="0.12"/>
    <n v="10"/>
    <n v="10936.992"/>
    <n v="7309.9"/>
    <n v="3627.0920000000006"/>
    <n v="0.33163524303574515"/>
    <x v="29"/>
    <x v="9"/>
    <s v="Africa →Nigeria →Port Harcourt"/>
    <s v="Medium"/>
    <x v="5"/>
    <x v="2"/>
  </r>
  <r>
    <s v="ORD-2025-485946"/>
    <d v="2025-06-15T00:00:00"/>
    <d v="2025-06-30T00:00:00"/>
    <d v="2025-06-15T00:00:00"/>
    <d v="2025-06-30T00:00:00"/>
    <n v="15"/>
    <d v="2025-06-30T00:00:00"/>
    <n v="15"/>
    <x v="0"/>
    <x v="0"/>
    <x v="1"/>
    <x v="1"/>
    <s v="Johannesburg"/>
    <s v="Small Business"/>
    <x v="2"/>
    <x v="11"/>
    <x v="5"/>
    <x v="566"/>
    <n v="1487.59"/>
    <n v="1480.83"/>
    <n v="1480.83"/>
    <n v="8.9999999999999993E-3"/>
    <n v="11"/>
    <n v="16142.527829999999"/>
    <n v="16363.49"/>
    <n v="-220.9621700000007"/>
    <n v="-1.3688201273492908E-2"/>
    <x v="29"/>
    <x v="9"/>
    <s v="Africa →South Africa →Johannesburg"/>
    <s v="Medium"/>
    <x v="5"/>
    <x v="2"/>
  </r>
  <r>
    <s v="ORD-2025-856556"/>
    <d v="2025-06-15T00:00:00"/>
    <d v="2025-07-12T00:00:00"/>
    <d v="2025-06-15T00:00:00"/>
    <d v="2025-07-12T00:00:00"/>
    <n v="27"/>
    <d v="2025-07-12T00:00:00"/>
    <n v="27"/>
    <x v="0"/>
    <x v="0"/>
    <x v="2"/>
    <x v="2"/>
    <s v="Marseille"/>
    <s v="Consumer"/>
    <x v="2"/>
    <x v="11"/>
    <x v="3"/>
    <x v="567"/>
    <n v="318.83"/>
    <n v="699.5"/>
    <n v="699.5"/>
    <n v="0.08"/>
    <n v="13"/>
    <n v="8366.02"/>
    <n v="4144.79"/>
    <n v="4221.2300000000005"/>
    <n v="0.50456848059172699"/>
    <x v="29"/>
    <x v="9"/>
    <s v="Europe →France →Marseille"/>
    <s v="Low"/>
    <x v="5"/>
    <x v="2"/>
  </r>
  <r>
    <s v="ORD-2025-480172"/>
    <d v="2025-06-17T00:00:00"/>
    <d v="2025-07-05T00:00:00"/>
    <d v="2025-06-17T00:00:00"/>
    <d v="2025-07-05T00:00:00"/>
    <n v="18"/>
    <d v="2025-07-05T00:00:00"/>
    <n v="18"/>
    <x v="0"/>
    <x v="0"/>
    <x v="3"/>
    <x v="9"/>
    <s v="Delhi"/>
    <s v="Consumer"/>
    <x v="4"/>
    <x v="9"/>
    <x v="0"/>
    <x v="568"/>
    <n v="982.93"/>
    <n v="2299.3000000000002"/>
    <n v="2299.3000000000002"/>
    <n v="0.113"/>
    <n v="6"/>
    <n v="12236.874600000001"/>
    <n v="5897.58"/>
    <n v="6339.2946000000011"/>
    <n v="0.51804850562087157"/>
    <x v="29"/>
    <x v="9"/>
    <s v="Asia →India →Delhi"/>
    <s v="High"/>
    <x v="5"/>
    <x v="2"/>
  </r>
  <r>
    <s v="ORD-2025-184082"/>
    <d v="2025-06-19T00:00:00"/>
    <d v="2025-07-12T00:00:00"/>
    <d v="2025-06-19T00:00:00"/>
    <d v="2025-07-12T00:00:00"/>
    <n v="23"/>
    <d v="2025-07-12T00:00:00"/>
    <n v="23"/>
    <x v="0"/>
    <x v="0"/>
    <x v="2"/>
    <x v="6"/>
    <s v="N/A"/>
    <s v="Non-Profit"/>
    <x v="2"/>
    <x v="15"/>
    <x v="4"/>
    <x v="569"/>
    <n v="801.24"/>
    <n v="1959.09"/>
    <n v="1959.09"/>
    <n v="0.123"/>
    <n v="23"/>
    <n v="39516.804389999998"/>
    <n v="18428.52"/>
    <n v="21088.284389999997"/>
    <n v="0.53365358650651762"/>
    <x v="29"/>
    <x v="9"/>
    <s v="Europe →United Kingdom →N/A"/>
    <s v="High"/>
    <x v="5"/>
    <x v="2"/>
  </r>
  <r>
    <s v="ORD-2025-262434"/>
    <d v="2025-06-19T00:00:00"/>
    <d v="2025-06-21T00:00:00"/>
    <d v="2025-06-19T00:00:00"/>
    <d v="2025-06-21T00:00:00"/>
    <n v="2"/>
    <d v="2025-06-21T00:00:00"/>
    <n v="2"/>
    <x v="1"/>
    <x v="0"/>
    <x v="1"/>
    <x v="1"/>
    <s v="Johannesburg"/>
    <s v="Small Business"/>
    <x v="5"/>
    <x v="4"/>
    <x v="2"/>
    <x v="570"/>
    <n v="1466.27"/>
    <n v="3589.89"/>
    <n v="3589.89"/>
    <n v="9.7000000000000003E-2"/>
    <n v="9"/>
    <n v="29175.036029999999"/>
    <n v="13196.43"/>
    <n v="15978.606029999999"/>
    <n v="0.54768076425234147"/>
    <x v="29"/>
    <x v="9"/>
    <s v="Africa →South Africa →Johannesburg"/>
    <s v="High"/>
    <x v="5"/>
    <x v="2"/>
  </r>
  <r>
    <s v="ORD-2025-908258"/>
    <d v="2025-06-21T00:00:00"/>
    <d v="2025-06-27T00:00:00"/>
    <d v="2025-06-21T00:00:00"/>
    <d v="2025-06-27T00:00:00"/>
    <n v="6"/>
    <d v="2025-06-27T00:00:00"/>
    <n v="6"/>
    <x v="1"/>
    <x v="0"/>
    <x v="1"/>
    <x v="1"/>
    <s v="Durban"/>
    <s v="Enterprise"/>
    <x v="0"/>
    <x v="8"/>
    <x v="2"/>
    <x v="571"/>
    <n v="93.91"/>
    <n v="99.04"/>
    <n v="99.04"/>
    <n v="5.7000000000000002E-2"/>
    <n v="6"/>
    <n v="560.36831999999993"/>
    <n v="563.46"/>
    <n v="-3.0916800000001103"/>
    <n v="-5.5172283829323376E-3"/>
    <x v="29"/>
    <x v="9"/>
    <s v="Africa →South Africa →Durban"/>
    <s v="Low"/>
    <x v="5"/>
    <x v="2"/>
  </r>
  <r>
    <s v="ORD-2025-278048"/>
    <d v="2025-06-22T00:00:00"/>
    <d v="2025-07-08T00:00:00"/>
    <d v="2025-06-22T00:00:00"/>
    <d v="2025-07-08T00:00:00"/>
    <n v="16"/>
    <d v="2025-07-08T00:00:00"/>
    <n v="16"/>
    <x v="0"/>
    <x v="0"/>
    <x v="2"/>
    <x v="6"/>
    <s v="London"/>
    <s v="Education"/>
    <x v="2"/>
    <x v="1"/>
    <x v="2"/>
    <x v="572"/>
    <n v="892.73"/>
    <n v="979.84"/>
    <n v="979.84"/>
    <n v="0.17399999999999999"/>
    <n v="10"/>
    <n v="8093.4784"/>
    <n v="8927.2999999999993"/>
    <n v="-833.82159999999931"/>
    <n v="-0.10302388649112838"/>
    <x v="29"/>
    <x v="9"/>
    <s v="Europe →United Kingdom →London"/>
    <s v="Medium"/>
    <x v="5"/>
    <x v="2"/>
  </r>
  <r>
    <s v="ORD-2025-718992"/>
    <d v="2025-06-24T00:00:00"/>
    <d v="2025-07-10T00:00:00"/>
    <d v="2025-06-24T00:00:00"/>
    <d v="2025-07-10T00:00:00"/>
    <n v="16"/>
    <d v="2025-07-10T00:00:00"/>
    <n v="16"/>
    <x v="0"/>
    <x v="0"/>
    <x v="3"/>
    <x v="3"/>
    <s v="Shanghai"/>
    <s v="Enterprise"/>
    <x v="2"/>
    <x v="8"/>
    <x v="6"/>
    <x v="573"/>
    <n v="757.19"/>
    <n v="1735.41"/>
    <n v="1735.41"/>
    <n v="0.13600000000000001"/>
    <n v="8"/>
    <n v="11995.153920000001"/>
    <n v="6057.52"/>
    <n v="5937.6339200000002"/>
    <n v="0.4950027285685718"/>
    <x v="29"/>
    <x v="9"/>
    <s v="Asia →China →Shanghai"/>
    <s v="High"/>
    <x v="5"/>
    <x v="2"/>
  </r>
  <r>
    <s v="ORD-2025-678328"/>
    <d v="2025-06-24T00:00:00"/>
    <d v="2025-07-14T00:00:00"/>
    <d v="2025-06-24T00:00:00"/>
    <d v="2025-07-14T00:00:00"/>
    <n v="20"/>
    <d v="2025-07-14T00:00:00"/>
    <n v="20"/>
    <x v="0"/>
    <x v="0"/>
    <x v="2"/>
    <x v="8"/>
    <s v="Berlin"/>
    <s v="Corporate"/>
    <x v="2"/>
    <x v="5"/>
    <x v="3"/>
    <x v="574"/>
    <n v="385.08"/>
    <n v="893.19"/>
    <n v="893.19"/>
    <n v="0.151"/>
    <n v="8"/>
    <n v="6066.54648"/>
    <n v="3080.64"/>
    <n v="2985.9064800000001"/>
    <n v="0.49219213762621666"/>
    <x v="29"/>
    <x v="9"/>
    <s v="Europe →Germany →Berlin"/>
    <s v="Medium"/>
    <x v="5"/>
    <x v="2"/>
  </r>
  <r>
    <s v="ORD-2025-306903"/>
    <d v="2025-06-24T00:00:00"/>
    <d v="2025-07-23T00:00:00"/>
    <d v="2025-06-24T00:00:00"/>
    <d v="2025-07-23T00:00:00"/>
    <n v="29"/>
    <d v="2025-07-23T00:00:00"/>
    <n v="29"/>
    <x v="0"/>
    <x v="0"/>
    <x v="0"/>
    <x v="0"/>
    <s v="Vancouver"/>
    <s v="Non-Profit"/>
    <x v="4"/>
    <x v="12"/>
    <x v="1"/>
    <x v="575"/>
    <n v="255.4"/>
    <n v="322.70999999999998"/>
    <n v="322.70999999999998"/>
    <n v="0.115"/>
    <n v="16"/>
    <n v="4569.5735999999997"/>
    <n v="4086.4"/>
    <n v="483.17359999999962"/>
    <n v="0.10573713048412212"/>
    <x v="29"/>
    <x v="9"/>
    <s v="Americas →Canada →Vancouver"/>
    <s v="Low"/>
    <x v="5"/>
    <x v="2"/>
  </r>
  <r>
    <s v="ORD-2025-312803"/>
    <d v="2025-06-24T00:00:00"/>
    <d v="2025-07-14T00:00:00"/>
    <d v="2025-06-24T00:00:00"/>
    <d v="2025-07-14T00:00:00"/>
    <n v="20"/>
    <d v="2025-07-14T00:00:00"/>
    <n v="20"/>
    <x v="0"/>
    <x v="1"/>
    <x v="1"/>
    <x v="1"/>
    <s v="Johannesburg"/>
    <s v="Enterprise"/>
    <x v="4"/>
    <x v="13"/>
    <x v="0"/>
    <x v="576"/>
    <n v="1151.06"/>
    <n v="2821.36"/>
    <n v="2821.36"/>
    <n v="0.248"/>
    <n v="20"/>
    <n v="42433.254400000005"/>
    <n v="23021.199999999997"/>
    <n v="19412.054400000008"/>
    <n v="0.45747267501594235"/>
    <x v="29"/>
    <x v="9"/>
    <s v="Africa →South Africa →Johannesburg"/>
    <s v="High"/>
    <x v="5"/>
    <x v="2"/>
  </r>
  <r>
    <s v="ORD-2025-591006"/>
    <d v="2025-06-25T00:00:00"/>
    <d v="2025-07-10T00:00:00"/>
    <d v="2025-06-25T00:00:00"/>
    <d v="2025-07-10T00:00:00"/>
    <n v="15"/>
    <d v="2025-07-10T00:00:00"/>
    <n v="15"/>
    <x v="0"/>
    <x v="0"/>
    <x v="2"/>
    <x v="6"/>
    <s v="Birmingham"/>
    <s v="Non-Profit"/>
    <x v="4"/>
    <x v="2"/>
    <x v="2"/>
    <x v="577"/>
    <n v="546.83000000000004"/>
    <n v="400.84"/>
    <n v="400.84"/>
    <n v="7.8E-2"/>
    <n v="13"/>
    <n v="4804.4682400000002"/>
    <n v="7108.7900000000009"/>
    <n v="-2304.3217600000007"/>
    <n v="-0.47962056254533608"/>
    <x v="29"/>
    <x v="9"/>
    <s v="Europe →United Kingdom →Birmingham"/>
    <s v="Low"/>
    <x v="5"/>
    <x v="2"/>
  </r>
  <r>
    <s v="ORD-2025-929414"/>
    <d v="2025-06-26T00:00:00"/>
    <d v="2025-07-11T00:00:00"/>
    <d v="2025-06-26T00:00:00"/>
    <d v="2025-07-11T00:00:00"/>
    <n v="15"/>
    <d v="2025-07-11T00:00:00"/>
    <n v="15"/>
    <x v="0"/>
    <x v="0"/>
    <x v="1"/>
    <x v="5"/>
    <s v="Port Harcourt"/>
    <s v="Small Business"/>
    <x v="1"/>
    <x v="1"/>
    <x v="0"/>
    <x v="578"/>
    <n v="1170.1500000000001"/>
    <n v="2115.19"/>
    <n v="2115.19"/>
    <n v="9.1999999999999998E-2"/>
    <n v="23"/>
    <n v="44173.627960000005"/>
    <n v="26913.45"/>
    <n v="17260.177960000005"/>
    <n v="0.39073489674946776"/>
    <x v="29"/>
    <x v="9"/>
    <s v="Africa →Nigeria →Port Harcourt"/>
    <s v="High"/>
    <x v="5"/>
    <x v="2"/>
  </r>
  <r>
    <s v="ORD-2025-184754"/>
    <d v="2025-06-27T00:00:00"/>
    <d v="2025-07-05T00:00:00"/>
    <d v="2025-06-27T00:00:00"/>
    <d v="2025-07-05T00:00:00"/>
    <n v="8"/>
    <d v="2025-07-05T00:00:00"/>
    <n v="8"/>
    <x v="0"/>
    <x v="1"/>
    <x v="2"/>
    <x v="8"/>
    <s v="Munich"/>
    <s v="Small Business"/>
    <x v="2"/>
    <x v="6"/>
    <x v="5"/>
    <x v="579"/>
    <n v="314.93"/>
    <n v="687.95"/>
    <n v="687.95"/>
    <n v="0.20499999999999999"/>
    <n v="8"/>
    <n v="4375.3620000000001"/>
    <n v="2519.44"/>
    <n v="1855.922"/>
    <n v="0.424175645352316"/>
    <x v="29"/>
    <x v="9"/>
    <s v="Europe →Germany →Munich"/>
    <s v="Low"/>
    <x v="5"/>
    <x v="2"/>
  </r>
  <r>
    <s v="ORD-2025-188059"/>
    <d v="2025-06-27T00:00:00"/>
    <d v="2025-07-11T00:00:00"/>
    <d v="2025-06-27T00:00:00"/>
    <d v="2025-07-11T00:00:00"/>
    <n v="14"/>
    <d v="2025-07-11T00:00:00"/>
    <n v="14"/>
    <x v="0"/>
    <x v="0"/>
    <x v="3"/>
    <x v="3"/>
    <s v="Shanghai"/>
    <s v="Small Business"/>
    <x v="4"/>
    <x v="9"/>
    <x v="4"/>
    <x v="580"/>
    <n v="1227.7"/>
    <n v="2197.23"/>
    <n v="2197.23"/>
    <n v="9.9000000000000005E-2"/>
    <n v="22"/>
    <n v="43553.493060000001"/>
    <n v="27009.4"/>
    <n v="16544.093059999999"/>
    <n v="0.37985685871873898"/>
    <x v="29"/>
    <x v="9"/>
    <s v="Asia →China →Shanghai"/>
    <s v="High"/>
    <x v="5"/>
    <x v="2"/>
  </r>
  <r>
    <s v="ORD-2025-650841"/>
    <d v="2025-07-03T00:00:00"/>
    <d v="2025-07-06T00:00:00"/>
    <d v="2025-07-03T00:00:00"/>
    <d v="2025-07-06T00:00:00"/>
    <n v="3"/>
    <d v="2025-07-06T00:00:00"/>
    <n v="3"/>
    <x v="1"/>
    <x v="0"/>
    <x v="1"/>
    <x v="5"/>
    <s v="Lagos"/>
    <s v="Consumer"/>
    <x v="1"/>
    <x v="15"/>
    <x v="0"/>
    <x v="581"/>
    <n v="1313.3"/>
    <n v="2884.34"/>
    <n v="2884.34"/>
    <n v="0.157"/>
    <n v="42"/>
    <n v="102122.94203999999"/>
    <n v="55158.6"/>
    <n v="46964.342039999996"/>
    <n v="0.45988042551305253"/>
    <x v="30"/>
    <x v="10"/>
    <s v="Africa →Nigeria →Lagos"/>
    <s v="High"/>
    <x v="6"/>
    <x v="2"/>
  </r>
  <r>
    <s v="ORD-2025-779659"/>
    <d v="2025-07-03T00:00:00"/>
    <d v="2025-07-23T00:00:00"/>
    <d v="2025-07-03T00:00:00"/>
    <d v="2025-07-23T00:00:00"/>
    <n v="20"/>
    <d v="2025-07-23T00:00:00"/>
    <n v="20"/>
    <x v="0"/>
    <x v="0"/>
    <x v="3"/>
    <x v="3"/>
    <s v="Beijing"/>
    <s v="Small Business"/>
    <x v="1"/>
    <x v="3"/>
    <x v="6"/>
    <x v="582"/>
    <n v="647.36"/>
    <n v="1383.6"/>
    <n v="1383.6"/>
    <n v="7.3999999999999996E-2"/>
    <n v="12"/>
    <n v="15374.563199999999"/>
    <n v="7768.32"/>
    <n v="7606.243199999999"/>
    <n v="0.49472906000997802"/>
    <x v="30"/>
    <x v="10"/>
    <s v="Asia →China →Beijing"/>
    <s v="Medium"/>
    <x v="6"/>
    <x v="2"/>
  </r>
  <r>
    <s v="ORD-2025-956101"/>
    <d v="2025-07-09T00:00:00"/>
    <d v="2025-07-18T00:00:00"/>
    <d v="2025-07-09T00:00:00"/>
    <d v="2025-07-18T00:00:00"/>
    <n v="9"/>
    <d v="2025-07-18T00:00:00"/>
    <n v="9"/>
    <x v="0"/>
    <x v="0"/>
    <x v="0"/>
    <x v="0"/>
    <s v="Vancouver"/>
    <s v="Education"/>
    <x v="0"/>
    <x v="12"/>
    <x v="0"/>
    <x v="583"/>
    <n v="57.96"/>
    <n v="88.51"/>
    <n v="88.51"/>
    <n v="4.2999999999999997E-2"/>
    <n v="7"/>
    <n v="592.92849000000001"/>
    <n v="405.72"/>
    <n v="187.20848999999998"/>
    <n v="0.3157353595877978"/>
    <x v="30"/>
    <x v="10"/>
    <s v="Americas →Canada →Vancouver"/>
    <s v="Low"/>
    <x v="6"/>
    <x v="2"/>
  </r>
  <r>
    <s v="ORD-2025-155182"/>
    <d v="2025-07-11T00:00:00"/>
    <d v="2025-08-03T00:00:00"/>
    <d v="2025-07-11T00:00:00"/>
    <d v="2025-08-03T00:00:00"/>
    <n v="23"/>
    <d v="2025-08-03T00:00:00"/>
    <n v="23"/>
    <x v="0"/>
    <x v="0"/>
    <x v="1"/>
    <x v="7"/>
    <s v="Nakuru"/>
    <s v="Small Business"/>
    <x v="3"/>
    <x v="11"/>
    <x v="2"/>
    <x v="584"/>
    <n v="389.93"/>
    <n v="486.13"/>
    <n v="486.13"/>
    <n v="0.13200000000000001"/>
    <n v="17"/>
    <n v="7173.3342799999991"/>
    <n v="6628.81"/>
    <n v="544.52427999999873"/>
    <n v="7.5909508569562828E-2"/>
    <x v="30"/>
    <x v="10"/>
    <s v="Africa →Kenya →Nakuru"/>
    <s v="Low"/>
    <x v="6"/>
    <x v="2"/>
  </r>
  <r>
    <s v="ORD-2025-150713"/>
    <d v="2025-07-11T00:00:00"/>
    <d v="2025-07-16T00:00:00"/>
    <d v="2025-07-11T00:00:00"/>
    <d v="2025-07-16T00:00:00"/>
    <n v="5"/>
    <d v="2025-07-16T00:00:00"/>
    <n v="5"/>
    <x v="1"/>
    <x v="0"/>
    <x v="2"/>
    <x v="6"/>
    <s v="London"/>
    <s v="Enterprise"/>
    <x v="1"/>
    <x v="10"/>
    <x v="1"/>
    <x v="585"/>
    <n v="930.03"/>
    <n v="1086.68"/>
    <n v="1086.68"/>
    <n v="0.109"/>
    <n v="26"/>
    <n v="25174.028880000002"/>
    <n v="24180.78"/>
    <n v="993.24888000000283"/>
    <n v="3.9455300728168656E-2"/>
    <x v="30"/>
    <x v="10"/>
    <s v="Europe →United Kingdom →London"/>
    <s v="Medium"/>
    <x v="6"/>
    <x v="2"/>
  </r>
  <r>
    <s v="ORD-2025-586799"/>
    <d v="2025-07-14T00:00:00"/>
    <d v="2025-08-04T00:00:00"/>
    <d v="2025-07-14T00:00:00"/>
    <d v="2025-08-04T00:00:00"/>
    <n v="21"/>
    <d v="2025-08-04T00:00:00"/>
    <n v="21"/>
    <x v="0"/>
    <x v="0"/>
    <x v="0"/>
    <x v="0"/>
    <s v="Montreal"/>
    <s v="Consumer"/>
    <x v="1"/>
    <x v="4"/>
    <x v="5"/>
    <x v="586"/>
    <n v="90.3"/>
    <n v="131.76"/>
    <n v="131.76"/>
    <n v="0.10199999999999999"/>
    <n v="15"/>
    <n v="1774.8072"/>
    <n v="1354.5"/>
    <n v="420.30719999999997"/>
    <n v="0.23681851189244668"/>
    <x v="30"/>
    <x v="10"/>
    <s v="Americas →Canada →Montreal"/>
    <s v="Low"/>
    <x v="6"/>
    <x v="2"/>
  </r>
  <r>
    <s v="ORD-2025-678688"/>
    <d v="2025-07-16T00:00:00"/>
    <d v="2025-07-17T00:00:00"/>
    <d v="2025-07-16T00:00:00"/>
    <d v="2025-07-17T00:00:00"/>
    <n v="1"/>
    <d v="2025-07-17T00:00:00"/>
    <n v="1"/>
    <x v="1"/>
    <x v="0"/>
    <x v="1"/>
    <x v="1"/>
    <s v="Durban"/>
    <s v="Small Business"/>
    <x v="0"/>
    <x v="0"/>
    <x v="4"/>
    <x v="587"/>
    <n v="1198.9000000000001"/>
    <n v="2941.2"/>
    <n v="2941.2"/>
    <n v="5.0999999999999997E-2"/>
    <n v="24"/>
    <n v="66988.771199999988"/>
    <n v="28773.600000000002"/>
    <n v="38215.171199999982"/>
    <n v="0.57047129713583977"/>
    <x v="30"/>
    <x v="10"/>
    <s v="Africa →South Africa →Durban"/>
    <s v="High"/>
    <x v="6"/>
    <x v="2"/>
  </r>
  <r>
    <s v="ORD-2025-132174"/>
    <d v="2025-07-17T00:00:00"/>
    <d v="2025-07-23T00:00:00"/>
    <d v="2025-07-17T00:00:00"/>
    <d v="2025-07-23T00:00:00"/>
    <n v="6"/>
    <d v="2025-07-23T00:00:00"/>
    <n v="6"/>
    <x v="1"/>
    <x v="0"/>
    <x v="0"/>
    <x v="0"/>
    <s v="Vancouver"/>
    <s v="Consumer"/>
    <x v="1"/>
    <x v="4"/>
    <x v="6"/>
    <x v="588"/>
    <n v="1364.89"/>
    <n v="2757.54"/>
    <n v="2757.54"/>
    <n v="0.17199999999999999"/>
    <n v="61"/>
    <n v="139277.83032000001"/>
    <n v="83258.290000000008"/>
    <n v="56019.54032"/>
    <n v="0.4022143379983118"/>
    <x v="30"/>
    <x v="10"/>
    <s v="Americas →Canada →Vancouver"/>
    <s v="High"/>
    <x v="6"/>
    <x v="2"/>
  </r>
  <r>
    <s v="ORD-2025-649633"/>
    <d v="2025-07-19T00:00:00"/>
    <d v="2025-07-31T00:00:00"/>
    <d v="2025-07-19T00:00:00"/>
    <d v="2025-07-31T00:00:00"/>
    <n v="12"/>
    <d v="2025-07-31T00:00:00"/>
    <n v="12"/>
    <x v="0"/>
    <x v="0"/>
    <x v="1"/>
    <x v="7"/>
    <s v="Nairobi"/>
    <s v="Small Business"/>
    <x v="4"/>
    <x v="5"/>
    <x v="3"/>
    <x v="589"/>
    <n v="619.64"/>
    <n v="861.16"/>
    <n v="861.16"/>
    <n v="0.113"/>
    <n v="14"/>
    <n v="10693.88488"/>
    <n v="8674.9599999999991"/>
    <n v="2018.9248800000005"/>
    <n v="0.18879246435276761"/>
    <x v="30"/>
    <x v="10"/>
    <s v="Africa →Kenya →Nairobi"/>
    <s v="Medium"/>
    <x v="6"/>
    <x v="2"/>
  </r>
  <r>
    <s v="ORD-2025-843974"/>
    <d v="2025-07-20T00:00:00"/>
    <d v="2025-08-05T00:00:00"/>
    <d v="2025-07-20T00:00:00"/>
    <d v="2025-08-05T00:00:00"/>
    <n v="16"/>
    <d v="2025-08-05T00:00:00"/>
    <n v="16"/>
    <x v="0"/>
    <x v="0"/>
    <x v="0"/>
    <x v="10"/>
    <s v="Brasília"/>
    <s v="Enterprise"/>
    <x v="4"/>
    <x v="6"/>
    <x v="3"/>
    <x v="590"/>
    <n v="1068.17"/>
    <n v="2375.37"/>
    <n v="2375.37"/>
    <n v="0.109"/>
    <n v="18"/>
    <n v="38096.18406"/>
    <n v="19227.060000000001"/>
    <n v="18869.124059999998"/>
    <n v="0.49530220744108822"/>
    <x v="30"/>
    <x v="10"/>
    <s v="Americas →Brazil →Brasília"/>
    <s v="High"/>
    <x v="6"/>
    <x v="2"/>
  </r>
  <r>
    <s v="ORD-2025-629393"/>
    <d v="2025-07-21T00:00:00"/>
    <d v="2025-08-07T00:00:00"/>
    <d v="2025-07-21T00:00:00"/>
    <d v="2025-08-07T00:00:00"/>
    <n v="17"/>
    <d v="2025-08-07T00:00:00"/>
    <n v="17"/>
    <x v="0"/>
    <x v="0"/>
    <x v="1"/>
    <x v="5"/>
    <s v="Lagos"/>
    <s v="Enterprise"/>
    <x v="2"/>
    <x v="3"/>
    <x v="3"/>
    <x v="591"/>
    <n v="1204.95"/>
    <n v="2065.73"/>
    <n v="2065.73"/>
    <n v="0.13600000000000001"/>
    <n v="10"/>
    <n v="17847.907199999998"/>
    <n v="12049.5"/>
    <n v="5798.4071999999978"/>
    <n v="0.32487882949100039"/>
    <x v="30"/>
    <x v="10"/>
    <s v="Africa →Nigeria →Lagos"/>
    <s v="High"/>
    <x v="6"/>
    <x v="2"/>
  </r>
  <r>
    <s v="ORD-2025-541501"/>
    <d v="2025-07-22T00:00:00"/>
    <d v="2025-08-18T00:00:00"/>
    <d v="2025-07-22T00:00:00"/>
    <d v="2025-08-18T00:00:00"/>
    <n v="27"/>
    <d v="2025-08-18T00:00:00"/>
    <n v="27"/>
    <x v="0"/>
    <x v="0"/>
    <x v="3"/>
    <x v="3"/>
    <s v="Shenzhen"/>
    <s v="Non-Profit"/>
    <x v="4"/>
    <x v="3"/>
    <x v="4"/>
    <x v="592"/>
    <n v="547.32000000000005"/>
    <n v="419.17"/>
    <n v="419.17"/>
    <n v="9.1999999999999998E-2"/>
    <n v="14"/>
    <n v="5328.4890400000004"/>
    <n v="7662.4800000000005"/>
    <n v="-2333.9909600000001"/>
    <n v="-0.43802116181137907"/>
    <x v="30"/>
    <x v="10"/>
    <s v="Asia →China →Shenzhen"/>
    <s v="Low"/>
    <x v="6"/>
    <x v="2"/>
  </r>
  <r>
    <s v="ORD-2025-789245"/>
    <d v="2025-07-23T00:00:00"/>
    <d v="2025-08-17T00:00:00"/>
    <d v="2025-07-23T00:00:00"/>
    <d v="2025-08-17T00:00:00"/>
    <n v="25"/>
    <d v="2025-08-17T00:00:00"/>
    <n v="25"/>
    <x v="0"/>
    <x v="0"/>
    <x v="2"/>
    <x v="6"/>
    <s v="Birmingham"/>
    <s v="Education"/>
    <x v="1"/>
    <x v="12"/>
    <x v="1"/>
    <x v="593"/>
    <n v="1142.06"/>
    <n v="1455"/>
    <n v="1455"/>
    <n v="7.8E-2"/>
    <n v="28"/>
    <n v="37562.28"/>
    <n v="31977.68"/>
    <n v="5584.5999999999985"/>
    <n v="0.1486757459877302"/>
    <x v="30"/>
    <x v="10"/>
    <s v="Europe →United Kingdom →Birmingham"/>
    <s v="Medium"/>
    <x v="6"/>
    <x v="2"/>
  </r>
  <r>
    <s v="ORD-2025-703623"/>
    <d v="2025-07-23T00:00:00"/>
    <d v="2025-08-19T00:00:00"/>
    <d v="2025-07-23T00:00:00"/>
    <d v="2025-08-19T00:00:00"/>
    <n v="27"/>
    <d v="2025-08-19T00:00:00"/>
    <n v="27"/>
    <x v="0"/>
    <x v="0"/>
    <x v="3"/>
    <x v="11"/>
    <s v="Nagoya"/>
    <s v="Consumer"/>
    <x v="4"/>
    <x v="0"/>
    <x v="3"/>
    <x v="594"/>
    <n v="896.09"/>
    <n v="744.27"/>
    <n v="744.27"/>
    <n v="8.3000000000000004E-2"/>
    <n v="11"/>
    <n v="7507.4514899999995"/>
    <n v="9856.99"/>
    <n v="-2349.5385100000003"/>
    <n v="-0.31296086469950679"/>
    <x v="30"/>
    <x v="10"/>
    <s v="Asia →Japan →Nagoya"/>
    <s v="Low"/>
    <x v="6"/>
    <x v="2"/>
  </r>
  <r>
    <s v="ORD-2025-474710"/>
    <d v="2025-07-24T00:00:00"/>
    <d v="2025-08-06T00:00:00"/>
    <d v="2025-07-24T00:00:00"/>
    <d v="2025-08-06T00:00:00"/>
    <n v="13"/>
    <d v="2025-08-06T00:00:00"/>
    <n v="13"/>
    <x v="0"/>
    <x v="0"/>
    <x v="1"/>
    <x v="1"/>
    <s v="Johannesburg"/>
    <s v="Education"/>
    <x v="4"/>
    <x v="2"/>
    <x v="4"/>
    <x v="595"/>
    <n v="1463.9"/>
    <n v="2633.02"/>
    <n v="2633.02"/>
    <n v="8.4000000000000005E-2"/>
    <n v="4"/>
    <n v="9647.3852800000004"/>
    <n v="5855.6"/>
    <n v="3791.7852800000001"/>
    <n v="0.39303761277791527"/>
    <x v="30"/>
    <x v="10"/>
    <s v="Africa →South Africa →Johannesburg"/>
    <s v="High"/>
    <x v="6"/>
    <x v="2"/>
  </r>
  <r>
    <s v="ORD-2025-496178"/>
    <d v="2025-07-27T00:00:00"/>
    <d v="2025-08-15T00:00:00"/>
    <d v="2025-07-27T00:00:00"/>
    <d v="2025-08-15T00:00:00"/>
    <n v="19"/>
    <d v="2025-08-15T00:00:00"/>
    <n v="19"/>
    <x v="0"/>
    <x v="1"/>
    <x v="3"/>
    <x v="11"/>
    <s v="Tokyo"/>
    <s v="Small Business"/>
    <x v="4"/>
    <x v="13"/>
    <x v="6"/>
    <x v="596"/>
    <n v="275.43"/>
    <n v="608.36"/>
    <n v="608.36"/>
    <n v="0.25700000000000001"/>
    <n v="4"/>
    <n v="1808.04592"/>
    <n v="1101.72"/>
    <n v="706.32592"/>
    <n v="0.39065706915231446"/>
    <x v="30"/>
    <x v="10"/>
    <s v="Asia →Japan →Tokyo"/>
    <s v="Low"/>
    <x v="6"/>
    <x v="2"/>
  </r>
  <r>
    <s v="ORD-2025-262491"/>
    <d v="2025-08-01T00:00:00"/>
    <d v="2025-08-16T00:00:00"/>
    <d v="2025-08-01T00:00:00"/>
    <d v="2025-08-16T00:00:00"/>
    <n v="15"/>
    <d v="2025-08-16T00:00:00"/>
    <n v="15"/>
    <x v="0"/>
    <x v="0"/>
    <x v="3"/>
    <x v="9"/>
    <s v="N/A"/>
    <s v="Enterprise"/>
    <x v="2"/>
    <x v="5"/>
    <x v="5"/>
    <x v="597"/>
    <n v="24.44"/>
    <n v="28.69"/>
    <n v="28.69"/>
    <n v="0.14599999999999999"/>
    <n v="6"/>
    <n v="147.00756000000001"/>
    <n v="146.64000000000001"/>
    <n v="0.36755999999999744"/>
    <n v="2.5002795774584476E-3"/>
    <x v="31"/>
    <x v="10"/>
    <s v="Asia →India →N/A"/>
    <s v="Low"/>
    <x v="7"/>
    <x v="2"/>
  </r>
  <r>
    <s v="ORD-2025-418232"/>
    <d v="2025-08-01T00:00:00"/>
    <d v="2025-08-21T00:00:00"/>
    <d v="2025-08-01T00:00:00"/>
    <d v="2025-08-21T00:00:00"/>
    <n v="20"/>
    <d v="2025-08-21T00:00:00"/>
    <n v="20"/>
    <x v="0"/>
    <x v="0"/>
    <x v="3"/>
    <x v="3"/>
    <s v="Shanghai"/>
    <s v="Corporate"/>
    <x v="2"/>
    <x v="12"/>
    <x v="2"/>
    <x v="598"/>
    <n v="1220.4100000000001"/>
    <n v="2552.2199999999998"/>
    <n v="2552.2199999999998"/>
    <n v="0.18099999999999999"/>
    <n v="14"/>
    <n v="29263.754519999995"/>
    <n v="17085.740000000002"/>
    <n v="12178.014519999993"/>
    <n v="0.41614668793360271"/>
    <x v="31"/>
    <x v="10"/>
    <s v="Asia →China →Shanghai"/>
    <s v="High"/>
    <x v="7"/>
    <x v="2"/>
  </r>
  <r>
    <s v="ORD-2025-646342"/>
    <d v="2025-08-02T00:00:00"/>
    <d v="2025-08-08T00:00:00"/>
    <d v="2025-08-02T00:00:00"/>
    <d v="2025-08-08T00:00:00"/>
    <n v="6"/>
    <d v="2025-08-08T00:00:00"/>
    <n v="6"/>
    <x v="1"/>
    <x v="0"/>
    <x v="3"/>
    <x v="11"/>
    <s v="Osaka"/>
    <s v="Consumer"/>
    <x v="2"/>
    <x v="8"/>
    <x v="0"/>
    <x v="599"/>
    <n v="1225.94"/>
    <n v="1793.08"/>
    <n v="1793.08"/>
    <n v="0.13600000000000001"/>
    <n v="22"/>
    <n v="34082.864639999993"/>
    <n v="26970.68"/>
    <n v="7112.1846399999922"/>
    <n v="0.20867332353434462"/>
    <x v="31"/>
    <x v="10"/>
    <s v="Asia →Japan →Osaka"/>
    <s v="High"/>
    <x v="7"/>
    <x v="2"/>
  </r>
  <r>
    <s v="ORD-2025-281413"/>
    <d v="2025-08-03T00:00:00"/>
    <d v="2025-08-16T00:00:00"/>
    <d v="2025-08-03T00:00:00"/>
    <d v="2025-08-16T00:00:00"/>
    <n v="13"/>
    <d v="2025-08-16T00:00:00"/>
    <n v="13"/>
    <x v="0"/>
    <x v="0"/>
    <x v="0"/>
    <x v="0"/>
    <s v="Montreal"/>
    <s v="Enterprise"/>
    <x v="0"/>
    <x v="5"/>
    <x v="4"/>
    <x v="600"/>
    <n v="698.66"/>
    <n v="868.62"/>
    <n v="868.62"/>
    <n v="7.1999999999999995E-2"/>
    <n v="15"/>
    <n v="12091.190399999999"/>
    <n v="10479.9"/>
    <n v="1611.2903999999999"/>
    <n v="0.13326151906432637"/>
    <x v="31"/>
    <x v="10"/>
    <s v="Americas →Canada →Montreal"/>
    <s v="Medium"/>
    <x v="7"/>
    <x v="2"/>
  </r>
  <r>
    <s v="ORD-2025-537785"/>
    <d v="2025-08-05T00:00:00"/>
    <d v="2025-08-14T00:00:00"/>
    <d v="2025-08-05T00:00:00"/>
    <d v="2025-08-14T00:00:00"/>
    <n v="9"/>
    <d v="2025-08-14T00:00:00"/>
    <n v="9"/>
    <x v="0"/>
    <x v="0"/>
    <x v="2"/>
    <x v="6"/>
    <s v="London"/>
    <s v="Non-Profit"/>
    <x v="2"/>
    <x v="14"/>
    <x v="6"/>
    <x v="601"/>
    <n v="41.76"/>
    <n v="45.19"/>
    <n v="45.19"/>
    <n v="0.17899999999999999"/>
    <n v="23"/>
    <n v="853.32276999999988"/>
    <n v="960.4799999999999"/>
    <n v="-107.15723000000003"/>
    <n v="-0.12557643340514638"/>
    <x v="31"/>
    <x v="10"/>
    <s v="Europe →United Kingdom →London"/>
    <s v="Low"/>
    <x v="7"/>
    <x v="2"/>
  </r>
  <r>
    <s v="ORD-2025-635337"/>
    <d v="2025-08-05T00:00:00"/>
    <d v="2025-08-28T00:00:00"/>
    <d v="2025-08-05T00:00:00"/>
    <d v="2025-08-28T00:00:00"/>
    <n v="23"/>
    <d v="2025-08-28T00:00:00"/>
    <n v="23"/>
    <x v="0"/>
    <x v="0"/>
    <x v="3"/>
    <x v="9"/>
    <s v="Mumbai"/>
    <s v="Non-Profit"/>
    <x v="0"/>
    <x v="8"/>
    <x v="0"/>
    <x v="602"/>
    <n v="638.54"/>
    <n v="987.24"/>
    <n v="987.24"/>
    <n v="0"/>
    <n v="11"/>
    <n v="10859.64"/>
    <n v="7023.94"/>
    <n v="3835.7"/>
    <n v="0.35320692030306716"/>
    <x v="31"/>
    <x v="10"/>
    <s v="Asia →India →Mumbai"/>
    <s v="Medium"/>
    <x v="7"/>
    <x v="2"/>
  </r>
  <r>
    <s v="ORD-2025-419532"/>
    <d v="2025-08-06T00:00:00"/>
    <d v="2025-08-23T00:00:00"/>
    <d v="2025-08-06T00:00:00"/>
    <d v="2025-08-23T00:00:00"/>
    <n v="17"/>
    <d v="2025-08-23T00:00:00"/>
    <n v="17"/>
    <x v="0"/>
    <x v="1"/>
    <x v="0"/>
    <x v="10"/>
    <s v="Brasília"/>
    <s v="Consumer"/>
    <x v="0"/>
    <x v="1"/>
    <x v="5"/>
    <x v="603"/>
    <n v="86.64"/>
    <n v="213.06"/>
    <n v="213.06"/>
    <n v="0.21199999999999999"/>
    <n v="11"/>
    <n v="1846.8040799999999"/>
    <n v="953.04"/>
    <n v="893.76407999999992"/>
    <n v="0.48395175735154322"/>
    <x v="31"/>
    <x v="10"/>
    <s v="Americas →Brazil →Brasília"/>
    <s v="Low"/>
    <x v="7"/>
    <x v="2"/>
  </r>
  <r>
    <s v="ORD-2025-863978"/>
    <d v="2025-08-07T00:00:00"/>
    <d v="2025-08-19T00:00:00"/>
    <d v="2025-08-07T00:00:00"/>
    <d v="2025-08-19T00:00:00"/>
    <n v="12"/>
    <d v="2025-08-19T00:00:00"/>
    <n v="12"/>
    <x v="0"/>
    <x v="0"/>
    <x v="1"/>
    <x v="7"/>
    <s v="Nakuru"/>
    <s v="Corporate"/>
    <x v="5"/>
    <x v="3"/>
    <x v="6"/>
    <x v="604"/>
    <n v="601.51"/>
    <n v="679.35"/>
    <n v="679.35"/>
    <n v="0.188"/>
    <n v="3"/>
    <n v="1654.8966000000003"/>
    <n v="1804.53"/>
    <n v="-149.63339999999971"/>
    <n v="-9.0418579626062243E-2"/>
    <x v="31"/>
    <x v="10"/>
    <s v="Africa →Kenya →Nakuru"/>
    <s v="Low"/>
    <x v="7"/>
    <x v="2"/>
  </r>
  <r>
    <s v="ORD-2025-822030"/>
    <d v="2025-08-07T00:00:00"/>
    <d v="2025-09-06T00:00:00"/>
    <d v="2025-08-07T00:00:00"/>
    <d v="2025-09-06T00:00:00"/>
    <n v="30"/>
    <d v="2025-09-06T00:00:00"/>
    <n v="30"/>
    <x v="0"/>
    <x v="0"/>
    <x v="0"/>
    <x v="0"/>
    <s v="Montreal"/>
    <s v="Education"/>
    <x v="2"/>
    <x v="3"/>
    <x v="4"/>
    <x v="605"/>
    <n v="833.73"/>
    <n v="1116.5999999999999"/>
    <n v="1116.5999999999999"/>
    <n v="0.17599999999999999"/>
    <n v="14"/>
    <n v="12881.097599999999"/>
    <n v="11672.220000000001"/>
    <n v="1208.877599999998"/>
    <n v="9.3848958958279924E-2"/>
    <x v="31"/>
    <x v="10"/>
    <s v="Americas →Canada →Montreal"/>
    <s v="Medium"/>
    <x v="7"/>
    <x v="2"/>
  </r>
  <r>
    <s v="ORD-2025-289139"/>
    <d v="2025-08-10T00:00:00"/>
    <d v="2025-08-30T00:00:00"/>
    <d v="2025-08-10T00:00:00"/>
    <d v="2025-08-30T00:00:00"/>
    <n v="20"/>
    <d v="2025-08-30T00:00:00"/>
    <n v="20"/>
    <x v="0"/>
    <x v="0"/>
    <x v="0"/>
    <x v="4"/>
    <s v="San Francisco"/>
    <s v="Corporate"/>
    <x v="4"/>
    <x v="10"/>
    <x v="1"/>
    <x v="606"/>
    <n v="933.29"/>
    <n v="1456.81"/>
    <n v="1456.81"/>
    <n v="0.123"/>
    <n v="13"/>
    <n v="16609.090809999998"/>
    <n v="12132.77"/>
    <n v="4476.3208099999974"/>
    <n v="0.26951028573489977"/>
    <x v="31"/>
    <x v="10"/>
    <s v="Americas →USA →San Francisco"/>
    <s v="Medium"/>
    <x v="7"/>
    <x v="2"/>
  </r>
  <r>
    <s v="ORD-2025-189846"/>
    <d v="2025-08-11T00:00:00"/>
    <d v="2025-08-28T00:00:00"/>
    <d v="2025-08-11T00:00:00"/>
    <d v="2025-08-28T00:00:00"/>
    <n v="17"/>
    <d v="2025-08-28T00:00:00"/>
    <n v="17"/>
    <x v="0"/>
    <x v="0"/>
    <x v="2"/>
    <x v="2"/>
    <s v="Paris"/>
    <s v="Education"/>
    <x v="1"/>
    <x v="7"/>
    <x v="4"/>
    <x v="607"/>
    <n v="416.16"/>
    <n v="571.9"/>
    <n v="571.9"/>
    <n v="7.0999999999999994E-2"/>
    <n v="2"/>
    <n v="1062.5902000000001"/>
    <n v="832.32"/>
    <n v="230.27020000000005"/>
    <n v="0.21670649701079497"/>
    <x v="31"/>
    <x v="10"/>
    <s v="Europe →France →Paris"/>
    <s v="Low"/>
    <x v="7"/>
    <x v="2"/>
  </r>
  <r>
    <s v="ORD-2025-683043"/>
    <d v="2025-08-13T00:00:00"/>
    <d v="2025-09-03T00:00:00"/>
    <d v="2025-08-13T00:00:00"/>
    <d v="2025-09-03T00:00:00"/>
    <n v="21"/>
    <d v="2025-09-03T00:00:00"/>
    <n v="21"/>
    <x v="0"/>
    <x v="1"/>
    <x v="2"/>
    <x v="2"/>
    <s v="Paris"/>
    <s v="Education"/>
    <x v="3"/>
    <x v="12"/>
    <x v="2"/>
    <x v="608"/>
    <n v="603.47"/>
    <n v="1344.05"/>
    <n v="1344.05"/>
    <n v="0.20499999999999999"/>
    <n v="18"/>
    <n v="19233.355499999998"/>
    <n v="10862.460000000001"/>
    <n v="8370.8954999999969"/>
    <n v="0.43522803392262976"/>
    <x v="31"/>
    <x v="10"/>
    <s v="Europe →France →Paris"/>
    <s v="Medium"/>
    <x v="7"/>
    <x v="2"/>
  </r>
  <r>
    <s v="ORD-2025-949776"/>
    <d v="2025-08-14T00:00:00"/>
    <d v="2025-09-11T00:00:00"/>
    <d v="2025-08-14T00:00:00"/>
    <d v="2025-09-11T00:00:00"/>
    <n v="28"/>
    <d v="2025-09-11T00:00:00"/>
    <n v="28"/>
    <x v="0"/>
    <x v="0"/>
    <x v="0"/>
    <x v="10"/>
    <s v="São Paulo"/>
    <s v="Non-Profit"/>
    <x v="2"/>
    <x v="7"/>
    <x v="1"/>
    <x v="609"/>
    <n v="1203.02"/>
    <n v="2439.33"/>
    <n v="2439.33"/>
    <n v="0"/>
    <n v="18"/>
    <n v="43907.94"/>
    <n v="21654.36"/>
    <n v="22253.58"/>
    <n v="0.50682359500354612"/>
    <x v="31"/>
    <x v="10"/>
    <s v="Americas →Brazil →São Paulo"/>
    <s v="High"/>
    <x v="7"/>
    <x v="2"/>
  </r>
  <r>
    <s v="ORD-2025-960931"/>
    <d v="2025-08-20T00:00:00"/>
    <d v="2025-08-26T00:00:00"/>
    <d v="2025-08-20T00:00:00"/>
    <d v="2025-08-26T00:00:00"/>
    <n v="6"/>
    <d v="2025-08-26T00:00:00"/>
    <n v="6"/>
    <x v="1"/>
    <x v="1"/>
    <x v="0"/>
    <x v="4"/>
    <s v="New York"/>
    <s v="Corporate"/>
    <x v="3"/>
    <x v="3"/>
    <x v="4"/>
    <x v="610"/>
    <n v="1304.95"/>
    <n v="1712.03"/>
    <n v="1712.03"/>
    <n v="0.21199999999999999"/>
    <n v="8"/>
    <n v="10792.637119999999"/>
    <n v="10439.6"/>
    <n v="353.03711999999905"/>
    <n v="3.2710922833287949E-2"/>
    <x v="31"/>
    <x v="10"/>
    <s v="Americas →USA →New York"/>
    <s v="High"/>
    <x v="7"/>
    <x v="2"/>
  </r>
  <r>
    <s v="ORD-2025-652467"/>
    <d v="2025-08-21T00:00:00"/>
    <d v="2025-09-12T00:00:00"/>
    <d v="2025-08-21T00:00:00"/>
    <d v="2025-09-12T00:00:00"/>
    <n v="22"/>
    <d v="2025-09-12T00:00:00"/>
    <n v="22"/>
    <x v="0"/>
    <x v="0"/>
    <x v="3"/>
    <x v="3"/>
    <s v="Shenzhen"/>
    <s v="Education"/>
    <x v="3"/>
    <x v="0"/>
    <x v="1"/>
    <x v="611"/>
    <n v="352.66"/>
    <n v="411.18"/>
    <n v="411.18"/>
    <n v="0.17299999999999999"/>
    <n v="13"/>
    <n v="4420.5961799999995"/>
    <n v="4584.58"/>
    <n v="-163.98382000000038"/>
    <n v="-3.7095408248758066E-2"/>
    <x v="31"/>
    <x v="10"/>
    <s v="Asia →China →Shenzhen"/>
    <s v="Low"/>
    <x v="7"/>
    <x v="2"/>
  </r>
  <r>
    <s v="ORD-2025-677880"/>
    <d v="2025-08-21T00:00:00"/>
    <d v="2025-09-14T00:00:00"/>
    <d v="2025-08-21T00:00:00"/>
    <d v="2025-09-14T00:00:00"/>
    <n v="24"/>
    <d v="2025-09-14T00:00:00"/>
    <n v="24"/>
    <x v="0"/>
    <x v="0"/>
    <x v="2"/>
    <x v="8"/>
    <s v="Berlin"/>
    <s v="Non-Profit"/>
    <x v="1"/>
    <x v="1"/>
    <x v="5"/>
    <x v="612"/>
    <n v="1397.67"/>
    <n v="3131.37"/>
    <n v="3131.37"/>
    <n v="0.10299999999999999"/>
    <n v="20"/>
    <n v="56176.777799999996"/>
    <n v="27953.4"/>
    <n v="28223.377799999995"/>
    <n v="0.50240293062874808"/>
    <x v="31"/>
    <x v="10"/>
    <s v="Europe →Germany →Berlin"/>
    <s v="High"/>
    <x v="7"/>
    <x v="2"/>
  </r>
  <r>
    <s v="ORD-2025-762212"/>
    <d v="2025-08-25T00:00:00"/>
    <d v="2025-09-24T00:00:00"/>
    <d v="2025-08-25T00:00:00"/>
    <d v="2025-09-24T00:00:00"/>
    <n v="30"/>
    <d v="2025-09-24T00:00:00"/>
    <n v="30"/>
    <x v="0"/>
    <x v="0"/>
    <x v="1"/>
    <x v="7"/>
    <s v="Nairobi"/>
    <s v="Consumer"/>
    <x v="2"/>
    <x v="0"/>
    <x v="6"/>
    <x v="613"/>
    <n v="589.14"/>
    <n v="1300.58"/>
    <n v="1300.58"/>
    <n v="5.5E-2"/>
    <n v="11"/>
    <n v="13519.529099999998"/>
    <n v="6480.54"/>
    <n v="7038.989099999998"/>
    <n v="0.52065342275863724"/>
    <x v="31"/>
    <x v="10"/>
    <s v="Africa →Kenya →Nairobi"/>
    <s v="Medium"/>
    <x v="7"/>
    <x v="2"/>
  </r>
  <r>
    <s v="ORD-2025-922513"/>
    <d v="2025-08-28T00:00:00"/>
    <d v="2025-08-26T00:00:00"/>
    <d v="2025-08-26T00:00:00"/>
    <d v="2025-08-28T00:00:00"/>
    <n v="2"/>
    <d v="2025-09-04T00:00:00"/>
    <n v="7"/>
    <x v="1"/>
    <x v="0"/>
    <x v="1"/>
    <x v="5"/>
    <s v="Port Harcourt"/>
    <s v="Small Business"/>
    <x v="3"/>
    <x v="1"/>
    <x v="3"/>
    <x v="614"/>
    <n v="521.05999999999995"/>
    <n v="1240.31"/>
    <n v="1240.31"/>
    <n v="0.14599999999999999"/>
    <n v="18"/>
    <n v="19066.045319999997"/>
    <n v="9379.0799999999981"/>
    <n v="9686.9653199999993"/>
    <n v="0.50807417885650974"/>
    <x v="31"/>
    <x v="10"/>
    <s v="Africa →Nigeria →Port Harcourt"/>
    <s v="Medium"/>
    <x v="7"/>
    <x v="2"/>
  </r>
  <r>
    <s v="ORD-2025-803803"/>
    <d v="2025-08-28T00:00:00"/>
    <d v="2025-09-05T00:00:00"/>
    <d v="2025-08-28T00:00:00"/>
    <d v="2025-09-05T00:00:00"/>
    <n v="8"/>
    <d v="2025-09-05T00:00:00"/>
    <n v="8"/>
    <x v="0"/>
    <x v="1"/>
    <x v="1"/>
    <x v="5"/>
    <s v="Port Harcourt"/>
    <s v="Small Business"/>
    <x v="4"/>
    <x v="14"/>
    <x v="0"/>
    <x v="615"/>
    <n v="1271.0999999999999"/>
    <n v="1932.42"/>
    <n v="1932.42"/>
    <n v="0.25"/>
    <n v="21"/>
    <n v="30435.614999999998"/>
    <n v="26693.1"/>
    <n v="3742.5149999999994"/>
    <n v="0.12296498690760807"/>
    <x v="31"/>
    <x v="10"/>
    <s v="Africa →Nigeria →Port Harcourt"/>
    <s v="High"/>
    <x v="7"/>
    <x v="2"/>
  </r>
  <r>
    <s v="ORD-2025-417336"/>
    <d v="2025-08-30T00:00:00"/>
    <d v="2025-09-03T00:00:00"/>
    <d v="2025-08-30T00:00:00"/>
    <d v="2025-09-03T00:00:00"/>
    <n v="4"/>
    <d v="2025-09-03T00:00:00"/>
    <n v="4"/>
    <x v="1"/>
    <x v="0"/>
    <x v="2"/>
    <x v="2"/>
    <s v="Marseille"/>
    <s v="Small Business"/>
    <x v="4"/>
    <x v="13"/>
    <x v="0"/>
    <x v="616"/>
    <n v="1286.56"/>
    <n v="2777.35"/>
    <n v="2777.35"/>
    <n v="0.13200000000000001"/>
    <n v="15"/>
    <n v="36161.097000000002"/>
    <n v="19298.399999999998"/>
    <n v="16862.697000000004"/>
    <n v="0.46632150014696744"/>
    <x v="31"/>
    <x v="10"/>
    <s v="Europe →France →Marseille"/>
    <s v="High"/>
    <x v="7"/>
    <x v="2"/>
  </r>
  <r>
    <s v="ORD-2025-993993"/>
    <d v="2025-08-30T00:00:00"/>
    <d v="2025-09-22T00:00:00"/>
    <d v="2025-08-30T00:00:00"/>
    <d v="2025-09-22T00:00:00"/>
    <n v="23"/>
    <d v="2025-09-22T00:00:00"/>
    <n v="23"/>
    <x v="0"/>
    <x v="0"/>
    <x v="2"/>
    <x v="2"/>
    <s v="Marseille"/>
    <s v="Corporate"/>
    <x v="2"/>
    <x v="14"/>
    <x v="6"/>
    <x v="617"/>
    <n v="663.9"/>
    <n v="947.77"/>
    <n v="947.77"/>
    <n v="0.17399999999999999"/>
    <n v="15"/>
    <n v="11742.8703"/>
    <n v="9958.5"/>
    <n v="1784.3703000000005"/>
    <n v="0.1519535049280073"/>
    <x v="31"/>
    <x v="10"/>
    <s v="Europe →France →Marseille"/>
    <s v="Medium"/>
    <x v="7"/>
    <x v="2"/>
  </r>
  <r>
    <s v="ORD-2025-840976"/>
    <d v="2025-09-01T00:00:00"/>
    <d v="2025-09-30T00:00:00"/>
    <d v="2025-09-01T00:00:00"/>
    <d v="2025-09-30T00:00:00"/>
    <n v="29"/>
    <d v="2025-09-30T00:00:00"/>
    <n v="29"/>
    <x v="0"/>
    <x v="0"/>
    <x v="0"/>
    <x v="10"/>
    <s v="Brasília"/>
    <s v="Education"/>
    <x v="3"/>
    <x v="10"/>
    <x v="3"/>
    <x v="618"/>
    <n v="780.59"/>
    <n v="631.57000000000005"/>
    <n v="631.57000000000005"/>
    <n v="0"/>
    <n v="12"/>
    <n v="7578.84"/>
    <n v="9367.08"/>
    <n v="-1788.2399999999998"/>
    <n v="-0.23595167598207639"/>
    <x v="32"/>
    <x v="10"/>
    <s v="Americas →Brazil →Brasília"/>
    <s v="Low"/>
    <x v="8"/>
    <x v="2"/>
  </r>
  <r>
    <s v="ORD-2025-898022"/>
    <d v="2025-09-02T00:00:00"/>
    <d v="2025-09-11T00:00:00"/>
    <d v="2025-09-02T00:00:00"/>
    <d v="2025-09-11T00:00:00"/>
    <n v="9"/>
    <d v="2025-09-11T00:00:00"/>
    <n v="9"/>
    <x v="0"/>
    <x v="0"/>
    <x v="0"/>
    <x v="0"/>
    <s v="Toronto"/>
    <s v="Corporate"/>
    <x v="0"/>
    <x v="3"/>
    <x v="1"/>
    <x v="619"/>
    <n v="1207.6300000000001"/>
    <n v="921.68"/>
    <n v="921.68"/>
    <n v="0.19600000000000001"/>
    <n v="17"/>
    <n v="12597.52224"/>
    <n v="20529.710000000003"/>
    <n v="-7932.1877600000025"/>
    <n v="-0.62966253274897988"/>
    <x v="32"/>
    <x v="10"/>
    <s v="Americas →Canada →Toronto"/>
    <s v="Medium"/>
    <x v="8"/>
    <x v="2"/>
  </r>
  <r>
    <s v="ORD-2025-233883"/>
    <d v="2025-09-08T00:00:00"/>
    <d v="2025-09-16T00:00:00"/>
    <d v="2025-09-08T00:00:00"/>
    <d v="2025-09-16T00:00:00"/>
    <n v="8"/>
    <d v="2025-09-16T00:00:00"/>
    <n v="8"/>
    <x v="0"/>
    <x v="0"/>
    <x v="3"/>
    <x v="11"/>
    <s v="Osaka"/>
    <s v="Corporate"/>
    <x v="0"/>
    <x v="11"/>
    <x v="2"/>
    <x v="620"/>
    <n v="1225.57"/>
    <n v="2705.57"/>
    <n v="2705.57"/>
    <n v="0.183"/>
    <n v="16"/>
    <n v="35367.211040000002"/>
    <n v="19609.12"/>
    <n v="15758.091040000003"/>
    <n v="0.44555650775453404"/>
    <x v="32"/>
    <x v="10"/>
    <s v="Asia →Japan →Osaka"/>
    <s v="High"/>
    <x v="8"/>
    <x v="2"/>
  </r>
  <r>
    <s v="ORD-2025-823055"/>
    <d v="2025-09-08T00:00:00"/>
    <d v="2025-10-05T00:00:00"/>
    <d v="2025-09-08T00:00:00"/>
    <d v="2025-10-05T00:00:00"/>
    <n v="27"/>
    <d v="2025-10-05T00:00:00"/>
    <n v="27"/>
    <x v="0"/>
    <x v="1"/>
    <x v="0"/>
    <x v="10"/>
    <s v="Rio de Janeiro"/>
    <s v="Education"/>
    <x v="1"/>
    <x v="11"/>
    <x v="5"/>
    <x v="621"/>
    <n v="660.78"/>
    <n v="1630.39"/>
    <n v="1630.39"/>
    <n v="0.218"/>
    <n v="13"/>
    <n v="16574.544740000001"/>
    <n v="8590.14"/>
    <n v="7984.4047400000018"/>
    <n v="0.48172694123724097"/>
    <x v="32"/>
    <x v="10"/>
    <s v="Americas →Brazil →Rio de Janeiro"/>
    <s v="High"/>
    <x v="8"/>
    <x v="2"/>
  </r>
  <r>
    <s v="ORD-2025-779574"/>
    <d v="2025-09-10T00:00:00"/>
    <d v="2025-09-12T00:00:00"/>
    <d v="2025-09-10T00:00:00"/>
    <d v="2025-09-12T00:00:00"/>
    <n v="2"/>
    <d v="2025-09-12T00:00:00"/>
    <n v="2"/>
    <x v="1"/>
    <x v="0"/>
    <x v="3"/>
    <x v="11"/>
    <s v="Tokyo"/>
    <s v="Consumer"/>
    <x v="1"/>
    <x v="5"/>
    <x v="6"/>
    <x v="622"/>
    <n v="1470.15"/>
    <n v="2593.7800000000002"/>
    <n v="2593.7800000000002"/>
    <n v="0.11"/>
    <n v="12"/>
    <n v="27701.570400000001"/>
    <n v="17641.800000000003"/>
    <n v="10059.770399999998"/>
    <n v="0.36314801849645306"/>
    <x v="32"/>
    <x v="10"/>
    <s v="Asia →Japan →Tokyo"/>
    <s v="High"/>
    <x v="8"/>
    <x v="2"/>
  </r>
  <r>
    <s v="ORD-2025-725646"/>
    <d v="2025-09-10T00:00:00"/>
    <d v="2025-09-30T00:00:00"/>
    <d v="2025-09-10T00:00:00"/>
    <d v="2025-09-30T00:00:00"/>
    <n v="20"/>
    <d v="2025-09-30T00:00:00"/>
    <n v="20"/>
    <x v="0"/>
    <x v="0"/>
    <x v="1"/>
    <x v="7"/>
    <s v="Mombasa"/>
    <s v="Corporate"/>
    <x v="2"/>
    <x v="9"/>
    <x v="2"/>
    <x v="623"/>
    <n v="1009.48"/>
    <n v="1088.81"/>
    <n v="1088.81"/>
    <n v="0.16"/>
    <n v="6"/>
    <n v="5487.6023999999998"/>
    <n v="6056.88"/>
    <n v="-569.27760000000035"/>
    <n v="-0.10373885688219693"/>
    <x v="32"/>
    <x v="10"/>
    <s v="Africa →Kenya →Mombasa"/>
    <s v="Medium"/>
    <x v="8"/>
    <x v="2"/>
  </r>
  <r>
    <s v="ORD-2025-244832"/>
    <d v="2025-09-11T00:00:00"/>
    <d v="2025-09-28T00:00:00"/>
    <d v="2025-09-11T00:00:00"/>
    <d v="2025-09-28T00:00:00"/>
    <n v="17"/>
    <d v="2025-09-28T00:00:00"/>
    <n v="17"/>
    <x v="0"/>
    <x v="0"/>
    <x v="1"/>
    <x v="7"/>
    <s v="Nairobi"/>
    <s v="Non-Profit"/>
    <x v="0"/>
    <x v="13"/>
    <x v="0"/>
    <x v="624"/>
    <n v="891.46"/>
    <n v="728.61"/>
    <n v="728.61"/>
    <n v="0.185"/>
    <n v="6"/>
    <n v="3562.9028999999996"/>
    <n v="5348.76"/>
    <n v="-1785.8571000000006"/>
    <n v="-0.50123653383874167"/>
    <x v="32"/>
    <x v="10"/>
    <s v="Africa →Kenya →Nairobi"/>
    <s v="Low"/>
    <x v="8"/>
    <x v="2"/>
  </r>
  <r>
    <s v="ORD-2025-248586"/>
    <d v="2025-09-12T00:00:00"/>
    <d v="2025-09-30T00:00:00"/>
    <d v="2025-09-12T00:00:00"/>
    <d v="2025-09-30T00:00:00"/>
    <n v="18"/>
    <d v="2025-09-30T00:00:00"/>
    <n v="18"/>
    <x v="0"/>
    <x v="0"/>
    <x v="3"/>
    <x v="11"/>
    <s v="Nagoya"/>
    <s v="Non-Profit"/>
    <x v="4"/>
    <x v="7"/>
    <x v="5"/>
    <x v="625"/>
    <n v="1212.99"/>
    <n v="1653.64"/>
    <n v="1653.64"/>
    <n v="0.107"/>
    <n v="8"/>
    <n v="11813.604160000001"/>
    <n v="9703.92"/>
    <n v="2109.6841600000007"/>
    <n v="0.17858090819931455"/>
    <x v="32"/>
    <x v="10"/>
    <s v="Asia →Japan →Nagoya"/>
    <s v="High"/>
    <x v="8"/>
    <x v="2"/>
  </r>
  <r>
    <s v="ORD-2025-737787"/>
    <d v="2025-09-14T00:00:00"/>
    <d v="2025-09-26T00:00:00"/>
    <d v="2025-09-14T00:00:00"/>
    <d v="2025-09-26T00:00:00"/>
    <n v="12"/>
    <d v="2025-09-26T00:00:00"/>
    <n v="12"/>
    <x v="0"/>
    <x v="1"/>
    <x v="2"/>
    <x v="6"/>
    <s v="London"/>
    <s v="Small Business"/>
    <x v="2"/>
    <x v="8"/>
    <x v="4"/>
    <x v="626"/>
    <n v="425.15"/>
    <n v="885.92"/>
    <n v="885.92"/>
    <n v="0.23899999999999999"/>
    <n v="13"/>
    <n v="8764.4065599999994"/>
    <n v="5526.95"/>
    <n v="3237.4565599999996"/>
    <n v="0.3693868532725848"/>
    <x v="32"/>
    <x v="10"/>
    <s v="Europe →United Kingdom →London"/>
    <s v="Medium"/>
    <x v="8"/>
    <x v="2"/>
  </r>
  <r>
    <s v="ORD-2025-588029"/>
    <d v="2025-09-14T00:00:00"/>
    <d v="2025-09-23T00:00:00"/>
    <d v="2025-09-14T00:00:00"/>
    <d v="2025-09-23T00:00:00"/>
    <n v="9"/>
    <d v="2025-09-23T00:00:00"/>
    <n v="9"/>
    <x v="0"/>
    <x v="0"/>
    <x v="1"/>
    <x v="1"/>
    <s v="Durban"/>
    <s v="Non-Profit"/>
    <x v="1"/>
    <x v="2"/>
    <x v="6"/>
    <x v="627"/>
    <n v="1310.3"/>
    <n v="2875.8"/>
    <n v="2875.8"/>
    <n v="8.3000000000000004E-2"/>
    <n v="5"/>
    <n v="13185.543"/>
    <n v="6551.5"/>
    <n v="6634.0429999999997"/>
    <n v="0.50313005691157353"/>
    <x v="32"/>
    <x v="10"/>
    <s v="Africa →South Africa →Durban"/>
    <s v="High"/>
    <x v="8"/>
    <x v="2"/>
  </r>
  <r>
    <s v="ORD-2025-667201"/>
    <d v="2025-09-15T00:00:00"/>
    <d v="2025-09-18T00:00:00"/>
    <d v="2025-09-15T00:00:00"/>
    <d v="2025-09-18T00:00:00"/>
    <n v="3"/>
    <d v="2025-09-18T00:00:00"/>
    <n v="3"/>
    <x v="1"/>
    <x v="1"/>
    <x v="0"/>
    <x v="10"/>
    <s v="Rio de Janeiro"/>
    <s v="Non-Profit"/>
    <x v="2"/>
    <x v="9"/>
    <x v="3"/>
    <x v="628"/>
    <n v="5.5"/>
    <n v="5.92"/>
    <n v="5.92"/>
    <n v="0.21199999999999999"/>
    <n v="4"/>
    <n v="18.659839999999999"/>
    <n v="22"/>
    <n v="-3.3401600000000009"/>
    <n v="-0.17900260666758133"/>
    <x v="32"/>
    <x v="10"/>
    <s v="Americas →Brazil →Rio de Janeiro"/>
    <s v="Low"/>
    <x v="8"/>
    <x v="2"/>
  </r>
  <r>
    <s v="ORD-2025-831576"/>
    <d v="2025-09-15T00:00:00"/>
    <d v="2025-09-25T00:00:00"/>
    <d v="2025-09-15T00:00:00"/>
    <d v="2025-09-25T00:00:00"/>
    <n v="10"/>
    <d v="2025-09-25T00:00:00"/>
    <n v="10"/>
    <x v="0"/>
    <x v="0"/>
    <x v="3"/>
    <x v="9"/>
    <s v="Delhi"/>
    <s v="Consumer"/>
    <x v="3"/>
    <x v="1"/>
    <x v="2"/>
    <x v="629"/>
    <n v="1488.91"/>
    <n v="1483.74"/>
    <n v="1483.74"/>
    <n v="0.16800000000000001"/>
    <n v="24"/>
    <n v="29627.320319999999"/>
    <n v="35733.840000000004"/>
    <n v="-6106.5196800000049"/>
    <n v="-0.20611110333450519"/>
    <x v="32"/>
    <x v="10"/>
    <s v="Asia →India →Delhi"/>
    <s v="Medium"/>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4BA9BF-D517-45AD-9F9A-2A1B609592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2" firstHeaderRow="1" firstDataRow="1" firstDataCol="1"/>
  <pivotFields count="33">
    <pivotField showAll="0"/>
    <pivotField numFmtId="14" showAll="0"/>
    <pivotField numFmtId="14" showAll="0"/>
    <pivotField numFmtId="14" showAll="0"/>
    <pivotField numFmtId="14" showAll="0"/>
    <pivotField numFmtId="1" showAll="0"/>
    <pivotField showAll="0"/>
    <pivotField numFmtId="2" showAll="0"/>
    <pivotField showAll="0"/>
    <pivotField showAll="0"/>
    <pivotField showAll="0">
      <items count="5">
        <item x="1"/>
        <item h="1" x="0"/>
        <item h="1" x="3"/>
        <item h="1" x="2"/>
        <item t="default"/>
      </items>
    </pivotField>
    <pivotField axis="axisRow" showAll="0" sortType="ascending">
      <items count="13">
        <item h="1" x="10"/>
        <item h="1" x="0"/>
        <item h="1" x="3"/>
        <item h="1" x="2"/>
        <item h="1" x="8"/>
        <item h="1" x="9"/>
        <item h="1" x="11"/>
        <item x="7"/>
        <item h="1" x="5"/>
        <item h="1" x="1"/>
        <item h="1" x="6"/>
        <item h="1" x="4"/>
        <item t="default"/>
      </items>
    </pivotField>
    <pivotField showAll="0"/>
    <pivotField showAll="0"/>
    <pivotField showAll="0"/>
    <pivotField showAll="0"/>
    <pivotField showAll="0"/>
    <pivotField showAll="0"/>
    <pivotField numFmtId="2" showAll="0"/>
    <pivotField numFmtId="2" showAll="0"/>
    <pivotField numFmtId="2" showAll="0"/>
    <pivotField numFmtId="9" showAll="0"/>
    <pivotField numFmtId="2" showAll="0"/>
    <pivotField dataField="1" numFmtId="2" showAll="0"/>
    <pivotField showAll="0"/>
    <pivotField numFmtId="2" showAll="0"/>
    <pivotField showAll="0"/>
    <pivotField axis="axisRow" showAll="0">
      <items count="34">
        <item x="9"/>
        <item x="21"/>
        <item x="10"/>
        <item x="22"/>
        <item x="0"/>
        <item x="12"/>
        <item x="24"/>
        <item x="11"/>
        <item x="23"/>
        <item x="1"/>
        <item x="13"/>
        <item x="25"/>
        <item x="2"/>
        <item x="14"/>
        <item x="26"/>
        <item x="3"/>
        <item x="15"/>
        <item x="27"/>
        <item x="4"/>
        <item x="16"/>
        <item x="28"/>
        <item x="5"/>
        <item x="17"/>
        <item x="29"/>
        <item x="6"/>
        <item x="18"/>
        <item x="30"/>
        <item x="7"/>
        <item x="19"/>
        <item x="31"/>
        <item x="8"/>
        <item x="20"/>
        <item x="32"/>
        <item t="default"/>
      </items>
    </pivotField>
    <pivotField axis="axisRow" showAll="0">
      <items count="12">
        <item x="0"/>
        <item x="4"/>
        <item sd="0" x="8"/>
        <item x="1"/>
        <item x="5"/>
        <item x="9"/>
        <item x="2"/>
        <item x="6"/>
        <item x="10"/>
        <item x="3"/>
        <item x="7"/>
        <item t="default"/>
      </items>
    </pivotField>
    <pivotField showAll="0"/>
    <pivotField showAll="0"/>
    <pivotField showAll="0"/>
    <pivotField showAll="0"/>
  </pivotFields>
  <rowFields count="3">
    <field x="11"/>
    <field x="28"/>
    <field x="27"/>
  </rowFields>
  <rowItems count="39">
    <i>
      <x v="7"/>
    </i>
    <i r="1">
      <x/>
    </i>
    <i r="2">
      <x v="4"/>
    </i>
    <i r="2">
      <x v="9"/>
    </i>
    <i r="2">
      <x v="12"/>
    </i>
    <i r="1">
      <x v="1"/>
    </i>
    <i r="2">
      <x v="10"/>
    </i>
    <i r="2">
      <x v="13"/>
    </i>
    <i r="1">
      <x v="2"/>
    </i>
    <i r="1">
      <x v="3"/>
    </i>
    <i r="2">
      <x v="15"/>
    </i>
    <i r="2">
      <x v="18"/>
    </i>
    <i r="2">
      <x v="21"/>
    </i>
    <i r="1">
      <x v="4"/>
    </i>
    <i r="2">
      <x v="16"/>
    </i>
    <i r="2">
      <x v="19"/>
    </i>
    <i r="2">
      <x v="22"/>
    </i>
    <i r="1">
      <x v="5"/>
    </i>
    <i r="2">
      <x v="17"/>
    </i>
    <i r="2">
      <x v="20"/>
    </i>
    <i r="1">
      <x v="6"/>
    </i>
    <i r="2">
      <x v="24"/>
    </i>
    <i r="2">
      <x v="27"/>
    </i>
    <i r="2">
      <x v="30"/>
    </i>
    <i r="1">
      <x v="7"/>
    </i>
    <i r="2">
      <x v="25"/>
    </i>
    <i r="2">
      <x v="28"/>
    </i>
    <i r="2">
      <x v="31"/>
    </i>
    <i r="1">
      <x v="8"/>
    </i>
    <i r="2">
      <x v="26"/>
    </i>
    <i r="2">
      <x v="29"/>
    </i>
    <i r="2">
      <x v="32"/>
    </i>
    <i r="1">
      <x v="9"/>
    </i>
    <i r="2">
      <x/>
    </i>
    <i r="2">
      <x v="7"/>
    </i>
    <i r="1">
      <x v="10"/>
    </i>
    <i r="2">
      <x v="1"/>
    </i>
    <i r="2">
      <x v="3"/>
    </i>
    <i t="grand">
      <x/>
    </i>
  </rowItems>
  <colItems count="1">
    <i/>
  </colItems>
  <dataFields count="1">
    <dataField name="Sum of GrossRevenue"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62BF9C-AC66-452C-8A18-1FD685E9AC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2" firstHeaderRow="1" firstDataRow="1" firstDataCol="1"/>
  <pivotFields count="33">
    <pivotField showAll="0"/>
    <pivotField numFmtId="14" showAll="0"/>
    <pivotField numFmtId="14" showAll="0"/>
    <pivotField numFmtId="14" showAll="0"/>
    <pivotField numFmtId="14" showAll="0"/>
    <pivotField numFmtId="1" showAll="0"/>
    <pivotField showAll="0"/>
    <pivotField numFmtId="2" showAll="0"/>
    <pivotField showAll="0"/>
    <pivotField showAll="0"/>
    <pivotField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showAll="0"/>
    <pivotField showAll="0"/>
    <pivotField axis="axisRow" showAll="0" measureFilter="1" sortType="ascending">
      <items count="8">
        <item x="3"/>
        <item x="6"/>
        <item x="0"/>
        <item x="5"/>
        <item x="4"/>
        <item x="2"/>
        <item x="1"/>
        <item t="default"/>
      </items>
    </pivotField>
    <pivotField axis="axisRow" showAll="0" measureFilter="1" sortType="descending">
      <items count="631">
        <item x="256"/>
        <item x="589"/>
        <item x="197"/>
        <item x="440"/>
        <item x="136"/>
        <item x="555"/>
        <item x="171"/>
        <item x="156"/>
        <item x="594"/>
        <item x="487"/>
        <item x="473"/>
        <item x="618"/>
        <item x="58"/>
        <item x="562"/>
        <item x="95"/>
        <item x="539"/>
        <item x="80"/>
        <item x="443"/>
        <item x="355"/>
        <item x="284"/>
        <item x="191"/>
        <item x="561"/>
        <item x="116"/>
        <item x="42"/>
        <item x="300"/>
        <item x="164"/>
        <item x="226"/>
        <item x="549"/>
        <item x="111"/>
        <item x="165"/>
        <item x="173"/>
        <item x="183"/>
        <item x="6"/>
        <item x="351"/>
        <item x="106"/>
        <item x="142"/>
        <item x="565"/>
        <item x="485"/>
        <item x="494"/>
        <item x="194"/>
        <item x="614"/>
        <item x="380"/>
        <item x="470"/>
        <item x="98"/>
        <item x="12"/>
        <item x="166"/>
        <item x="47"/>
        <item x="177"/>
        <item x="486"/>
        <item x="488"/>
        <item x="324"/>
        <item x="88"/>
        <item x="195"/>
        <item x="129"/>
        <item x="474"/>
        <item x="451"/>
        <item x="247"/>
        <item x="428"/>
        <item x="292"/>
        <item x="225"/>
        <item x="360"/>
        <item x="628"/>
        <item x="437"/>
        <item x="138"/>
        <item x="323"/>
        <item x="315"/>
        <item x="344"/>
        <item x="68"/>
        <item x="343"/>
        <item x="567"/>
        <item x="246"/>
        <item x="574"/>
        <item x="590"/>
        <item x="137"/>
        <item x="18"/>
        <item x="187"/>
        <item x="460"/>
        <item x="347"/>
        <item x="591"/>
        <item x="403"/>
        <item x="41"/>
        <item x="348"/>
        <item x="81"/>
        <item x="124"/>
        <item x="509"/>
        <item x="478"/>
        <item x="212"/>
        <item x="327"/>
        <item x="169"/>
        <item x="405"/>
        <item x="464"/>
        <item x="582"/>
        <item x="99"/>
        <item x="248"/>
        <item x="219"/>
        <item x="377"/>
        <item x="26"/>
        <item x="211"/>
        <item x="427"/>
        <item x="333"/>
        <item x="181"/>
        <item x="155"/>
        <item x="445"/>
        <item x="238"/>
        <item x="37"/>
        <item x="16"/>
        <item x="604"/>
        <item x="543"/>
        <item x="392"/>
        <item x="269"/>
        <item x="503"/>
        <item x="307"/>
        <item x="495"/>
        <item x="449"/>
        <item x="552"/>
        <item x="522"/>
        <item x="379"/>
        <item x="436"/>
        <item x="401"/>
        <item x="558"/>
        <item x="559"/>
        <item x="218"/>
        <item x="421"/>
        <item x="90"/>
        <item x="217"/>
        <item x="178"/>
        <item x="70"/>
        <item x="613"/>
        <item x="408"/>
        <item x="489"/>
        <item x="235"/>
        <item x="89"/>
        <item x="172"/>
        <item x="617"/>
        <item x="374"/>
        <item x="71"/>
        <item x="596"/>
        <item x="104"/>
        <item x="350"/>
        <item x="254"/>
        <item x="317"/>
        <item x="601"/>
        <item x="148"/>
        <item x="336"/>
        <item x="524"/>
        <item x="293"/>
        <item x="126"/>
        <item x="304"/>
        <item x="627"/>
        <item x="458"/>
        <item x="92"/>
        <item x="622"/>
        <item x="504"/>
        <item x="159"/>
        <item x="121"/>
        <item x="66"/>
        <item x="383"/>
        <item x="273"/>
        <item x="278"/>
        <item x="318"/>
        <item x="406"/>
        <item x="236"/>
        <item x="294"/>
        <item x="38"/>
        <item x="279"/>
        <item x="573"/>
        <item x="96"/>
        <item x="67"/>
        <item x="471"/>
        <item x="131"/>
        <item x="39"/>
        <item x="588"/>
        <item x="281"/>
        <item x="251"/>
        <item x="541"/>
        <item x="79"/>
        <item x="418"/>
        <item x="260"/>
        <item x="309"/>
        <item x="130"/>
        <item x="576"/>
        <item x="60"/>
        <item x="203"/>
        <item x="557"/>
        <item x="69"/>
        <item x="331"/>
        <item x="221"/>
        <item x="364"/>
        <item x="125"/>
        <item x="568"/>
        <item x="583"/>
        <item x="193"/>
        <item x="257"/>
        <item x="91"/>
        <item x="288"/>
        <item x="222"/>
        <item x="493"/>
        <item x="616"/>
        <item x="624"/>
        <item x="553"/>
        <item x="19"/>
        <item x="527"/>
        <item x="54"/>
        <item x="229"/>
        <item x="205"/>
        <item x="29"/>
        <item x="472"/>
        <item x="118"/>
        <item x="602"/>
        <item x="388"/>
        <item x="519"/>
        <item x="2"/>
        <item x="342"/>
        <item x="120"/>
        <item x="599"/>
        <item x="204"/>
        <item x="168"/>
        <item x="313"/>
        <item x="303"/>
        <item x="432"/>
        <item x="396"/>
        <item x="252"/>
        <item x="243"/>
        <item x="175"/>
        <item x="34"/>
        <item x="122"/>
        <item x="83"/>
        <item x="349"/>
        <item x="174"/>
        <item x="483"/>
        <item x="381"/>
        <item x="244"/>
        <item x="554"/>
        <item x="513"/>
        <item x="192"/>
        <item x="467"/>
        <item x="578"/>
        <item x="615"/>
        <item x="45"/>
        <item x="369"/>
        <item x="496"/>
        <item x="459"/>
        <item x="448"/>
        <item x="265"/>
        <item x="296"/>
        <item x="0"/>
        <item x="277"/>
        <item x="461"/>
        <item x="581"/>
        <item x="548"/>
        <item x="189"/>
        <item x="308"/>
        <item x="337"/>
        <item x="63"/>
        <item x="11"/>
        <item x="359"/>
        <item x="358"/>
        <item x="237"/>
        <item x="298"/>
        <item x="128"/>
        <item x="426"/>
        <item x="335"/>
        <item x="490"/>
        <item x="363"/>
        <item x="216"/>
        <item x="469"/>
        <item x="62"/>
        <item x="597"/>
        <item x="35"/>
        <item x="320"/>
        <item x="72"/>
        <item x="152"/>
        <item x="253"/>
        <item x="82"/>
        <item x="9"/>
        <item x="32"/>
        <item x="530"/>
        <item x="372"/>
        <item x="117"/>
        <item x="551"/>
        <item x="625"/>
        <item x="52"/>
        <item x="135"/>
        <item x="264"/>
        <item x="532"/>
        <item x="387"/>
        <item x="198"/>
        <item x="144"/>
        <item x="239"/>
        <item x="452"/>
        <item x="316"/>
        <item x="206"/>
        <item x="603"/>
        <item x="108"/>
        <item x="411"/>
        <item x="282"/>
        <item x="50"/>
        <item x="447"/>
        <item x="74"/>
        <item x="517"/>
        <item x="479"/>
        <item x="73"/>
        <item x="484"/>
        <item x="423"/>
        <item x="386"/>
        <item x="48"/>
        <item x="520"/>
        <item x="329"/>
        <item x="105"/>
        <item x="286"/>
        <item x="154"/>
        <item x="275"/>
        <item x="566"/>
        <item x="55"/>
        <item x="215"/>
        <item x="301"/>
        <item x="354"/>
        <item x="462"/>
        <item x="398"/>
        <item x="20"/>
        <item x="319"/>
        <item x="94"/>
        <item x="306"/>
        <item x="525"/>
        <item x="280"/>
        <item x="512"/>
        <item x="13"/>
        <item x="146"/>
        <item x="180"/>
        <item x="356"/>
        <item x="579"/>
        <item x="586"/>
        <item x="133"/>
        <item x="435"/>
        <item x="412"/>
        <item x="271"/>
        <item x="457"/>
        <item x="289"/>
        <item x="334"/>
        <item x="188"/>
        <item x="413"/>
        <item x="365"/>
        <item x="419"/>
        <item x="242"/>
        <item x="101"/>
        <item x="531"/>
        <item x="43"/>
        <item x="621"/>
        <item x="514"/>
        <item x="612"/>
        <item x="404"/>
        <item x="21"/>
        <item x="378"/>
        <item x="393"/>
        <item x="322"/>
        <item x="110"/>
        <item x="27"/>
        <item x="605"/>
        <item x="232"/>
        <item x="587"/>
        <item x="139"/>
        <item x="132"/>
        <item x="592"/>
        <item x="53"/>
        <item x="450"/>
        <item x="228"/>
        <item x="537"/>
        <item x="61"/>
        <item x="311"/>
        <item x="123"/>
        <item x="65"/>
        <item x="199"/>
        <item x="22"/>
        <item x="480"/>
        <item x="430"/>
        <item x="147"/>
        <item x="431"/>
        <item x="201"/>
        <item x="84"/>
        <item x="523"/>
        <item x="14"/>
        <item x="580"/>
        <item x="141"/>
        <item x="416"/>
        <item x="550"/>
        <item x="600"/>
        <item x="109"/>
        <item x="291"/>
        <item x="196"/>
        <item x="8"/>
        <item x="305"/>
        <item x="346"/>
        <item x="444"/>
        <item x="227"/>
        <item x="361"/>
        <item x="143"/>
        <item x="17"/>
        <item x="30"/>
        <item x="610"/>
        <item x="409"/>
        <item x="521"/>
        <item x="140"/>
        <item x="481"/>
        <item x="287"/>
        <item x="76"/>
        <item x="345"/>
        <item x="213"/>
        <item x="7"/>
        <item x="607"/>
        <item x="497"/>
        <item x="569"/>
        <item x="410"/>
        <item x="119"/>
        <item x="332"/>
        <item x="508"/>
        <item x="33"/>
        <item x="266"/>
        <item x="465"/>
        <item x="366"/>
        <item x="595"/>
        <item x="390"/>
        <item x="506"/>
        <item x="501"/>
        <item x="424"/>
        <item x="529"/>
        <item x="249"/>
        <item x="10"/>
        <item x="182"/>
        <item x="367"/>
        <item x="626"/>
        <item x="145"/>
        <item x="263"/>
        <item x="245"/>
        <item x="353"/>
        <item x="28"/>
        <item x="518"/>
        <item x="456"/>
        <item x="389"/>
        <item x="163"/>
        <item x="492"/>
        <item x="620"/>
        <item x="150"/>
        <item x="77"/>
        <item x="477"/>
        <item x="258"/>
        <item x="56"/>
        <item x="441"/>
        <item x="97"/>
        <item x="149"/>
        <item x="15"/>
        <item x="102"/>
        <item x="371"/>
        <item x="338"/>
        <item x="202"/>
        <item x="538"/>
        <item x="533"/>
        <item x="629"/>
        <item x="466"/>
        <item x="499"/>
        <item x="220"/>
        <item x="373"/>
        <item x="4"/>
        <item x="276"/>
        <item x="563"/>
        <item x="546"/>
        <item x="515"/>
        <item x="571"/>
        <item x="535"/>
        <item x="158"/>
        <item x="285"/>
        <item x="326"/>
        <item x="507"/>
        <item x="510"/>
        <item x="528"/>
        <item x="399"/>
        <item x="207"/>
        <item x="113"/>
        <item x="272"/>
        <item x="23"/>
        <item x="270"/>
        <item x="255"/>
        <item x="572"/>
        <item x="75"/>
        <item x="577"/>
        <item x="290"/>
        <item x="564"/>
        <item x="540"/>
        <item x="491"/>
        <item x="190"/>
        <item x="382"/>
        <item x="78"/>
        <item x="468"/>
        <item x="545"/>
        <item x="208"/>
        <item x="115"/>
        <item x="340"/>
        <item x="357"/>
        <item x="328"/>
        <item x="623"/>
        <item x="463"/>
        <item x="64"/>
        <item x="214"/>
        <item x="570"/>
        <item x="402"/>
        <item x="584"/>
        <item x="352"/>
        <item x="267"/>
        <item x="224"/>
        <item x="312"/>
        <item x="46"/>
        <item x="455"/>
        <item x="151"/>
        <item x="534"/>
        <item x="476"/>
        <item x="184"/>
        <item x="40"/>
        <item x="536"/>
        <item x="395"/>
        <item x="186"/>
        <item x="85"/>
        <item x="302"/>
        <item x="200"/>
        <item x="598"/>
        <item x="325"/>
        <item x="608"/>
        <item x="341"/>
        <item x="415"/>
        <item x="25"/>
        <item x="295"/>
        <item x="384"/>
        <item x="368"/>
        <item x="93"/>
        <item x="619"/>
        <item x="433"/>
        <item x="127"/>
        <item x="3"/>
        <item x="223"/>
        <item x="314"/>
        <item x="176"/>
        <item x="482"/>
        <item x="87"/>
        <item x="606"/>
        <item x="425"/>
        <item x="134"/>
        <item x="544"/>
        <item x="422"/>
        <item x="112"/>
        <item x="297"/>
        <item x="397"/>
        <item x="362"/>
        <item x="475"/>
        <item x="391"/>
        <item x="417"/>
        <item x="505"/>
        <item x="100"/>
        <item x="575"/>
        <item x="321"/>
        <item x="385"/>
        <item x="330"/>
        <item x="439"/>
        <item x="167"/>
        <item x="339"/>
        <item x="44"/>
        <item x="157"/>
        <item x="1"/>
        <item x="454"/>
        <item x="376"/>
        <item x="420"/>
        <item x="250"/>
        <item x="434"/>
        <item x="185"/>
        <item x="170"/>
        <item x="51"/>
        <item x="160"/>
        <item x="500"/>
        <item x="261"/>
        <item x="442"/>
        <item x="438"/>
        <item x="370"/>
        <item x="407"/>
        <item x="585"/>
        <item x="310"/>
        <item x="502"/>
        <item x="593"/>
        <item x="394"/>
        <item x="547"/>
        <item x="526"/>
        <item x="5"/>
        <item x="262"/>
        <item x="560"/>
        <item x="114"/>
        <item x="179"/>
        <item x="107"/>
        <item x="230"/>
        <item x="240"/>
        <item x="231"/>
        <item x="446"/>
        <item x="274"/>
        <item x="57"/>
        <item x="36"/>
        <item x="162"/>
        <item x="259"/>
        <item x="299"/>
        <item x="24"/>
        <item x="233"/>
        <item x="268"/>
        <item x="103"/>
        <item x="209"/>
        <item x="611"/>
        <item x="210"/>
        <item x="241"/>
        <item x="234"/>
        <item x="516"/>
        <item x="283"/>
        <item x="511"/>
        <item x="542"/>
        <item x="49"/>
        <item x="59"/>
        <item x="414"/>
        <item x="453"/>
        <item x="86"/>
        <item x="609"/>
        <item x="400"/>
        <item x="31"/>
        <item x="153"/>
        <item x="556"/>
        <item x="375"/>
        <item x="498"/>
        <item x="429"/>
        <item x="161"/>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9" showAll="0"/>
    <pivotField numFmtId="2" showAll="0"/>
    <pivotField dataField="1" numFmtId="2" showAll="0"/>
    <pivotField showAll="0"/>
    <pivotField numFmtId="2" showAll="0"/>
    <pivotField showAll="0"/>
    <pivotField showAll="0"/>
    <pivotField showAll="0"/>
    <pivotField showAll="0"/>
    <pivotField showAll="0"/>
    <pivotField showAll="0"/>
    <pivotField showAll="0"/>
  </pivotFields>
  <rowFields count="2">
    <field x="16"/>
    <field x="17"/>
  </rowFields>
  <rowItems count="59">
    <i>
      <x/>
    </i>
    <i r="1">
      <x v="23"/>
    </i>
    <i r="1">
      <x v="10"/>
    </i>
    <i r="1">
      <x v="4"/>
    </i>
    <i r="1">
      <x v="48"/>
    </i>
    <i r="1">
      <x v="65"/>
    </i>
    <i r="1">
      <x v="39"/>
    </i>
    <i r="1">
      <x v="1"/>
    </i>
    <i r="1">
      <x v="15"/>
    </i>
    <i r="1">
      <x v="45"/>
    </i>
    <i r="1">
      <x v="87"/>
    </i>
    <i>
      <x v="1"/>
    </i>
    <i r="1">
      <x v="117"/>
    </i>
    <i r="1">
      <x v="139"/>
    </i>
    <i r="1">
      <x v="127"/>
    </i>
    <i r="1">
      <x v="164"/>
    </i>
    <i r="1">
      <x v="106"/>
    </i>
    <i>
      <x v="2"/>
    </i>
    <i r="1">
      <x v="185"/>
    </i>
    <i r="1">
      <x v="255"/>
    </i>
    <i r="1">
      <x v="188"/>
    </i>
    <i r="1">
      <x v="227"/>
    </i>
    <i r="1">
      <x v="233"/>
    </i>
    <i r="1">
      <x v="184"/>
    </i>
    <i r="1">
      <x v="212"/>
    </i>
    <i r="1">
      <x v="238"/>
    </i>
    <i r="1">
      <x v="187"/>
    </i>
    <i r="1">
      <x v="198"/>
    </i>
    <i>
      <x v="3"/>
    </i>
    <i r="1">
      <x v="315"/>
    </i>
    <i r="1">
      <x v="272"/>
    </i>
    <i>
      <x v="4"/>
    </i>
    <i r="1">
      <x v="405"/>
    </i>
    <i r="1">
      <x v="407"/>
    </i>
    <i r="1">
      <x v="379"/>
    </i>
    <i r="1">
      <x v="374"/>
    </i>
    <i r="1">
      <x v="372"/>
    </i>
    <i r="1">
      <x v="434"/>
    </i>
    <i>
      <x v="5"/>
    </i>
    <i r="1">
      <x v="517"/>
    </i>
    <i r="1">
      <x v="446"/>
    </i>
    <i r="1">
      <x v="518"/>
    </i>
    <i r="1">
      <x v="443"/>
    </i>
    <i r="1">
      <x v="497"/>
    </i>
    <i r="1">
      <x v="507"/>
    </i>
    <i r="1">
      <x v="480"/>
    </i>
    <i r="1">
      <x v="504"/>
    </i>
    <i r="1">
      <x v="498"/>
    </i>
    <i r="1">
      <x v="509"/>
    </i>
    <i>
      <x v="6"/>
    </i>
    <i r="1">
      <x v="552"/>
    </i>
    <i r="1">
      <x v="601"/>
    </i>
    <i r="1">
      <x v="567"/>
    </i>
    <i r="1">
      <x v="584"/>
    </i>
    <i r="1">
      <x v="620"/>
    </i>
    <i r="1">
      <x v="547"/>
    </i>
    <i r="1">
      <x v="599"/>
    </i>
    <i r="1">
      <x v="577"/>
    </i>
    <i t="grand">
      <x/>
    </i>
  </rowItems>
  <colItems count="1">
    <i/>
  </colItems>
  <dataFields count="1">
    <dataField name="Sum of GrossRevenue" fld="23" baseField="0" baseItem="0" numFmtId="2"/>
  </dataFields>
  <formats count="26">
    <format dxfId="844">
      <pivotArea collapsedLevelsAreSubtotals="1" fieldPosition="0">
        <references count="2">
          <reference field="16" count="0" selected="0"/>
          <reference field="17" count="70">
            <x v="0"/>
            <x v="1"/>
            <x v="2"/>
            <x v="3"/>
            <x v="4"/>
            <x v="5"/>
            <x v="7"/>
            <x v="8"/>
            <x v="9"/>
            <x v="11"/>
            <x v="12"/>
            <x v="13"/>
            <x v="14"/>
            <x v="15"/>
            <x v="16"/>
            <x v="17"/>
            <x v="18"/>
            <x v="19"/>
            <x v="20"/>
            <x v="21"/>
            <x v="22"/>
            <x v="24"/>
            <x v="25"/>
            <x v="26"/>
            <x v="27"/>
            <x v="28"/>
            <x v="29"/>
            <x v="30"/>
            <x v="31"/>
            <x v="32"/>
            <x v="33"/>
            <x v="34"/>
            <x v="35"/>
            <x v="36"/>
            <x v="37"/>
            <x v="38"/>
            <x v="39"/>
            <x v="40"/>
            <x v="42"/>
            <x v="43"/>
            <x v="45"/>
            <x v="46"/>
            <x v="47"/>
            <x v="48"/>
            <x v="49"/>
            <x v="51"/>
            <x v="52"/>
            <x v="54"/>
            <x v="55"/>
            <x v="57"/>
            <x v="58"/>
            <x v="61"/>
            <x v="62"/>
            <x v="64"/>
            <x v="65"/>
            <x v="66"/>
            <x v="67"/>
            <x v="69"/>
            <x v="70"/>
            <x v="71"/>
            <x v="73"/>
            <x v="74"/>
            <x v="76"/>
            <x v="77"/>
            <x v="78"/>
            <x v="79"/>
            <x v="80"/>
            <x v="83"/>
            <x v="85"/>
            <x v="87"/>
          </reference>
        </references>
      </pivotArea>
    </format>
    <format dxfId="843">
      <pivotArea dataOnly="0" labelOnly="1" fieldPosition="0">
        <references count="2">
          <reference field="16" count="0" selected="0"/>
          <reference field="17" count="50">
            <x v="0"/>
            <x v="1"/>
            <x v="2"/>
            <x v="3"/>
            <x v="7"/>
            <x v="8"/>
            <x v="9"/>
            <x v="11"/>
            <x v="13"/>
            <x v="15"/>
            <x v="16"/>
            <x v="17"/>
            <x v="19"/>
            <x v="20"/>
            <x v="21"/>
            <x v="22"/>
            <x v="24"/>
            <x v="25"/>
            <x v="27"/>
            <x v="28"/>
            <x v="30"/>
            <x v="31"/>
            <x v="34"/>
            <x v="35"/>
            <x v="36"/>
            <x v="37"/>
            <x v="38"/>
            <x v="39"/>
            <x v="42"/>
            <x v="43"/>
            <x v="45"/>
            <x v="46"/>
            <x v="47"/>
            <x v="51"/>
            <x v="52"/>
            <x v="54"/>
            <x v="55"/>
            <x v="58"/>
            <x v="61"/>
            <x v="62"/>
            <x v="64"/>
            <x v="65"/>
            <x v="66"/>
            <x v="69"/>
            <x v="71"/>
            <x v="73"/>
            <x v="74"/>
            <x v="77"/>
            <x v="85"/>
            <x v="87"/>
          </reference>
        </references>
      </pivotArea>
    </format>
    <format dxfId="842">
      <pivotArea dataOnly="0" labelOnly="1" fieldPosition="0">
        <references count="2">
          <reference field="16" count="0" selected="0"/>
          <reference field="17" count="20">
            <x v="4"/>
            <x v="5"/>
            <x v="12"/>
            <x v="14"/>
            <x v="18"/>
            <x v="26"/>
            <x v="29"/>
            <x v="32"/>
            <x v="33"/>
            <x v="40"/>
            <x v="48"/>
            <x v="49"/>
            <x v="57"/>
            <x v="67"/>
            <x v="70"/>
            <x v="76"/>
            <x v="78"/>
            <x v="79"/>
            <x v="80"/>
            <x v="83"/>
          </reference>
        </references>
      </pivotArea>
    </format>
    <format dxfId="841">
      <pivotArea collapsedLevelsAreSubtotals="1" fieldPosition="0">
        <references count="2">
          <reference field="16" count="0" selected="0"/>
          <reference field="17" count="13">
            <x v="6"/>
            <x v="10"/>
            <x v="41"/>
            <x v="44"/>
            <x v="50"/>
            <x v="53"/>
            <x v="56"/>
            <x v="59"/>
            <x v="63"/>
            <x v="68"/>
            <x v="75"/>
            <x v="81"/>
            <x v="86"/>
          </reference>
        </references>
      </pivotArea>
    </format>
    <format dxfId="840">
      <pivotArea collapsedLevelsAreSubtotals="1" fieldPosition="0">
        <references count="2">
          <reference field="16" count="0" selected="0"/>
          <reference field="17" count="5">
            <x v="23"/>
            <x v="60"/>
            <x v="72"/>
            <x v="82"/>
            <x v="84"/>
          </reference>
        </references>
      </pivotArea>
    </format>
    <format dxfId="839">
      <pivotArea collapsedLevelsAreSubtotals="1" fieldPosition="0">
        <references count="2">
          <reference field="16" count="0" selected="0"/>
          <reference field="17" count="72">
            <x v="88"/>
            <x v="89"/>
            <x v="91"/>
            <x v="92"/>
            <x v="93"/>
            <x v="94"/>
            <x v="96"/>
            <x v="98"/>
            <x v="101"/>
            <x v="102"/>
            <x v="103"/>
            <x v="104"/>
            <x v="105"/>
            <x v="106"/>
            <x v="107"/>
            <x v="109"/>
            <x v="110"/>
            <x v="111"/>
            <x v="112"/>
            <x v="113"/>
            <x v="115"/>
            <x v="116"/>
            <x v="118"/>
            <x v="119"/>
            <x v="121"/>
            <x v="122"/>
            <x v="123"/>
            <x v="125"/>
            <x v="126"/>
            <x v="127"/>
            <x v="129"/>
            <x v="130"/>
            <x v="131"/>
            <x v="132"/>
            <x v="133"/>
            <x v="134"/>
            <x v="135"/>
            <x v="136"/>
            <x v="137"/>
            <x v="138"/>
            <x v="139"/>
            <x v="140"/>
            <x v="141"/>
            <x v="142"/>
            <x v="144"/>
            <x v="146"/>
            <x v="147"/>
            <x v="148"/>
            <x v="149"/>
            <x v="150"/>
            <x v="152"/>
            <x v="153"/>
            <x v="154"/>
            <x v="155"/>
            <x v="156"/>
            <x v="157"/>
            <x v="159"/>
            <x v="161"/>
            <x v="162"/>
            <x v="163"/>
            <x v="164"/>
            <x v="165"/>
            <x v="166"/>
            <x v="167"/>
            <x v="168"/>
            <x v="169"/>
            <x v="170"/>
            <x v="172"/>
            <x v="173"/>
            <x v="175"/>
            <x v="176"/>
            <x v="177"/>
          </reference>
        </references>
      </pivotArea>
    </format>
    <format dxfId="838">
      <pivotArea collapsedLevelsAreSubtotals="1" fieldPosition="0">
        <references count="2">
          <reference field="16" count="0" selected="0"/>
          <reference field="17" count="13">
            <x v="90"/>
            <x v="95"/>
            <x v="97"/>
            <x v="100"/>
            <x v="108"/>
            <x v="120"/>
            <x v="124"/>
            <x v="128"/>
            <x v="143"/>
            <x v="145"/>
            <x v="151"/>
            <x v="158"/>
            <x v="174"/>
          </reference>
        </references>
      </pivotArea>
    </format>
    <format dxfId="837">
      <pivotArea collapsedLevelsAreSubtotals="1" fieldPosition="0">
        <references count="2">
          <reference field="16" count="0" selected="0"/>
          <reference field="17" count="5">
            <x v="99"/>
            <x v="114"/>
            <x v="117"/>
            <x v="160"/>
            <x v="171"/>
          </reference>
        </references>
      </pivotArea>
    </format>
    <format dxfId="836">
      <pivotArea collapsedLevelsAreSubtotals="1" fieldPosition="0">
        <references count="2">
          <reference field="16" count="0" selected="0"/>
          <reference field="17" count="64">
            <x v="178"/>
            <x v="181"/>
            <x v="182"/>
            <x v="183"/>
            <x v="184"/>
            <x v="186"/>
            <x v="187"/>
            <x v="188"/>
            <x v="189"/>
            <x v="190"/>
            <x v="191"/>
            <x v="192"/>
            <x v="193"/>
            <x v="194"/>
            <x v="195"/>
            <x v="196"/>
            <x v="198"/>
            <x v="200"/>
            <x v="202"/>
            <x v="203"/>
            <x v="204"/>
            <x v="205"/>
            <x v="206"/>
            <x v="208"/>
            <x v="210"/>
            <x v="211"/>
            <x v="212"/>
            <x v="213"/>
            <x v="215"/>
            <x v="216"/>
            <x v="217"/>
            <x v="218"/>
            <x v="219"/>
            <x v="220"/>
            <x v="221"/>
            <x v="222"/>
            <x v="224"/>
            <x v="225"/>
            <x v="227"/>
            <x v="228"/>
            <x v="229"/>
            <x v="230"/>
            <x v="231"/>
            <x v="233"/>
            <x v="234"/>
            <x v="235"/>
            <x v="237"/>
            <x v="238"/>
            <x v="239"/>
            <x v="240"/>
            <x v="242"/>
            <x v="243"/>
            <x v="244"/>
            <x v="245"/>
            <x v="249"/>
            <x v="250"/>
            <x v="251"/>
            <x v="252"/>
            <x v="253"/>
            <x v="254"/>
            <x v="255"/>
            <x v="256"/>
            <x v="257"/>
            <x v="258"/>
          </reference>
        </references>
      </pivotArea>
    </format>
    <format dxfId="835">
      <pivotArea collapsedLevelsAreSubtotals="1" fieldPosition="0">
        <references count="2">
          <reference field="16" count="0" selected="0"/>
          <reference field="17" count="12">
            <x v="179"/>
            <x v="180"/>
            <x v="185"/>
            <x v="197"/>
            <x v="199"/>
            <x v="201"/>
            <x v="209"/>
            <x v="214"/>
            <x v="232"/>
            <x v="236"/>
            <x v="246"/>
            <x v="247"/>
          </reference>
        </references>
      </pivotArea>
    </format>
    <format dxfId="834">
      <pivotArea collapsedLevelsAreSubtotals="1" fieldPosition="0">
        <references count="2">
          <reference field="16" count="0" selected="0"/>
          <reference field="17" count="5">
            <x v="207"/>
            <x v="223"/>
            <x v="226"/>
            <x v="241"/>
            <x v="248"/>
          </reference>
        </references>
      </pivotArea>
    </format>
    <format dxfId="833">
      <pivotArea collapsedLevelsAreSubtotals="1" fieldPosition="0">
        <references count="2">
          <reference field="16" count="0" selected="0"/>
          <reference field="17" count="75">
            <x v="259"/>
            <x v="260"/>
            <x v="261"/>
            <x v="262"/>
            <x v="263"/>
            <x v="264"/>
            <x v="265"/>
            <x v="267"/>
            <x v="268"/>
            <x v="269"/>
            <x v="271"/>
            <x v="272"/>
            <x v="273"/>
            <x v="274"/>
            <x v="275"/>
            <x v="276"/>
            <x v="277"/>
            <x v="278"/>
            <x v="279"/>
            <x v="280"/>
            <x v="283"/>
            <x v="284"/>
            <x v="285"/>
            <x v="286"/>
            <x v="287"/>
            <x v="288"/>
            <x v="289"/>
            <x v="290"/>
            <x v="291"/>
            <x v="292"/>
            <x v="293"/>
            <x v="294"/>
            <x v="295"/>
            <x v="297"/>
            <x v="298"/>
            <x v="300"/>
            <x v="301"/>
            <x v="302"/>
            <x v="304"/>
            <x v="305"/>
            <x v="306"/>
            <x v="308"/>
            <x v="309"/>
            <x v="310"/>
            <x v="311"/>
            <x v="312"/>
            <x v="313"/>
            <x v="314"/>
            <x v="315"/>
            <x v="316"/>
            <x v="320"/>
            <x v="321"/>
            <x v="322"/>
            <x v="324"/>
            <x v="325"/>
            <x v="326"/>
            <x v="327"/>
            <x v="328"/>
            <x v="329"/>
            <x v="330"/>
            <x v="331"/>
            <x v="333"/>
            <x v="334"/>
            <x v="335"/>
            <x v="336"/>
            <x v="339"/>
            <x v="341"/>
            <x v="342"/>
            <x v="343"/>
            <x v="344"/>
            <x v="345"/>
            <x v="346"/>
            <x v="347"/>
            <x v="348"/>
            <x v="351"/>
          </reference>
        </references>
      </pivotArea>
    </format>
    <format dxfId="832">
      <pivotArea collapsedLevelsAreSubtotals="1" fieldPosition="0">
        <references count="2">
          <reference field="16" count="0" selected="0"/>
          <reference field="17" count="14">
            <x v="266"/>
            <x v="281"/>
            <x v="282"/>
            <x v="296"/>
            <x v="299"/>
            <x v="307"/>
            <x v="317"/>
            <x v="318"/>
            <x v="332"/>
            <x v="337"/>
            <x v="338"/>
            <x v="340"/>
            <x v="350"/>
            <x v="352"/>
          </reference>
        </references>
      </pivotArea>
    </format>
    <format dxfId="831">
      <pivotArea collapsedLevelsAreSubtotals="1" fieldPosition="0">
        <references count="2">
          <reference field="16" count="0" selected="0"/>
          <reference field="17" count="5">
            <x v="270"/>
            <x v="303"/>
            <x v="319"/>
            <x v="323"/>
            <x v="349"/>
          </reference>
        </references>
      </pivotArea>
    </format>
    <format dxfId="830">
      <pivotArea collapsedLevelsAreSubtotals="1" fieldPosition="0">
        <references count="2">
          <reference field="16" count="0" selected="0"/>
          <reference field="17" count="68">
            <x v="353"/>
            <x v="354"/>
            <x v="355"/>
            <x v="357"/>
            <x v="358"/>
            <x v="360"/>
            <x v="362"/>
            <x v="363"/>
            <x v="364"/>
            <x v="366"/>
            <x v="367"/>
            <x v="369"/>
            <x v="370"/>
            <x v="371"/>
            <x v="372"/>
            <x v="373"/>
            <x v="374"/>
            <x v="375"/>
            <x v="376"/>
            <x v="377"/>
            <x v="378"/>
            <x v="379"/>
            <x v="380"/>
            <x v="382"/>
            <x v="383"/>
            <x v="384"/>
            <x v="385"/>
            <x v="388"/>
            <x v="389"/>
            <x v="390"/>
            <x v="391"/>
            <x v="392"/>
            <x v="393"/>
            <x v="394"/>
            <x v="398"/>
            <x v="400"/>
            <x v="401"/>
            <x v="402"/>
            <x v="404"/>
            <x v="406"/>
            <x v="408"/>
            <x v="409"/>
            <x v="411"/>
            <x v="412"/>
            <x v="413"/>
            <x v="414"/>
            <x v="415"/>
            <x v="416"/>
            <x v="417"/>
            <x v="418"/>
            <x v="419"/>
            <x v="420"/>
            <x v="421"/>
            <x v="422"/>
            <x v="423"/>
            <x v="424"/>
            <x v="425"/>
            <x v="426"/>
            <x v="427"/>
            <x v="429"/>
            <x v="430"/>
            <x v="432"/>
            <x v="433"/>
            <x v="434"/>
            <x v="435"/>
            <x v="436"/>
            <x v="437"/>
            <x v="438"/>
          </reference>
        </references>
      </pivotArea>
    </format>
    <format dxfId="829">
      <pivotArea collapsedLevelsAreSubtotals="1" fieldPosition="0">
        <references count="2">
          <reference field="16" count="0" selected="0"/>
          <reference field="17" count="12">
            <x v="361"/>
            <x v="365"/>
            <x v="381"/>
            <x v="386"/>
            <x v="387"/>
            <x v="395"/>
            <x v="397"/>
            <x v="399"/>
            <x v="407"/>
            <x v="410"/>
            <x v="428"/>
            <x v="431"/>
          </reference>
        </references>
      </pivotArea>
    </format>
    <format dxfId="828">
      <pivotArea collapsedLevelsAreSubtotals="1" fieldPosition="0">
        <references count="2">
          <reference field="16" count="0" selected="0"/>
          <reference field="17" count="6">
            <x v="356"/>
            <x v="359"/>
            <x v="368"/>
            <x v="396"/>
            <x v="403"/>
            <x v="405"/>
          </reference>
        </references>
      </pivotArea>
    </format>
    <format dxfId="827">
      <pivotArea collapsedLevelsAreSubtotals="1" fieldPosition="0">
        <references count="2">
          <reference field="16" count="0" selected="0"/>
          <reference field="17" count="70">
            <x v="439"/>
            <x v="441"/>
            <x v="442"/>
            <x v="443"/>
            <x v="444"/>
            <x v="445"/>
            <x v="447"/>
            <x v="448"/>
            <x v="449"/>
            <x v="450"/>
            <x v="451"/>
            <x v="452"/>
            <x v="453"/>
            <x v="454"/>
            <x v="455"/>
            <x v="457"/>
            <x v="458"/>
            <x v="459"/>
            <x v="460"/>
            <x v="461"/>
            <x v="462"/>
            <x v="463"/>
            <x v="464"/>
            <x v="465"/>
            <x v="466"/>
            <x v="467"/>
            <x v="468"/>
            <x v="469"/>
            <x v="470"/>
            <x v="471"/>
            <x v="472"/>
            <x v="473"/>
            <x v="475"/>
            <x v="477"/>
            <x v="478"/>
            <x v="480"/>
            <x v="481"/>
            <x v="482"/>
            <x v="483"/>
            <x v="484"/>
            <x v="485"/>
            <x v="487"/>
            <x v="488"/>
            <x v="490"/>
            <x v="491"/>
            <x v="492"/>
            <x v="493"/>
            <x v="494"/>
            <x v="496"/>
            <x v="497"/>
            <x v="498"/>
            <x v="499"/>
            <x v="500"/>
            <x v="501"/>
            <x v="504"/>
            <x v="506"/>
            <x v="507"/>
            <x v="509"/>
            <x v="510"/>
            <x v="511"/>
            <x v="512"/>
            <x v="514"/>
            <x v="515"/>
            <x v="518"/>
            <x v="519"/>
            <x v="520"/>
            <x v="521"/>
            <x v="523"/>
            <x v="524"/>
            <x v="526"/>
          </reference>
        </references>
      </pivotArea>
    </format>
    <format dxfId="826">
      <pivotArea collapsedLevelsAreSubtotals="1" fieldPosition="0">
        <references count="2">
          <reference field="16" count="0" selected="0"/>
          <reference field="17" count="13">
            <x v="440"/>
            <x v="446"/>
            <x v="456"/>
            <x v="476"/>
            <x v="479"/>
            <x v="489"/>
            <x v="495"/>
            <x v="502"/>
            <x v="505"/>
            <x v="508"/>
            <x v="516"/>
            <x v="517"/>
            <x v="522"/>
          </reference>
        </references>
      </pivotArea>
    </format>
    <format dxfId="825">
      <pivotArea collapsedLevelsAreSubtotals="1" fieldPosition="0">
        <references count="2">
          <reference field="16" count="0" selected="0"/>
          <reference field="17" count="5">
            <x v="474"/>
            <x v="486"/>
            <x v="503"/>
            <x v="513"/>
            <x v="525"/>
          </reference>
        </references>
      </pivotArea>
    </format>
    <format dxfId="824">
      <pivotArea collapsedLevelsAreSubtotals="1" fieldPosition="0">
        <references count="2">
          <reference field="16" count="0" selected="0"/>
          <reference field="17" count="77">
            <x v="527"/>
            <x v="528"/>
            <x v="529"/>
            <x v="530"/>
            <x v="532"/>
            <x v="535"/>
            <x v="537"/>
            <x v="539"/>
            <x v="540"/>
            <x v="541"/>
            <x v="543"/>
            <x v="545"/>
            <x v="546"/>
            <x v="547"/>
            <x v="550"/>
            <x v="551"/>
            <x v="553"/>
            <x v="554"/>
            <x v="555"/>
            <x v="556"/>
            <x v="557"/>
            <x v="558"/>
            <x v="559"/>
            <x v="560"/>
            <x v="561"/>
            <x v="562"/>
            <x v="564"/>
            <x v="565"/>
            <x v="566"/>
            <x v="567"/>
            <x v="568"/>
            <x v="570"/>
            <x v="571"/>
            <x v="572"/>
            <x v="573"/>
            <x v="574"/>
            <x v="576"/>
            <x v="577"/>
            <x v="578"/>
            <x v="579"/>
            <x v="581"/>
            <x v="582"/>
            <x v="584"/>
            <x v="586"/>
            <x v="587"/>
            <x v="589"/>
            <x v="590"/>
            <x v="591"/>
            <x v="592"/>
            <x v="593"/>
            <x v="594"/>
            <x v="595"/>
            <x v="597"/>
            <x v="599"/>
            <x v="602"/>
            <x v="603"/>
            <x v="604"/>
            <x v="605"/>
            <x v="606"/>
            <x v="607"/>
            <x v="608"/>
            <x v="609"/>
            <x v="610"/>
            <x v="611"/>
            <x v="612"/>
            <x v="613"/>
            <x v="614"/>
            <x v="615"/>
            <x v="617"/>
            <x v="618"/>
            <x v="620"/>
            <x v="624"/>
            <x v="625"/>
            <x v="626"/>
            <x v="627"/>
            <x v="628"/>
            <x v="629"/>
          </reference>
        </references>
      </pivotArea>
    </format>
    <format dxfId="823">
      <pivotArea collapsedLevelsAreSubtotals="1" fieldPosition="0">
        <references count="2">
          <reference field="16" count="0" selected="0"/>
          <reference field="17" count="14">
            <x v="531"/>
            <x v="533"/>
            <x v="534"/>
            <x v="538"/>
            <x v="548"/>
            <x v="549"/>
            <x v="552"/>
            <x v="563"/>
            <x v="580"/>
            <x v="596"/>
            <x v="601"/>
            <x v="619"/>
            <x v="622"/>
            <x v="623"/>
          </reference>
        </references>
      </pivotArea>
    </format>
    <format dxfId="822">
      <pivotArea collapsedLevelsAreSubtotals="1" fieldPosition="0">
        <references count="2">
          <reference field="16" count="0" selected="0"/>
          <reference field="17" count="4">
            <x v="569"/>
            <x v="575"/>
            <x v="583"/>
            <x v="600"/>
          </reference>
        </references>
      </pivotArea>
    </format>
    <format dxfId="821">
      <pivotArea collapsedLevelsAreSubtotals="1" fieldPosition="0">
        <references count="2">
          <reference field="16" count="0" selected="0"/>
          <reference field="17" count="78">
            <x v="527"/>
            <x v="528"/>
            <x v="529"/>
            <x v="530"/>
            <x v="532"/>
            <x v="535"/>
            <x v="537"/>
            <x v="539"/>
            <x v="540"/>
            <x v="541"/>
            <x v="543"/>
            <x v="545"/>
            <x v="546"/>
            <x v="547"/>
            <x v="550"/>
            <x v="551"/>
            <x v="553"/>
            <x v="554"/>
            <x v="555"/>
            <x v="556"/>
            <x v="557"/>
            <x v="558"/>
            <x v="559"/>
            <x v="560"/>
            <x v="561"/>
            <x v="562"/>
            <x v="564"/>
            <x v="565"/>
            <x v="566"/>
            <x v="567"/>
            <x v="568"/>
            <x v="570"/>
            <x v="571"/>
            <x v="572"/>
            <x v="573"/>
            <x v="574"/>
            <x v="576"/>
            <x v="577"/>
            <x v="578"/>
            <x v="579"/>
            <x v="581"/>
            <x v="582"/>
            <x v="584"/>
            <x v="586"/>
            <x v="587"/>
            <x v="589"/>
            <x v="590"/>
            <x v="591"/>
            <x v="592"/>
            <x v="593"/>
            <x v="594"/>
            <x v="595"/>
            <x v="597"/>
            <x v="599"/>
            <x v="602"/>
            <x v="603"/>
            <x v="604"/>
            <x v="605"/>
            <x v="606"/>
            <x v="607"/>
            <x v="608"/>
            <x v="609"/>
            <x v="610"/>
            <x v="611"/>
            <x v="612"/>
            <x v="613"/>
            <x v="614"/>
            <x v="615"/>
            <x v="617"/>
            <x v="618"/>
            <x v="620"/>
            <x v="622"/>
            <x v="624"/>
            <x v="625"/>
            <x v="626"/>
            <x v="627"/>
            <x v="628"/>
            <x v="629"/>
          </reference>
        </references>
      </pivotArea>
    </format>
    <format dxfId="820">
      <pivotArea collapsedLevelsAreSubtotals="1" fieldPosition="0">
        <references count="2">
          <reference field="16" count="0" selected="0"/>
          <reference field="17" count="15">
            <x v="531"/>
            <x v="533"/>
            <x v="534"/>
            <x v="538"/>
            <x v="548"/>
            <x v="549"/>
            <x v="552"/>
            <x v="563"/>
            <x v="569"/>
            <x v="580"/>
            <x v="596"/>
            <x v="600"/>
            <x v="601"/>
            <x v="619"/>
            <x v="623"/>
          </reference>
        </references>
      </pivotArea>
    </format>
    <format dxfId="819">
      <pivotArea collapsedLevelsAreSubtotals="1" fieldPosition="0">
        <references count="2">
          <reference field="16" count="0" selected="0"/>
          <reference field="17" count="5">
            <x v="542"/>
            <x v="575"/>
            <x v="583"/>
            <x v="585"/>
            <x v="616"/>
          </reference>
        </references>
      </pivotArea>
    </format>
  </formats>
  <chartFormats count="3">
    <chartFormat chart="8"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7" type="count" evalOrder="-1" id="1" iMeasureFld="0">
      <autoFilter ref="A1">
        <filterColumn colId="0">
          <top10 val="10" filterVal="10"/>
        </filterColumn>
      </autoFilter>
    </filter>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4D54D-3BAB-4268-B645-1612A7CB85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33">
    <pivotField dataField="1" showAll="0"/>
    <pivotField numFmtId="14" showAll="0"/>
    <pivotField numFmtId="14" showAll="0"/>
    <pivotField numFmtId="14" showAll="0"/>
    <pivotField numFmtId="14" showAll="0"/>
    <pivotField numFmtId="1" showAll="0"/>
    <pivotField showAll="0"/>
    <pivotField numFmtId="2" showAll="0"/>
    <pivotField showAll="0"/>
    <pivotField showAll="0"/>
    <pivotField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showAll="0"/>
    <pivotField axis="axisRow" showAll="0">
      <items count="17">
        <item x="1"/>
        <item x="0"/>
        <item x="11"/>
        <item x="2"/>
        <item x="14"/>
        <item x="7"/>
        <item x="6"/>
        <item x="4"/>
        <item x="12"/>
        <item x="13"/>
        <item x="10"/>
        <item x="9"/>
        <item x="3"/>
        <item x="8"/>
        <item x="15"/>
        <item x="5"/>
        <item t="default"/>
      </items>
    </pivotField>
    <pivotField showAll="0"/>
    <pivotField showAll="0"/>
    <pivotField numFmtId="2" showAll="0"/>
    <pivotField numFmtId="2" showAll="0"/>
    <pivotField numFmtId="2" showAll="0"/>
    <pivotField numFmtId="9" showAll="0"/>
    <pivotField numFmtId="2" showAll="0"/>
    <pivotField numFmtId="2" showAll="0"/>
    <pivotField showAll="0"/>
    <pivotField dataField="1" numFmtId="2" showAll="0"/>
    <pivotField showAll="0"/>
    <pivotField showAll="0"/>
    <pivotField showAll="0"/>
    <pivotField showAll="0"/>
    <pivotField showAll="0"/>
    <pivotField showAll="0">
      <items count="13">
        <item h="1" x="0"/>
        <item h="1" x="1"/>
        <item h="1" x="2"/>
        <item h="1" x="3"/>
        <item x="4"/>
        <item h="1" x="5"/>
        <item h="1" x="6"/>
        <item h="1" x="7"/>
        <item h="1" x="8"/>
        <item h="1" x="9"/>
        <item h="1" x="10"/>
        <item h="1" x="11"/>
        <item t="default"/>
      </items>
    </pivotField>
    <pivotField showAll="0">
      <items count="4">
        <item x="0"/>
        <item h="1" x="1"/>
        <item h="1" x="2"/>
        <item t="default"/>
      </items>
    </pivotField>
  </pivotFields>
  <rowFields count="1">
    <field x="15"/>
  </rowFields>
  <rowItems count="3">
    <i>
      <x v="5"/>
    </i>
    <i>
      <x v="9"/>
    </i>
    <i t="grand">
      <x/>
    </i>
  </rowItems>
  <colFields count="1">
    <field x="-2"/>
  </colFields>
  <colItems count="2">
    <i>
      <x/>
    </i>
    <i i="1">
      <x v="1"/>
    </i>
  </colItems>
  <dataFields count="2">
    <dataField name="Count of OrderID" fld="0" subtotal="count" baseField="0" baseItem="0"/>
    <dataField name="Sum of GrossProfit" fld="2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A33D72-3F8A-47F2-9B6C-17F0293A35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6" firstHeaderRow="1" firstDataRow="2" firstDataCol="1"/>
  <pivotFields count="33">
    <pivotField showAll="0"/>
    <pivotField numFmtId="14" showAll="0"/>
    <pivotField numFmtId="14" showAll="0"/>
    <pivotField numFmtId="14" showAll="0"/>
    <pivotField numFmtId="14" showAll="0"/>
    <pivotField numFmtId="1" showAll="0"/>
    <pivotField showAll="0"/>
    <pivotField numFmtId="2" showAll="0"/>
    <pivotField showAll="0"/>
    <pivotField showAll="0"/>
    <pivotField axis="axisRow"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axis="axisCol" showAll="0">
      <items count="7">
        <item h="1" x="2"/>
        <item h="1" x="0"/>
        <item h="1" x="4"/>
        <item h="1" x="5"/>
        <item x="1"/>
        <item x="3"/>
        <item t="default"/>
      </items>
    </pivotField>
    <pivotField showAll="0"/>
    <pivotField showAll="0"/>
    <pivotField showAll="0"/>
    <pivotField numFmtId="2" showAll="0"/>
    <pivotField numFmtId="2" showAll="0"/>
    <pivotField numFmtId="2" showAll="0"/>
    <pivotField numFmtId="9" showAll="0"/>
    <pivotField numFmtId="2" showAll="0"/>
    <pivotField dataField="1" numFmtId="2" showAll="0"/>
    <pivotField showAll="0"/>
    <pivotField numFmtId="2" showAll="0"/>
    <pivotField showAll="0"/>
    <pivotField showAll="0"/>
    <pivotField showAll="0"/>
    <pivotField showAll="0"/>
    <pivotField showAll="0"/>
    <pivotField showAll="0"/>
    <pivotField showAll="0"/>
  </pivotFields>
  <rowFields count="1">
    <field x="10"/>
  </rowFields>
  <rowItems count="2">
    <i>
      <x/>
    </i>
    <i t="grand">
      <x/>
    </i>
  </rowItems>
  <colFields count="1">
    <field x="14"/>
  </colFields>
  <colItems count="3">
    <i>
      <x v="4"/>
    </i>
    <i>
      <x v="5"/>
    </i>
    <i t="grand">
      <x/>
    </i>
  </colItems>
  <dataFields count="1">
    <dataField name="Sum of GrossRevenue" fld="23" baseField="0" baseItem="0" numFmtId="2"/>
  </dataFields>
  <chartFormats count="11">
    <chartFormat chart="7" format="0" series="1">
      <pivotArea type="data" outline="0" fieldPosition="0">
        <references count="2">
          <reference field="4294967294" count="1" selected="0">
            <x v="0"/>
          </reference>
          <reference field="14" count="1" selected="0">
            <x v="4"/>
          </reference>
        </references>
      </pivotArea>
    </chartFormat>
    <chartFormat chart="7" format="1" series="1">
      <pivotArea type="data" outline="0" fieldPosition="0">
        <references count="2">
          <reference field="4294967294" count="1" selected="0">
            <x v="0"/>
          </reference>
          <reference field="14" count="1" selected="0">
            <x v="5"/>
          </reference>
        </references>
      </pivotArea>
    </chartFormat>
    <chartFormat chart="7" format="2" series="1">
      <pivotArea type="data" outline="0" fieldPosition="0">
        <references count="2">
          <reference field="4294967294" count="1" selected="0">
            <x v="0"/>
          </reference>
          <reference field="14" count="1" selected="0">
            <x v="2"/>
          </reference>
        </references>
      </pivotArea>
    </chartFormat>
    <chartFormat chart="7" format="3" series="1">
      <pivotArea type="data" outline="0" fieldPosition="0">
        <references count="2">
          <reference field="4294967294" count="1" selected="0">
            <x v="0"/>
          </reference>
          <reference field="14" count="1" selected="0">
            <x v="3"/>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 chart="12" format="8" series="1">
      <pivotArea type="data" outline="0" fieldPosition="0">
        <references count="2">
          <reference field="4294967294" count="1" selected="0">
            <x v="0"/>
          </reference>
          <reference field="14" count="1" selected="0">
            <x v="4"/>
          </reference>
        </references>
      </pivotArea>
    </chartFormat>
    <chartFormat chart="12" format="9" series="1">
      <pivotArea type="data" outline="0" fieldPosition="0">
        <references count="2">
          <reference field="4294967294" count="1" selected="0">
            <x v="0"/>
          </reference>
          <reference field="14" count="1" selected="0">
            <x v="5"/>
          </reference>
        </references>
      </pivotArea>
    </chartFormat>
    <chartFormat chart="12" format="1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11"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D7C16-E5A1-4AFF-9D1D-36E7E33BE27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33">
    <pivotField dataField="1" showAll="0"/>
    <pivotField numFmtId="14" showAll="0"/>
    <pivotField numFmtId="14" showAll="0"/>
    <pivotField numFmtId="14" showAll="0"/>
    <pivotField numFmtId="14" showAll="0"/>
    <pivotField numFmtId="1" showAll="0"/>
    <pivotField showAll="0"/>
    <pivotField numFmtId="2" showAll="0"/>
    <pivotField axis="axisRow" showAll="0">
      <items count="3">
        <item x="0"/>
        <item x="1"/>
        <item t="default"/>
      </items>
    </pivotField>
    <pivotField showAll="0"/>
    <pivotField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showAll="0"/>
    <pivotField showAll="0"/>
    <pivotField showAll="0">
      <items count="8">
        <item x="3"/>
        <item h="1" x="6"/>
        <item h="1" x="0"/>
        <item h="1" x="5"/>
        <item h="1" x="4"/>
        <item h="1" x="2"/>
        <item h="1" x="1"/>
        <item t="default"/>
      </items>
    </pivotField>
    <pivotField showAll="0"/>
    <pivotField numFmtId="2" showAll="0"/>
    <pivotField numFmtId="2" showAll="0"/>
    <pivotField numFmtId="2" showAll="0"/>
    <pivotField numFmtId="9" showAll="0"/>
    <pivotField numFmtId="2" showAll="0"/>
    <pivotField numFmtId="2" showAll="0"/>
    <pivotField showAll="0"/>
    <pivotField numFmtId="2"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OrderID"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33C84A-7D40-4BD8-A782-BC37E824C8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6" firstHeaderRow="1" firstDataRow="1" firstDataCol="1"/>
  <pivotFields count="33">
    <pivotField dataField="1" showAll="0"/>
    <pivotField numFmtId="14" showAll="0"/>
    <pivotField numFmtId="14" showAll="0"/>
    <pivotField numFmtId="14" showAll="0"/>
    <pivotField numFmtId="14" showAll="0"/>
    <pivotField numFmtId="1" showAll="0"/>
    <pivotField numFmtId="14" showAll="0"/>
    <pivotField numFmtId="1" showAll="0"/>
    <pivotField showAll="0"/>
    <pivotField axis="axisRow" showAll="0">
      <items count="3">
        <item x="0"/>
        <item x="1"/>
        <item t="default"/>
      </items>
    </pivotField>
    <pivotField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showAll="0"/>
    <pivotField showAll="0">
      <items count="17">
        <item h="1" x="1"/>
        <item h="1" x="0"/>
        <item h="1" x="11"/>
        <item h="1" x="2"/>
        <item h="1" x="14"/>
        <item h="1" x="7"/>
        <item h="1" x="6"/>
        <item h="1" x="4"/>
        <item h="1" x="12"/>
        <item h="1" x="13"/>
        <item h="1" x="10"/>
        <item x="9"/>
        <item h="1" x="3"/>
        <item h="1" x="8"/>
        <item h="1" x="15"/>
        <item h="1" x="5"/>
        <item t="default"/>
      </items>
    </pivotField>
    <pivotField showAll="0"/>
    <pivotField showAll="0"/>
    <pivotField numFmtId="2" showAll="0"/>
    <pivotField numFmtId="2" showAll="0"/>
    <pivotField numFmtId="2" showAll="0"/>
    <pivotField numFmtId="9" showAll="0"/>
    <pivotField numFmtId="2" showAll="0"/>
    <pivotField numFmtId="2" showAll="0"/>
    <pivotField showAll="0"/>
    <pivotField numFmtId="2"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Ord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9" count="1" selected="0">
            <x v="0"/>
          </reference>
        </references>
      </pivotArea>
    </chartFormat>
    <chartFormat chart="23"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0443BF-EC63-4361-8EEC-8CE7EED4C7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7" firstHeaderRow="1" firstDataRow="2" firstDataCol="1"/>
  <pivotFields count="33">
    <pivotField showAll="0"/>
    <pivotField numFmtId="14" showAll="0"/>
    <pivotField numFmtId="14" showAll="0"/>
    <pivotField showAll="0"/>
    <pivotField numFmtId="14" showAll="0"/>
    <pivotField numFmtId="1" showAll="0"/>
    <pivotField numFmtId="14" showAll="0"/>
    <pivotField numFmtId="1" showAll="0"/>
    <pivotField showAll="0"/>
    <pivotField showAll="0"/>
    <pivotField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showAll="0"/>
    <pivotField showAll="0"/>
    <pivotField showAll="0"/>
    <pivotField showAll="0"/>
    <pivotField numFmtId="2" showAll="0"/>
    <pivotField numFmtId="2" showAll="0"/>
    <pivotField numFmtId="2" showAll="0"/>
    <pivotField numFmtId="9" showAll="0"/>
    <pivotField numFmtId="2" showAll="0"/>
    <pivotField dataField="1" numFmtId="2" showAll="0"/>
    <pivotField showAll="0"/>
    <pivotField numFmtId="2"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axis="axisCol" showAll="0">
      <items count="4">
        <item x="0"/>
        <item x="1"/>
        <item x="2"/>
        <item t="default"/>
      </items>
    </pivotField>
  </pivotFields>
  <rowFields count="1">
    <field x="31"/>
  </rowFields>
  <rowItems count="13">
    <i>
      <x/>
    </i>
    <i>
      <x v="1"/>
    </i>
    <i>
      <x v="2"/>
    </i>
    <i>
      <x v="3"/>
    </i>
    <i>
      <x v="4"/>
    </i>
    <i>
      <x v="5"/>
    </i>
    <i>
      <x v="6"/>
    </i>
    <i>
      <x v="7"/>
    </i>
    <i>
      <x v="8"/>
    </i>
    <i>
      <x v="9"/>
    </i>
    <i>
      <x v="10"/>
    </i>
    <i>
      <x v="11"/>
    </i>
    <i t="grand">
      <x/>
    </i>
  </rowItems>
  <colFields count="1">
    <field x="32"/>
  </colFields>
  <colItems count="4">
    <i>
      <x/>
    </i>
    <i>
      <x v="1"/>
    </i>
    <i>
      <x v="2"/>
    </i>
    <i t="grand">
      <x/>
    </i>
  </colItems>
  <dataFields count="1">
    <dataField name="Sum of GrossRevenue" fld="23" baseField="0" baseItem="0" numFmtId="2"/>
  </dataFields>
  <chartFormats count="8">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0" format="2" series="1">
      <pivotArea type="data" outline="0" fieldPosition="0">
        <references count="2">
          <reference field="4294967294" count="1" selected="0">
            <x v="0"/>
          </reference>
          <reference field="32" count="1" selected="0">
            <x v="2"/>
          </reference>
        </references>
      </pivotArea>
    </chartFormat>
    <chartFormat chart="10" format="6" series="1">
      <pivotArea type="data" outline="0" fieldPosition="0">
        <references count="2">
          <reference field="4294967294" count="1" selected="0">
            <x v="0"/>
          </reference>
          <reference field="32" count="1" selected="0">
            <x v="0"/>
          </reference>
        </references>
      </pivotArea>
    </chartFormat>
    <chartFormat chart="10" format="7" series="1">
      <pivotArea type="data" outline="0" fieldPosition="0">
        <references count="2">
          <reference field="4294967294" count="1" selected="0">
            <x v="0"/>
          </reference>
          <reference field="32" count="1" selected="0">
            <x v="1"/>
          </reference>
        </references>
      </pivotArea>
    </chartFormat>
    <chartFormat chart="10" format="8" series="1">
      <pivotArea type="data" outline="0" fieldPosition="0">
        <references count="2">
          <reference field="4294967294" count="1" selected="0">
            <x v="0"/>
          </reference>
          <reference field="32" count="1" selected="0">
            <x v="2"/>
          </reference>
        </references>
      </pivotArea>
    </chartFormat>
    <chartFormat chart="10"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11E6C8-FD2E-47E4-84A1-771BAB1186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1" firstHeaderRow="1" firstDataRow="2" firstDataCol="1"/>
  <pivotFields count="33">
    <pivotField showAll="0"/>
    <pivotField numFmtId="14" showAll="0"/>
    <pivotField numFmtId="14" showAll="0"/>
    <pivotField showAll="0"/>
    <pivotField numFmtId="14" showAll="0"/>
    <pivotField numFmtId="1" showAll="0"/>
    <pivotField numFmtId="14" showAll="0"/>
    <pivotField numFmtId="1" showAll="0"/>
    <pivotField showAll="0"/>
    <pivotField showAll="0"/>
    <pivotField axis="axisCol" showAll="0">
      <items count="5">
        <item x="1"/>
        <item h="1" x="0"/>
        <item h="1" x="3"/>
        <item h="1" x="2"/>
        <item t="default"/>
      </items>
    </pivotField>
    <pivotField showAll="0">
      <items count="13">
        <item h="1" x="10"/>
        <item h="1" x="0"/>
        <item h="1" x="3"/>
        <item h="1" x="2"/>
        <item h="1" x="8"/>
        <item h="1" x="9"/>
        <item h="1" x="11"/>
        <item x="7"/>
        <item h="1" x="5"/>
        <item h="1" x="1"/>
        <item h="1" x="6"/>
        <item h="1" x="4"/>
        <item t="default"/>
      </items>
    </pivotField>
    <pivotField showAll="0"/>
    <pivotField showAll="0"/>
    <pivotField axis="axisRow" showAll="0">
      <items count="7">
        <item x="2"/>
        <item x="0"/>
        <item x="4"/>
        <item x="5"/>
        <item x="1"/>
        <item x="3"/>
        <item t="default"/>
      </items>
    </pivotField>
    <pivotField showAll="0"/>
    <pivotField showAll="0"/>
    <pivotField showAll="0"/>
    <pivotField numFmtId="2" showAll="0"/>
    <pivotField numFmtId="2" showAll="0"/>
    <pivotField numFmtId="2" showAll="0"/>
    <pivotField numFmtId="9" showAll="0"/>
    <pivotField numFmtId="2" showAll="0"/>
    <pivotField numFmtId="2" showAll="0"/>
    <pivotField showAll="0"/>
    <pivotField dataField="1" numFmtId="2" showAll="0"/>
    <pivotField showAll="0"/>
    <pivotField showAll="0"/>
    <pivotField showAll="0"/>
    <pivotField showAll="0"/>
    <pivotField showAll="0"/>
    <pivotField showAll="0"/>
    <pivotField showAll="0"/>
  </pivotFields>
  <rowFields count="1">
    <field x="14"/>
  </rowFields>
  <rowItems count="7">
    <i>
      <x/>
    </i>
    <i>
      <x v="1"/>
    </i>
    <i>
      <x v="2"/>
    </i>
    <i>
      <x v="3"/>
    </i>
    <i>
      <x v="4"/>
    </i>
    <i>
      <x v="5"/>
    </i>
    <i t="grand">
      <x/>
    </i>
  </rowItems>
  <colFields count="1">
    <field x="10"/>
  </colFields>
  <colItems count="2">
    <i>
      <x/>
    </i>
    <i t="grand">
      <x/>
    </i>
  </colItems>
  <dataFields count="1">
    <dataField name="Sum of GrossProfit" fld="25" baseField="0" baseItem="0" numFmtId="2"/>
  </dataField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7" format="8" series="1">
      <pivotArea type="data" outline="0" fieldPosition="0">
        <references count="2">
          <reference field="4294967294" count="1" selected="0">
            <x v="0"/>
          </reference>
          <reference field="10" count="1" selected="0">
            <x v="0"/>
          </reference>
        </references>
      </pivotArea>
    </chartFormat>
    <chartFormat chart="7" format="9" series="1">
      <pivotArea type="data" outline="0" fieldPosition="0">
        <references count="2">
          <reference field="4294967294" count="1" selected="0">
            <x v="0"/>
          </reference>
          <reference field="10" count="1" selected="0">
            <x v="1"/>
          </reference>
        </references>
      </pivotArea>
    </chartFormat>
    <chartFormat chart="7" format="10" series="1">
      <pivotArea type="data" outline="0" fieldPosition="0">
        <references count="2">
          <reference field="4294967294" count="1" selected="0">
            <x v="0"/>
          </reference>
          <reference field="10" count="1" selected="0">
            <x v="2"/>
          </reference>
        </references>
      </pivotArea>
    </chartFormat>
    <chartFormat chart="7" format="11" series="1">
      <pivotArea type="data" outline="0" fieldPosition="0">
        <references count="2">
          <reference field="4294967294" count="1" selected="0">
            <x v="0"/>
          </reference>
          <reference field="10" count="1" selected="0">
            <x v="3"/>
          </reference>
        </references>
      </pivotArea>
    </chartFormat>
    <chartFormat chart="7"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8206BA-E8B2-499D-B2B2-79CD602E3CF5}" sourceName="Country">
  <pivotTables>
    <pivotTable tabId="4" name="PivotTable5"/>
    <pivotTable tabId="14" name="PivotTable11"/>
    <pivotTable tabId="9" name="PivotTable8"/>
    <pivotTable tabId="19" name="PivotTable3"/>
    <pivotTable tabId="18" name="PivotTable2"/>
    <pivotTable tabId="8" name="PivotTable7"/>
    <pivotTable tabId="15" name="PivotTable12"/>
    <pivotTable tabId="5" name="PivotTable6"/>
  </pivotTables>
  <data>
    <tabular pivotCacheId="913149963">
      <items count="12">
        <i x="7" s="1"/>
        <i x="5"/>
        <i x="1"/>
        <i x="10" nd="1"/>
        <i x="0" nd="1"/>
        <i x="3" nd="1"/>
        <i x="2" nd="1"/>
        <i x="8" nd="1"/>
        <i x="9" nd="1"/>
        <i x="11" nd="1"/>
        <i x="6"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7CEF31-FE5C-4010-88D0-C6439D09B93E}" sourceName="Month">
  <pivotTables>
    <pivotTable tabId="8" name="PivotTable7"/>
  </pivotTables>
  <data>
    <tabular pivotCacheId="913149963">
      <items count="12">
        <i x="0"/>
        <i x="1"/>
        <i x="2"/>
        <i x="3"/>
        <i x="4" s="1"/>
        <i x="5"/>
        <i x="6"/>
        <i x="7"/>
        <i x="8"/>
        <i x="9"/>
        <i x="11"/>
        <i x="1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1E2B8C-69F4-41DA-AD35-8CC12A43504F}" sourceName="Year">
  <pivotTables>
    <pivotTable tabId="8" name="PivotTable7"/>
  </pivotTables>
  <data>
    <tabular pivotCacheId="913149963">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105D8BE-0292-4A3F-B2A5-7B7F1CC4272C}" sourceName="Channel">
  <pivotTables>
    <pivotTable tabId="9" name="PivotTable8"/>
  </pivotTables>
  <data>
    <tabular pivotCacheId="913149963">
      <items count="6">
        <i x="2"/>
        <i x="0"/>
        <i x="4"/>
        <i x="5"/>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9A5F46D7-7938-4EB7-884A-75CC6AADCCD7}" sourceName="ProductCategory">
  <pivotTables>
    <pivotTable tabId="14" name="PivotTable11"/>
  </pivotTables>
  <data>
    <tabular pivotCacheId="913149963">
      <items count="7">
        <i x="3" s="1"/>
        <i x="6"/>
        <i x="0"/>
        <i x="5"/>
        <i x="4"/>
        <i x="2"/>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4C9D219-5373-4AD2-87AB-4B61FA59C173}" sourceName="Region">
  <pivotTables>
    <pivotTable tabId="15" name="PivotTable12"/>
    <pivotTable tabId="4" name="PivotTable5"/>
    <pivotTable tabId="14" name="PivotTable11"/>
    <pivotTable tabId="9" name="PivotTable8"/>
    <pivotTable tabId="19" name="PivotTable3"/>
    <pivotTable tabId="18" name="PivotTable2"/>
    <pivotTable tabId="8" name="PivotTable7"/>
    <pivotTable tabId="5" name="PivotTable6"/>
  </pivotTables>
  <data>
    <tabular pivotCacheId="913149963">
      <items count="4">
        <i x="1" s="1"/>
        <i x="0" nd="1"/>
        <i x="3" nd="1"/>
        <i x="2"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4C868D3-1CB4-43CE-8FDB-E996445035F2}" sourceName="Salesperson">
  <pivotTables>
    <pivotTable tabId="15" name="PivotTable12"/>
  </pivotTables>
  <data>
    <tabular pivotCacheId="913149963">
      <items count="16">
        <i x="1"/>
        <i x="0"/>
        <i x="11"/>
        <i x="2"/>
        <i x="14"/>
        <i x="7"/>
        <i x="4"/>
        <i x="12"/>
        <i x="13"/>
        <i x="10"/>
        <i x="9" s="1"/>
        <i x="3"/>
        <i x="8"/>
        <i x="5"/>
        <i x="6" nd="1"/>
        <i x="15"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D09FAB7-43F3-4F8E-BEA5-A0D88544EC17}" sourceName="Country">
  <data>
    <tabular pivotCacheId="913149963">
      <items count="12">
        <i x="10" s="1"/>
        <i x="0" s="1"/>
        <i x="3" s="1"/>
        <i x="2" s="1"/>
        <i x="8" s="1"/>
        <i x="9" s="1"/>
        <i x="11" s="1"/>
        <i x="7" s="1"/>
        <i x="5" s="1"/>
        <i x="1"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FB85498-EB7D-4A06-9ACC-0B98760225EF}"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31143C3-F6F8-4353-8680-5E4CEAEBA28D}" cache="Slicer_Month" caption="Month" rowHeight="241300"/>
  <slicer name="Year" xr10:uid="{B0CA6E75-9CE0-436E-B3BD-4A28C255A287}"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EC547F3-AD39-4E2C-82D7-ED758FB556DE}" cache="Slicer_Channel" caption="Channel" rowHeight="241300"/>
  <slicer name="Region" xr10:uid="{5C4BCF87-C958-45FF-BFBA-E254C6D8E77F}" cache="Slicer_Region1"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B70B4216-4702-4467-9EA9-CD7B5FDAD5FF}" cache="Slicer_ProductCategory" caption="ProductCategory" rowHeight="241300"/>
  <slicer name="Country 1" xr10:uid="{FB36EE62-512E-45BE-A810-757A5F6C9E88}" cache="Slicer_Country1" caption="Country"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8071DE7-6F8C-41FB-A6DB-B9E8B41083E0}" cache="Slicer_Region1" caption="Region" rowHeight="241300"/>
  <slicer name="Salesperson" xr10:uid="{48A82C05-009F-40ED-9A06-79A7AFAB7B24}" cache="Slicer_Salesperson" caption="Salesperson" startItem="9"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74576406-B5F3-4FDA-9C84-7227A75F9701}" cache="Slicer_Country" caption="Country" rowHeight="241300"/>
  <slicer name="Month 1" xr10:uid="{E2CC82F0-C06D-42B5-B491-A518280A2412}" cache="Slicer_Month" caption="Month" rowHeight="241300"/>
  <slicer name="Year 1" xr10:uid="{D59687A6-FECC-4776-8282-8F1F12C16B98}" cache="Slicer_Year" caption="Year" rowHeight="241300"/>
  <slicer name="Channel 1" xr10:uid="{4B0F0D17-9519-44E0-9DA1-B1E7327232CA}" cache="Slicer_Channel" caption="Channel" rowHeight="241300"/>
  <slicer name="ProductCategory 1" xr10:uid="{9E74350B-C4AD-473C-A33F-158817D12A71}" cache="Slicer_ProductCategory" caption="ProductCategory" rowHeight="241300"/>
  <slicer name="Region 2" xr10:uid="{9BE1AF27-0FD0-4F14-ADC4-781D75248960}" cache="Slicer_Region1" caption="Region" rowHeight="241300"/>
  <slicer name="Salesperson 1" xr10:uid="{276D3FC7-7FA9-4CDD-B399-8013F391E687}" cache="Slicer_Salesperson" caption="Salesperson"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2EF45A-5829-49E9-9974-A04F06D13FF9}" name="Table1" displayName="Table1" ref="A1:AG634" totalsRowCount="1" headerRowDxfId="818">
  <autoFilter ref="A1:AG633" xr:uid="{302EF45A-5829-49E9-9974-A04F06D13F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8B26C9C0-6966-4F41-8B61-7C0F0B8C031D}" name="OrderID" dataDxfId="817" totalsRowDxfId="796"/>
    <tableColumn id="2" xr3:uid="{5F7EEB47-05B9-4EB7-A3D4-261E7B35167F}" name="OrderDate" dataDxfId="816" totalsRowDxfId="795"/>
    <tableColumn id="3" xr3:uid="{0AE63924-E22E-4D0F-B77F-694A3ECE9185}" name="RequiredDate" dataDxfId="815" totalsRowDxfId="794"/>
    <tableColumn id="30" xr3:uid="{E02CDC68-39A8-41F6-8217-4359C1AD4237}" name="new   od" dataDxfId="814" totalsRowDxfId="793">
      <calculatedColumnFormula>IF(Table1[[#This Row],[RequiredDate]]&lt;Table1[[#This Row],[OrderDate]],Table1[[#This Row],[RequiredDate]],Table1[[#This Row],[OrderDate]])</calculatedColumnFormula>
    </tableColumn>
    <tableColumn id="31" xr3:uid="{9F33A88A-39BE-4BC5-9FD7-D30A4D0305AF}" name="New RD" dataDxfId="813" totalsRowDxfId="792">
      <calculatedColumnFormula>IF(Table1[[#This Row],[RequiredDate]]&gt;Table1[[#This Row],[OrderDate]],Table1[[#This Row],[RequiredDate]],Table1[[#This Row],[OrderDate]])</calculatedColumnFormula>
    </tableColumn>
    <tableColumn id="32" xr3:uid="{D1BC3871-8097-47D6-B8C1-18EBF46AE824}" name="New LTD" dataDxfId="812" totalsRowDxfId="791">
      <calculatedColumnFormula>Table1[[#This Row],[New RD]]-Table1[[#This Row],[new   od]]</calculatedColumnFormula>
    </tableColumn>
    <tableColumn id="28" xr3:uid="{60A5B4FF-D8F0-4710-9F58-E6397799D6A0}" name="New RequiredDate" dataDxfId="811" totalsRowDxfId="790">
      <calculatedColumnFormula>IF(Table1[[#This Row],[RequiredDate]]&lt;Table1[[#This Row],[OrderDate]], Table1[[#This Row],[OrderDate]]+7, Table1[[#This Row],[RequiredDate]])</calculatedColumnFormula>
    </tableColumn>
    <tableColumn id="4" xr3:uid="{2BA4B5BB-A190-40E3-9E96-40E32672AE76}" name="LeadTimeDays" dataDxfId="810" totalsRowDxfId="789">
      <calculatedColumnFormula>G2-B2</calculatedColumnFormula>
    </tableColumn>
    <tableColumn id="29" xr3:uid="{EA1DC1CC-ACCB-4E98-925D-D1C93A76014B}" name="7 LeadTimeDays" dataDxfId="809" totalsRowDxfId="788">
      <calculatedColumnFormula>IF(Table1[[#This Row],[New LTD]]&lt;=7,"Yes","No")</calculatedColumnFormula>
    </tableColumn>
    <tableColumn id="33" xr3:uid="{E0C96A1D-AC31-496A-8A3A-108BFA462DE3}" name="Greater than 20% Discount" dataDxfId="808" totalsRowDxfId="787">
      <calculatedColumnFormula>IF(V2&gt;20%,"Yes","No")</calculatedColumnFormula>
    </tableColumn>
    <tableColumn id="5" xr3:uid="{C42B3E34-8C16-4293-BFF3-2E4DAAE0F5C0}" name="Region"/>
    <tableColumn id="6" xr3:uid="{91D3C652-8ED4-4C6E-86ED-E260E16E64BA}" name="Country"/>
    <tableColumn id="7" xr3:uid="{8B79BC66-C5F2-4575-94C9-E4AF7CE6CCC1}" name="City"/>
    <tableColumn id="8" xr3:uid="{CD746451-9E80-4642-B3A5-C3FE83359B09}" name="CustomerSegment"/>
    <tableColumn id="9" xr3:uid="{A0A16168-EFE3-4B27-AC03-C164F935D36F}" name="Channel"/>
    <tableColumn id="10" xr3:uid="{19E24396-4D8A-4847-ABFC-9244E03F28FC}" name="Salesperson"/>
    <tableColumn id="11" xr3:uid="{ED7F10D5-7BCA-424E-9D1A-866D20D00DBF}" name="ProductCategory"/>
    <tableColumn id="12" xr3:uid="{5EAF6AF1-AE8F-4CC9-8EC7-3B2CFB7F9793}" name="SKU"/>
    <tableColumn id="13" xr3:uid="{FE6217DD-71D9-46FE-8EAE-446458D7CC71}" name="UnitCost" dataDxfId="807" totalsRowDxfId="786"/>
    <tableColumn id="14" xr3:uid="{075F0658-D5EB-4195-A9F3-0375977F8182}" name="UnitPrice" dataDxfId="806" totalsRowDxfId="785"/>
    <tableColumn id="15" xr3:uid="{1BC831A8-7143-44F7-9D6D-94B099C0931C}" name="Prices" dataDxfId="805" totalsRowDxfId="784">
      <calculatedColumnFormula>ABS(T2)</calculatedColumnFormula>
    </tableColumn>
    <tableColumn id="16" xr3:uid="{BC5862B7-8FFC-49AF-91B2-D41A3E48EC86}" name="DiscountPct" dataDxfId="804" totalsRowDxfId="783" dataCellStyle="Percent" totalsRowCellStyle="Percent"/>
    <tableColumn id="17" xr3:uid="{28C9C1BE-37B1-45FC-B137-52F0EACE2395}" name="Quantity" dataDxfId="803" totalsRowDxfId="782"/>
    <tableColumn id="18" xr3:uid="{14C43F76-D9F7-49A8-9CE7-DBA87502437B}" name="GrossRevenue" totalsRowFunction="custom" dataDxfId="802" totalsRowDxfId="781">
      <calculatedColumnFormula>U2*W2*(1-V2)</calculatedColumnFormula>
      <totalsRowFormula>SUM(X2:X633)</totalsRowFormula>
    </tableColumn>
    <tableColumn id="19" xr3:uid="{7B5E28F2-3DE4-48DC-8790-0606E9C92DAF}" name="CostofGoods">
      <calculatedColumnFormula>S2*W2</calculatedColumnFormula>
    </tableColumn>
    <tableColumn id="20" xr3:uid="{C461D28B-6ECF-4BAF-A1D4-AFD04FAC50D7}" name="GrossProfit" totalsRowFunction="custom" dataDxfId="801" totalsRowDxfId="780">
      <calculatedColumnFormula>X2-Y2</calculatedColumnFormula>
      <totalsRowFormula>SUM(Z2:Z633)</totalsRowFormula>
    </tableColumn>
    <tableColumn id="21" xr3:uid="{6EDD77EE-8FC0-4DEE-BD7D-42717B5B9BEF}" name="MarginPct">
      <calculatedColumnFormula>IF(X2=0, 0, Z2/ X2)</calculatedColumnFormula>
    </tableColumn>
    <tableColumn id="22" xr3:uid="{45874AFA-6247-4CBA-9567-C113A861C113}" name="MMM-YYYY">
      <calculatedColumnFormula>_xlfn.CONCAT(MONTH(B2),"-",YEAR(B2))</calculatedColumnFormula>
    </tableColumn>
    <tableColumn id="23" xr3:uid="{FCA75CB1-27A8-4343-9848-7B5F7D871363}" name="Quarter">
      <calculatedColumnFormula>"Q"&amp;ROUNDUP(MONTH(B2)/3,0)&amp;"-"&amp;YEAR(B2)</calculatedColumnFormula>
    </tableColumn>
    <tableColumn id="24" xr3:uid="{74DA61E0-C561-452A-9756-A72FED558EB8}" name="Region Hierarchy">
      <calculatedColumnFormula>_xlfn.CONCAT(K2," →",L2," →",M2)</calculatedColumnFormula>
    </tableColumn>
    <tableColumn id="25" xr3:uid="{06AB9DE0-0369-4E11-828F-DA151CC03C39}" name="PriceBand">
      <calculatedColumnFormula>IF(T2&lt;=LowerCutOff,"Low", IF(T2&lt;=HigherCutOff,"Medium","High"))</calculatedColumnFormula>
    </tableColumn>
    <tableColumn id="26" xr3:uid="{A57FB305-F8DA-43E7-B1FD-873874D95B73}" name="Month" dataDxfId="800">
      <calculatedColumnFormula>TEXT(Table1[[#This Row],[OrderDate]],"MMM")</calculatedColumnFormula>
    </tableColumn>
    <tableColumn id="27" xr3:uid="{52DF243C-E5F4-4BA4-AD65-5D6BB3976DD9}" name="Year" dataDxfId="799">
      <calculatedColumnFormula>TEXT(Table1[[#This Row],[OrderDate]],"YYYY")</calculatedColumnFormula>
    </tableColumn>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0615-41EB-4148-B6A2-9946E828B160}">
  <dimension ref="A3:B42"/>
  <sheetViews>
    <sheetView workbookViewId="0">
      <selection activeCell="B7" sqref="B7"/>
    </sheetView>
  </sheetViews>
  <sheetFormatPr defaultRowHeight="14.5" x14ac:dyDescent="0.35"/>
  <cols>
    <col min="1" max="1" width="13.26953125" bestFit="1" customWidth="1"/>
    <col min="2" max="2" width="19.1796875" bestFit="1" customWidth="1"/>
    <col min="3" max="3" width="8.36328125" bestFit="1" customWidth="1"/>
    <col min="4" max="4" width="7.453125" bestFit="1" customWidth="1"/>
    <col min="5" max="12" width="8.36328125" bestFit="1" customWidth="1"/>
    <col min="13" max="13" width="7.36328125" bestFit="1" customWidth="1"/>
    <col min="14" max="16" width="8.36328125" bestFit="1" customWidth="1"/>
    <col min="17" max="18" width="7.36328125" bestFit="1" customWidth="1"/>
    <col min="19" max="26" width="8.36328125" bestFit="1" customWidth="1"/>
    <col min="27" max="27" width="10.7265625" bestFit="1" customWidth="1"/>
    <col min="28" max="28" width="8.36328125" bestFit="1" customWidth="1"/>
    <col min="29" max="29" width="10.7265625" bestFit="1" customWidth="1"/>
    <col min="30" max="31" width="8.36328125" bestFit="1" customWidth="1"/>
    <col min="32" max="32" width="10.7265625" bestFit="1" customWidth="1"/>
    <col min="33" max="34" width="9.36328125" bestFit="1" customWidth="1"/>
    <col min="35" max="35" width="11.36328125" bestFit="1" customWidth="1"/>
  </cols>
  <sheetData>
    <row r="3" spans="1:2" x14ac:dyDescent="0.35">
      <c r="A3" s="11" t="s">
        <v>1442</v>
      </c>
      <c r="B3" t="s">
        <v>1470</v>
      </c>
    </row>
    <row r="4" spans="1:2" x14ac:dyDescent="0.35">
      <c r="A4" s="12" t="s">
        <v>650</v>
      </c>
      <c r="B4" s="6">
        <v>936159.62260999996</v>
      </c>
    </row>
    <row r="5" spans="1:2" x14ac:dyDescent="0.35">
      <c r="A5" s="13" t="s">
        <v>1471</v>
      </c>
      <c r="B5" s="6">
        <v>121681.00628999999</v>
      </c>
    </row>
    <row r="6" spans="1:2" x14ac:dyDescent="0.35">
      <c r="A6" s="14" t="s">
        <v>1447</v>
      </c>
      <c r="B6" s="6">
        <v>47962.717579999997</v>
      </c>
    </row>
    <row r="7" spans="1:2" x14ac:dyDescent="0.35">
      <c r="A7" s="14" t="s">
        <v>1449</v>
      </c>
      <c r="B7" s="6">
        <v>3115.3609199999996</v>
      </c>
    </row>
    <row r="8" spans="1:2" x14ac:dyDescent="0.35">
      <c r="A8" s="14" t="s">
        <v>1451</v>
      </c>
      <c r="B8" s="6">
        <v>70602.927790000002</v>
      </c>
    </row>
    <row r="9" spans="1:2" x14ac:dyDescent="0.35">
      <c r="A9" s="13" t="s">
        <v>1472</v>
      </c>
      <c r="B9" s="6">
        <v>71718.457760000005</v>
      </c>
    </row>
    <row r="10" spans="1:2" x14ac:dyDescent="0.35">
      <c r="A10" s="14" t="s">
        <v>1450</v>
      </c>
      <c r="B10" s="6">
        <v>66852.128960000002</v>
      </c>
    </row>
    <row r="11" spans="1:2" x14ac:dyDescent="0.35">
      <c r="A11" s="14" t="s">
        <v>1452</v>
      </c>
      <c r="B11" s="6">
        <v>4866.3287999999993</v>
      </c>
    </row>
    <row r="12" spans="1:2" x14ac:dyDescent="0.35">
      <c r="A12" s="13" t="s">
        <v>1473</v>
      </c>
      <c r="B12" s="6">
        <v>82139.657919999998</v>
      </c>
    </row>
    <row r="13" spans="1:2" x14ac:dyDescent="0.35">
      <c r="A13" s="13" t="s">
        <v>1474</v>
      </c>
      <c r="B13" s="6">
        <v>25750.282080000001</v>
      </c>
    </row>
    <row r="14" spans="1:2" x14ac:dyDescent="0.35">
      <c r="A14" s="14" t="s">
        <v>1453</v>
      </c>
      <c r="B14" s="6">
        <v>11003.7672</v>
      </c>
    </row>
    <row r="15" spans="1:2" x14ac:dyDescent="0.35">
      <c r="A15" s="14" t="s">
        <v>1456</v>
      </c>
      <c r="B15" s="6">
        <v>10946.711730000001</v>
      </c>
    </row>
    <row r="16" spans="1:2" x14ac:dyDescent="0.35">
      <c r="A16" s="14" t="s">
        <v>1459</v>
      </c>
      <c r="B16" s="6">
        <v>3799.8031499999997</v>
      </c>
    </row>
    <row r="17" spans="1:2" x14ac:dyDescent="0.35">
      <c r="A17" s="13" t="s">
        <v>1475</v>
      </c>
      <c r="B17" s="6">
        <v>219165.44072999997</v>
      </c>
    </row>
    <row r="18" spans="1:2" x14ac:dyDescent="0.35">
      <c r="A18" s="14" t="s">
        <v>1454</v>
      </c>
      <c r="B18" s="6">
        <v>24447.95865</v>
      </c>
    </row>
    <row r="19" spans="1:2" x14ac:dyDescent="0.35">
      <c r="A19" s="14" t="s">
        <v>1457</v>
      </c>
      <c r="B19" s="6">
        <v>13108.78584</v>
      </c>
    </row>
    <row r="20" spans="1:2" x14ac:dyDescent="0.35">
      <c r="A20" s="14" t="s">
        <v>1460</v>
      </c>
      <c r="B20" s="6">
        <v>181608.69623999996</v>
      </c>
    </row>
    <row r="21" spans="1:2" x14ac:dyDescent="0.35">
      <c r="A21" s="13" t="s">
        <v>1476</v>
      </c>
      <c r="B21" s="6">
        <v>22301.4738</v>
      </c>
    </row>
    <row r="22" spans="1:2" x14ac:dyDescent="0.35">
      <c r="A22" s="14" t="s">
        <v>1455</v>
      </c>
      <c r="B22" s="6">
        <v>17731.623</v>
      </c>
    </row>
    <row r="23" spans="1:2" x14ac:dyDescent="0.35">
      <c r="A23" s="14" t="s">
        <v>1458</v>
      </c>
      <c r="B23" s="6">
        <v>4569.8508000000002</v>
      </c>
    </row>
    <row r="24" spans="1:2" x14ac:dyDescent="0.35">
      <c r="A24" s="13" t="s">
        <v>1477</v>
      </c>
      <c r="B24" s="6">
        <v>38348.305800000002</v>
      </c>
    </row>
    <row r="25" spans="1:2" x14ac:dyDescent="0.35">
      <c r="A25" s="14" t="s">
        <v>1461</v>
      </c>
      <c r="B25" s="6">
        <v>36649.808400000002</v>
      </c>
    </row>
    <row r="26" spans="1:2" x14ac:dyDescent="0.35">
      <c r="A26" s="14" t="s">
        <v>1464</v>
      </c>
      <c r="B26" s="6">
        <v>667.74</v>
      </c>
    </row>
    <row r="27" spans="1:2" x14ac:dyDescent="0.35">
      <c r="A27" s="14" t="s">
        <v>1467</v>
      </c>
      <c r="B27" s="6">
        <v>1030.7574</v>
      </c>
    </row>
    <row r="28" spans="1:2" x14ac:dyDescent="0.35">
      <c r="A28" s="13" t="s">
        <v>1478</v>
      </c>
      <c r="B28" s="6">
        <v>84450.614509999999</v>
      </c>
    </row>
    <row r="29" spans="1:2" x14ac:dyDescent="0.35">
      <c r="A29" s="14" t="s">
        <v>1462</v>
      </c>
      <c r="B29" s="6">
        <v>27763.018220000002</v>
      </c>
    </row>
    <row r="30" spans="1:2" x14ac:dyDescent="0.35">
      <c r="A30" s="14" t="s">
        <v>1465</v>
      </c>
      <c r="B30" s="6">
        <v>3823.6151599999998</v>
      </c>
    </row>
    <row r="31" spans="1:2" x14ac:dyDescent="0.35">
      <c r="A31" s="14" t="s">
        <v>1468</v>
      </c>
      <c r="B31" s="6">
        <v>52863.98113</v>
      </c>
    </row>
    <row r="32" spans="1:2" x14ac:dyDescent="0.35">
      <c r="A32" s="13" t="s">
        <v>1479</v>
      </c>
      <c r="B32" s="6">
        <v>42092.150159999997</v>
      </c>
    </row>
    <row r="33" spans="1:2" x14ac:dyDescent="0.35">
      <c r="A33" s="14" t="s">
        <v>1463</v>
      </c>
      <c r="B33" s="6">
        <v>17867.219160000001</v>
      </c>
    </row>
    <row r="34" spans="1:2" x14ac:dyDescent="0.35">
      <c r="A34" s="14" t="s">
        <v>1466</v>
      </c>
      <c r="B34" s="6">
        <v>15174.425699999998</v>
      </c>
    </row>
    <row r="35" spans="1:2" x14ac:dyDescent="0.35">
      <c r="A35" s="14" t="s">
        <v>1469</v>
      </c>
      <c r="B35" s="6">
        <v>9050.5052999999989</v>
      </c>
    </row>
    <row r="36" spans="1:2" x14ac:dyDescent="0.35">
      <c r="A36" s="13" t="s">
        <v>1480</v>
      </c>
      <c r="B36" s="6">
        <v>54326.48328</v>
      </c>
    </row>
    <row r="37" spans="1:2" x14ac:dyDescent="0.35">
      <c r="A37" s="14" t="s">
        <v>1445</v>
      </c>
      <c r="B37" s="6">
        <v>38264.510399999999</v>
      </c>
    </row>
    <row r="38" spans="1:2" x14ac:dyDescent="0.35">
      <c r="A38" s="14" t="s">
        <v>1448</v>
      </c>
      <c r="B38" s="6">
        <v>16061.972879999999</v>
      </c>
    </row>
    <row r="39" spans="1:2" x14ac:dyDescent="0.35">
      <c r="A39" s="13" t="s">
        <v>1481</v>
      </c>
      <c r="B39" s="6">
        <v>174185.75027999998</v>
      </c>
    </row>
    <row r="40" spans="1:2" x14ac:dyDescent="0.35">
      <c r="A40" s="14" t="s">
        <v>1525</v>
      </c>
      <c r="B40" s="6">
        <v>50650.005999999994</v>
      </c>
    </row>
    <row r="41" spans="1:2" x14ac:dyDescent="0.35">
      <c r="A41" s="14" t="s">
        <v>1446</v>
      </c>
      <c r="B41" s="6">
        <v>123535.74428</v>
      </c>
    </row>
    <row r="42" spans="1:2" x14ac:dyDescent="0.35">
      <c r="A42" s="12" t="s">
        <v>1443</v>
      </c>
      <c r="B42" s="6">
        <v>936159.62260999996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C88D-5D06-4312-A784-6FEA8D56A1A3}">
  <dimension ref="A3:B62"/>
  <sheetViews>
    <sheetView workbookViewId="0">
      <selection activeCell="M6" sqref="M6"/>
    </sheetView>
  </sheetViews>
  <sheetFormatPr defaultRowHeight="14.5" x14ac:dyDescent="0.35"/>
  <cols>
    <col min="1" max="1" width="13.6328125" bestFit="1" customWidth="1"/>
    <col min="2" max="2" width="19.1796875" bestFit="1" customWidth="1"/>
  </cols>
  <sheetData>
    <row r="3" spans="1:2" x14ac:dyDescent="0.35">
      <c r="A3" s="11" t="s">
        <v>1442</v>
      </c>
      <c r="B3" t="s">
        <v>1470</v>
      </c>
    </row>
    <row r="4" spans="1:2" x14ac:dyDescent="0.35">
      <c r="A4" s="12" t="s">
        <v>733</v>
      </c>
      <c r="B4" s="6">
        <v>155317.68987999999</v>
      </c>
    </row>
    <row r="5" spans="1:2" x14ac:dyDescent="0.35">
      <c r="A5" s="13" t="s">
        <v>1053</v>
      </c>
      <c r="B5" s="16">
        <v>53034.364139999991</v>
      </c>
    </row>
    <row r="6" spans="1:2" x14ac:dyDescent="0.35">
      <c r="A6" s="13" t="s">
        <v>941</v>
      </c>
      <c r="B6" s="15">
        <v>28386.015839999996</v>
      </c>
    </row>
    <row r="7" spans="1:2" x14ac:dyDescent="0.35">
      <c r="A7" s="31" t="s">
        <v>1074</v>
      </c>
      <c r="B7" s="30">
        <v>17067.938400000003</v>
      </c>
    </row>
    <row r="8" spans="1:2" x14ac:dyDescent="0.35">
      <c r="A8" s="31" t="s">
        <v>1286</v>
      </c>
      <c r="B8" s="30">
        <v>15860.782080000001</v>
      </c>
    </row>
    <row r="9" spans="1:2" x14ac:dyDescent="0.35">
      <c r="A9" s="31" t="s">
        <v>1291</v>
      </c>
      <c r="B9" s="30">
        <v>13108.78584</v>
      </c>
    </row>
    <row r="10" spans="1:2" x14ac:dyDescent="0.35">
      <c r="A10" s="31" t="s">
        <v>888</v>
      </c>
      <c r="B10" s="30">
        <v>11015.510400000003</v>
      </c>
    </row>
    <row r="11" spans="1:2" x14ac:dyDescent="0.35">
      <c r="A11" s="31" t="s">
        <v>1355</v>
      </c>
      <c r="B11" s="30">
        <v>10693.88488</v>
      </c>
    </row>
    <row r="12" spans="1:2" x14ac:dyDescent="0.35">
      <c r="A12" s="31" t="s">
        <v>793</v>
      </c>
      <c r="B12" s="30">
        <v>4569.8508000000002</v>
      </c>
    </row>
    <row r="13" spans="1:2" x14ac:dyDescent="0.35">
      <c r="A13" s="31" t="s">
        <v>1352</v>
      </c>
      <c r="B13" s="30">
        <v>1030.7574</v>
      </c>
    </row>
    <row r="14" spans="1:2" x14ac:dyDescent="0.35">
      <c r="A14" s="31" t="s">
        <v>843</v>
      </c>
      <c r="B14" s="30">
        <v>549.80010000000004</v>
      </c>
    </row>
    <row r="15" spans="1:2" x14ac:dyDescent="0.35">
      <c r="A15" s="12" t="s">
        <v>727</v>
      </c>
      <c r="B15" s="6">
        <v>121717.07522000001</v>
      </c>
    </row>
    <row r="16" spans="1:2" x14ac:dyDescent="0.35">
      <c r="A16" s="13" t="s">
        <v>1198</v>
      </c>
      <c r="B16" s="16">
        <v>84136.119600000005</v>
      </c>
    </row>
    <row r="17" spans="1:2" x14ac:dyDescent="0.35">
      <c r="A17" s="13" t="s">
        <v>1298</v>
      </c>
      <c r="B17" s="30">
        <v>17540.201120000002</v>
      </c>
    </row>
    <row r="18" spans="1:2" x14ac:dyDescent="0.35">
      <c r="A18" s="13" t="s">
        <v>954</v>
      </c>
      <c r="B18" s="30">
        <v>13519.529099999998</v>
      </c>
    </row>
    <row r="19" spans="1:2" x14ac:dyDescent="0.35">
      <c r="A19" s="13" t="s">
        <v>734</v>
      </c>
      <c r="B19" s="30">
        <v>4866.3287999999993</v>
      </c>
    </row>
    <row r="20" spans="1:2" x14ac:dyDescent="0.35">
      <c r="A20" s="13" t="s">
        <v>821</v>
      </c>
      <c r="B20" s="30">
        <v>1654.8966000000003</v>
      </c>
    </row>
    <row r="21" spans="1:2" x14ac:dyDescent="0.35">
      <c r="A21" s="12" t="s">
        <v>731</v>
      </c>
      <c r="B21" s="6">
        <v>156667.1024</v>
      </c>
    </row>
    <row r="22" spans="1:2" x14ac:dyDescent="0.35">
      <c r="A22" s="13" t="s">
        <v>1261</v>
      </c>
      <c r="B22" s="15">
        <v>58526.83122</v>
      </c>
    </row>
    <row r="23" spans="1:2" x14ac:dyDescent="0.35">
      <c r="A23" s="13" t="s">
        <v>754</v>
      </c>
      <c r="B23" s="30">
        <v>23782.310720000001</v>
      </c>
    </row>
    <row r="24" spans="1:2" x14ac:dyDescent="0.35">
      <c r="A24" s="13" t="s">
        <v>1273</v>
      </c>
      <c r="B24" s="30">
        <v>19581.87</v>
      </c>
    </row>
    <row r="25" spans="1:2" x14ac:dyDescent="0.35">
      <c r="A25" s="13" t="s">
        <v>1327</v>
      </c>
      <c r="B25" s="30">
        <v>14910.609600000002</v>
      </c>
    </row>
    <row r="26" spans="1:2" x14ac:dyDescent="0.35">
      <c r="A26" s="13" t="s">
        <v>836</v>
      </c>
      <c r="B26" s="30">
        <v>13669.81</v>
      </c>
    </row>
    <row r="27" spans="1:2" x14ac:dyDescent="0.35">
      <c r="A27" s="13" t="s">
        <v>749</v>
      </c>
      <c r="B27" s="30">
        <v>7090.5672000000004</v>
      </c>
    </row>
    <row r="28" spans="1:2" x14ac:dyDescent="0.35">
      <c r="A28" s="13" t="s">
        <v>1038</v>
      </c>
      <c r="B28" s="30">
        <v>5932.7856000000002</v>
      </c>
    </row>
    <row r="29" spans="1:2" x14ac:dyDescent="0.35">
      <c r="A29" s="13" t="s">
        <v>786</v>
      </c>
      <c r="B29" s="30">
        <v>5785.8</v>
      </c>
    </row>
    <row r="30" spans="1:2" x14ac:dyDescent="0.35">
      <c r="A30" s="13" t="s">
        <v>1316</v>
      </c>
      <c r="B30" s="30">
        <v>3823.6151599999998</v>
      </c>
    </row>
    <row r="31" spans="1:2" x14ac:dyDescent="0.35">
      <c r="A31" s="13" t="s">
        <v>880</v>
      </c>
      <c r="B31" s="30">
        <v>3562.9028999999996</v>
      </c>
    </row>
    <row r="32" spans="1:2" x14ac:dyDescent="0.35">
      <c r="A32" s="12" t="s">
        <v>732</v>
      </c>
      <c r="B32" s="6">
        <v>24451.524720000001</v>
      </c>
    </row>
    <row r="33" spans="1:2" x14ac:dyDescent="0.35">
      <c r="A33" s="13" t="s">
        <v>1256</v>
      </c>
      <c r="B33" s="30">
        <v>16121.273400000002</v>
      </c>
    </row>
    <row r="34" spans="1:2" x14ac:dyDescent="0.35">
      <c r="A34" s="13" t="s">
        <v>1206</v>
      </c>
      <c r="B34" s="30">
        <v>8330.2513199999994</v>
      </c>
    </row>
    <row r="35" spans="1:2" x14ac:dyDescent="0.35">
      <c r="A35" s="12" t="s">
        <v>729</v>
      </c>
      <c r="B35" s="6">
        <v>154543.08129999996</v>
      </c>
    </row>
    <row r="36" spans="1:2" x14ac:dyDescent="0.35">
      <c r="A36" s="13" t="s">
        <v>1345</v>
      </c>
      <c r="B36" s="15">
        <v>82141.339799999987</v>
      </c>
    </row>
    <row r="37" spans="1:2" x14ac:dyDescent="0.35">
      <c r="A37" s="13" t="s">
        <v>937</v>
      </c>
      <c r="B37" s="16">
        <v>47962.717579999997</v>
      </c>
    </row>
    <row r="38" spans="1:2" x14ac:dyDescent="0.35">
      <c r="A38" s="13" t="s">
        <v>1133</v>
      </c>
      <c r="B38" s="17">
        <v>17731.623</v>
      </c>
    </row>
    <row r="39" spans="1:2" x14ac:dyDescent="0.35">
      <c r="A39" s="13" t="s">
        <v>982</v>
      </c>
      <c r="B39" s="17">
        <v>3592.04</v>
      </c>
    </row>
    <row r="40" spans="1:2" x14ac:dyDescent="0.35">
      <c r="A40" s="13" t="s">
        <v>1172</v>
      </c>
      <c r="B40" s="17">
        <v>2795.6384399999997</v>
      </c>
    </row>
    <row r="41" spans="1:2" x14ac:dyDescent="0.35">
      <c r="A41" s="13" t="s">
        <v>736</v>
      </c>
      <c r="B41" s="17">
        <v>319.72248000000002</v>
      </c>
    </row>
    <row r="42" spans="1:2" x14ac:dyDescent="0.35">
      <c r="A42" s="12" t="s">
        <v>730</v>
      </c>
      <c r="B42" s="6">
        <v>185515.27493000001</v>
      </c>
    </row>
    <row r="43" spans="1:2" x14ac:dyDescent="0.35">
      <c r="A43" s="13" t="s">
        <v>970</v>
      </c>
      <c r="B43" s="16">
        <v>37038.581760000001</v>
      </c>
    </row>
    <row r="44" spans="1:2" x14ac:dyDescent="0.35">
      <c r="A44" s="13" t="s">
        <v>1294</v>
      </c>
      <c r="B44" s="16">
        <v>33071.3145</v>
      </c>
    </row>
    <row r="45" spans="1:2" x14ac:dyDescent="0.35">
      <c r="A45" s="13" t="s">
        <v>1168</v>
      </c>
      <c r="B45" s="15">
        <v>27249</v>
      </c>
    </row>
    <row r="46" spans="1:2" x14ac:dyDescent="0.35">
      <c r="A46" s="13" t="s">
        <v>947</v>
      </c>
      <c r="B46" s="15">
        <v>24223.05</v>
      </c>
    </row>
    <row r="47" spans="1:2" x14ac:dyDescent="0.35">
      <c r="A47" s="13" t="s">
        <v>1100</v>
      </c>
      <c r="B47" s="15">
        <v>19547.329920000004</v>
      </c>
    </row>
    <row r="48" spans="1:2" x14ac:dyDescent="0.35">
      <c r="A48" s="13" t="s">
        <v>856</v>
      </c>
      <c r="B48" s="15">
        <v>16061.972879999999</v>
      </c>
    </row>
    <row r="49" spans="1:2" x14ac:dyDescent="0.35">
      <c r="A49" s="13" t="s">
        <v>931</v>
      </c>
      <c r="B49" s="15">
        <v>11326.846439999999</v>
      </c>
    </row>
    <row r="50" spans="1:2" x14ac:dyDescent="0.35">
      <c r="A50" s="13" t="s">
        <v>1312</v>
      </c>
      <c r="B50" s="15">
        <v>7173.3342799999991</v>
      </c>
    </row>
    <row r="51" spans="1:2" x14ac:dyDescent="0.35">
      <c r="A51" s="13" t="s">
        <v>828</v>
      </c>
      <c r="B51" s="15">
        <v>5487.6023999999998</v>
      </c>
    </row>
    <row r="52" spans="1:2" x14ac:dyDescent="0.35">
      <c r="A52" s="13" t="s">
        <v>871</v>
      </c>
      <c r="B52" s="15">
        <v>4336.2427499999994</v>
      </c>
    </row>
    <row r="53" spans="1:2" x14ac:dyDescent="0.35">
      <c r="A53" s="12" t="s">
        <v>728</v>
      </c>
      <c r="B53" s="6">
        <v>125067.76914</v>
      </c>
    </row>
    <row r="54" spans="1:2" x14ac:dyDescent="0.35">
      <c r="A54" s="13" t="s">
        <v>776</v>
      </c>
      <c r="B54" s="16">
        <v>30596.565999999999</v>
      </c>
    </row>
    <row r="55" spans="1:2" x14ac:dyDescent="0.35">
      <c r="A55" s="13" t="s">
        <v>887</v>
      </c>
      <c r="B55" s="16">
        <v>29654.83008</v>
      </c>
    </row>
    <row r="56" spans="1:2" x14ac:dyDescent="0.35">
      <c r="A56" s="13" t="s">
        <v>1076</v>
      </c>
      <c r="B56" s="15">
        <v>20053.439999999999</v>
      </c>
    </row>
    <row r="57" spans="1:2" x14ac:dyDescent="0.35">
      <c r="A57" s="13" t="s">
        <v>942</v>
      </c>
      <c r="B57" s="15">
        <v>15825.399369999997</v>
      </c>
    </row>
    <row r="58" spans="1:2" x14ac:dyDescent="0.35">
      <c r="A58" s="13" t="s">
        <v>1203</v>
      </c>
      <c r="B58" s="15">
        <v>10428.057360000001</v>
      </c>
    </row>
    <row r="59" spans="1:2" x14ac:dyDescent="0.35">
      <c r="A59" s="13" t="s">
        <v>1258</v>
      </c>
      <c r="B59" s="15">
        <v>8326.6852500000005</v>
      </c>
    </row>
    <row r="60" spans="1:2" x14ac:dyDescent="0.35">
      <c r="A60" s="13" t="s">
        <v>963</v>
      </c>
      <c r="B60" s="15">
        <v>7446.5209000000004</v>
      </c>
    </row>
    <row r="61" spans="1:2" x14ac:dyDescent="0.35">
      <c r="A61" s="13" t="s">
        <v>1340</v>
      </c>
      <c r="B61" s="15">
        <v>2736.27018</v>
      </c>
    </row>
    <row r="62" spans="1:2" x14ac:dyDescent="0.35">
      <c r="A62" s="12" t="s">
        <v>1443</v>
      </c>
      <c r="B62" s="6">
        <v>923279.51758999983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09C31-01AD-4305-98F0-A8036A480EBE}">
  <dimension ref="A3:C6"/>
  <sheetViews>
    <sheetView tabSelected="1" workbookViewId="0">
      <selection activeCell="L8" sqref="L8"/>
    </sheetView>
  </sheetViews>
  <sheetFormatPr defaultRowHeight="14.5" x14ac:dyDescent="0.35"/>
  <cols>
    <col min="1" max="1" width="12.36328125" bestFit="1" customWidth="1"/>
    <col min="2" max="2" width="15.36328125" bestFit="1" customWidth="1"/>
    <col min="3" max="3" width="16.6328125" bestFit="1" customWidth="1"/>
  </cols>
  <sheetData>
    <row r="3" spans="1:3" x14ac:dyDescent="0.35">
      <c r="A3" s="11" t="s">
        <v>1442</v>
      </c>
      <c r="B3" t="s">
        <v>1484</v>
      </c>
      <c r="C3" t="s">
        <v>1485</v>
      </c>
    </row>
    <row r="4" spans="1:3" x14ac:dyDescent="0.35">
      <c r="A4" s="12" t="s">
        <v>721</v>
      </c>
      <c r="B4" s="29">
        <v>1</v>
      </c>
      <c r="C4" s="6">
        <v>5243.9373600000008</v>
      </c>
    </row>
    <row r="5" spans="1:3" x14ac:dyDescent="0.35">
      <c r="A5" s="12" t="s">
        <v>713</v>
      </c>
      <c r="B5" s="29">
        <v>1</v>
      </c>
      <c r="C5" s="6">
        <v>17.504369999999994</v>
      </c>
    </row>
    <row r="6" spans="1:3" x14ac:dyDescent="0.35">
      <c r="A6" s="12" t="s">
        <v>1443</v>
      </c>
      <c r="B6" s="29">
        <v>2</v>
      </c>
      <c r="C6" s="6">
        <v>5261.4417300000005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46D4-3DC7-49B3-863B-D2D266DCA06E}">
  <dimension ref="A3:D6"/>
  <sheetViews>
    <sheetView workbookViewId="0">
      <selection activeCell="B6" sqref="B6"/>
    </sheetView>
  </sheetViews>
  <sheetFormatPr defaultRowHeight="14.5" x14ac:dyDescent="0.35"/>
  <cols>
    <col min="1" max="1" width="19.1796875" bestFit="1" customWidth="1"/>
    <col min="2" max="2" width="15.26953125" bestFit="1" customWidth="1"/>
    <col min="3" max="3" width="9.36328125" bestFit="1" customWidth="1"/>
    <col min="4" max="4" width="10.7265625" bestFit="1" customWidth="1"/>
    <col min="5" max="5" width="8.36328125" bestFit="1" customWidth="1"/>
    <col min="6" max="7" width="9.36328125" bestFit="1" customWidth="1"/>
    <col min="8" max="8" width="10.7265625" bestFit="1" customWidth="1"/>
  </cols>
  <sheetData>
    <row r="3" spans="1:4" x14ac:dyDescent="0.35">
      <c r="A3" s="11" t="s">
        <v>1470</v>
      </c>
      <c r="B3" s="11" t="s">
        <v>1444</v>
      </c>
    </row>
    <row r="4" spans="1:4" x14ac:dyDescent="0.35">
      <c r="A4" s="11" t="s">
        <v>1442</v>
      </c>
      <c r="B4" t="s">
        <v>708</v>
      </c>
      <c r="C4" t="s">
        <v>707</v>
      </c>
      <c r="D4" t="s">
        <v>1443</v>
      </c>
    </row>
    <row r="5" spans="1:4" x14ac:dyDescent="0.35">
      <c r="A5" s="12" t="s">
        <v>646</v>
      </c>
      <c r="B5" s="6">
        <v>128525.95718999999</v>
      </c>
      <c r="C5" s="6">
        <v>276653.0817499999</v>
      </c>
      <c r="D5" s="6">
        <v>405179.03893999988</v>
      </c>
    </row>
    <row r="6" spans="1:4" x14ac:dyDescent="0.35">
      <c r="A6" s="12" t="s">
        <v>1443</v>
      </c>
      <c r="B6" s="6">
        <v>128525.95718999999</v>
      </c>
      <c r="C6" s="6">
        <v>276653.0817499999</v>
      </c>
      <c r="D6" s="6">
        <v>405179.03893999988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FB17-90DB-43D6-BA82-61FB53A07D02}">
  <dimension ref="A3:B6"/>
  <sheetViews>
    <sheetView workbookViewId="0">
      <selection activeCell="A4" sqref="A4:A5"/>
    </sheetView>
  </sheetViews>
  <sheetFormatPr defaultRowHeight="14.5" x14ac:dyDescent="0.35"/>
  <cols>
    <col min="1" max="1" width="12.36328125" bestFit="1" customWidth="1"/>
    <col min="2" max="2" width="15.36328125" bestFit="1" customWidth="1"/>
  </cols>
  <sheetData>
    <row r="3" spans="1:2" x14ac:dyDescent="0.35">
      <c r="A3" s="11" t="s">
        <v>1442</v>
      </c>
      <c r="B3" t="s">
        <v>1484</v>
      </c>
    </row>
    <row r="4" spans="1:2" x14ac:dyDescent="0.35">
      <c r="A4" s="12" t="s">
        <v>1495</v>
      </c>
      <c r="B4" s="19">
        <v>0.6</v>
      </c>
    </row>
    <row r="5" spans="1:2" x14ac:dyDescent="0.35">
      <c r="A5" s="12" t="s">
        <v>1496</v>
      </c>
      <c r="B5" s="19">
        <v>0.4</v>
      </c>
    </row>
    <row r="6" spans="1:2" x14ac:dyDescent="0.35">
      <c r="A6" s="12" t="s">
        <v>1443</v>
      </c>
      <c r="B6" s="1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8D0C-0F05-42AA-B695-102D7AE5A3C0}">
  <dimension ref="A3:B6"/>
  <sheetViews>
    <sheetView topLeftCell="A2" workbookViewId="0">
      <selection activeCell="A4" sqref="A4"/>
    </sheetView>
  </sheetViews>
  <sheetFormatPr defaultRowHeight="14.5" x14ac:dyDescent="0.35"/>
  <cols>
    <col min="1" max="1" width="12.36328125" bestFit="1" customWidth="1"/>
    <col min="2" max="2" width="15.36328125" bestFit="1" customWidth="1"/>
  </cols>
  <sheetData>
    <row r="3" spans="1:2" x14ac:dyDescent="0.35">
      <c r="A3" s="11" t="s">
        <v>1442</v>
      </c>
      <c r="B3" t="s">
        <v>1484</v>
      </c>
    </row>
    <row r="4" spans="1:2" x14ac:dyDescent="0.35">
      <c r="A4" s="12" t="s">
        <v>1495</v>
      </c>
      <c r="B4" s="29">
        <v>3</v>
      </c>
    </row>
    <row r="5" spans="1:2" x14ac:dyDescent="0.35">
      <c r="A5" s="12" t="s">
        <v>1496</v>
      </c>
      <c r="B5" s="29">
        <v>2</v>
      </c>
    </row>
    <row r="6" spans="1:2" x14ac:dyDescent="0.35">
      <c r="A6" s="12" t="s">
        <v>1443</v>
      </c>
      <c r="B6" s="29">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DA49-2710-4AB4-8D44-6D8757D92D33}">
  <dimension ref="A3:E17"/>
  <sheetViews>
    <sheetView workbookViewId="0">
      <selection activeCell="P13" sqref="P13"/>
    </sheetView>
  </sheetViews>
  <sheetFormatPr defaultRowHeight="14.5" x14ac:dyDescent="0.35"/>
  <cols>
    <col min="1" max="1" width="19.1796875" bestFit="1" customWidth="1"/>
    <col min="2" max="2" width="15.26953125" bestFit="1" customWidth="1"/>
    <col min="3" max="4" width="9.36328125" bestFit="1" customWidth="1"/>
    <col min="5" max="5" width="10.7265625" bestFit="1" customWidth="1"/>
  </cols>
  <sheetData>
    <row r="3" spans="1:5" x14ac:dyDescent="0.35">
      <c r="A3" s="11" t="s">
        <v>1470</v>
      </c>
      <c r="B3" s="11" t="s">
        <v>1444</v>
      </c>
    </row>
    <row r="4" spans="1:5" x14ac:dyDescent="0.35">
      <c r="A4" s="11" t="s">
        <v>1442</v>
      </c>
      <c r="B4" t="s">
        <v>1507</v>
      </c>
      <c r="C4" t="s">
        <v>1519</v>
      </c>
      <c r="D4" t="s">
        <v>1520</v>
      </c>
      <c r="E4" t="s">
        <v>1443</v>
      </c>
    </row>
    <row r="5" spans="1:5" x14ac:dyDescent="0.35">
      <c r="A5" s="12" t="s">
        <v>1508</v>
      </c>
      <c r="B5" s="6">
        <v>47962.717579999997</v>
      </c>
      <c r="C5" s="6"/>
      <c r="D5" s="6">
        <v>52609.065839999996</v>
      </c>
      <c r="E5" s="6">
        <v>100571.78341999999</v>
      </c>
    </row>
    <row r="6" spans="1:5" x14ac:dyDescent="0.35">
      <c r="A6" s="12" t="s">
        <v>1509</v>
      </c>
      <c r="B6" s="6">
        <v>3115.3609199999996</v>
      </c>
      <c r="C6" s="6">
        <v>66852.128960000002</v>
      </c>
      <c r="D6" s="6">
        <v>15860.782080000001</v>
      </c>
      <c r="E6" s="6">
        <v>85828.271960000013</v>
      </c>
    </row>
    <row r="7" spans="1:5" x14ac:dyDescent="0.35">
      <c r="A7" s="12" t="s">
        <v>1506</v>
      </c>
      <c r="B7" s="6">
        <v>70602.927790000002</v>
      </c>
      <c r="C7" s="6">
        <v>4866.3287999999993</v>
      </c>
      <c r="D7" s="6">
        <v>13669.81</v>
      </c>
      <c r="E7" s="6">
        <v>89139.066590000002</v>
      </c>
    </row>
    <row r="8" spans="1:5" x14ac:dyDescent="0.35">
      <c r="A8" s="12" t="s">
        <v>1510</v>
      </c>
      <c r="B8" s="6">
        <v>11003.7672</v>
      </c>
      <c r="C8" s="6">
        <v>24447.95865</v>
      </c>
      <c r="D8" s="6">
        <v>17731.623</v>
      </c>
      <c r="E8" s="6">
        <v>53183.348850000002</v>
      </c>
    </row>
    <row r="9" spans="1:5" x14ac:dyDescent="0.35">
      <c r="A9" s="12" t="s">
        <v>1511</v>
      </c>
      <c r="B9" s="6">
        <v>10946.711730000001</v>
      </c>
      <c r="C9" s="6">
        <v>13108.78584</v>
      </c>
      <c r="D9" s="6">
        <v>4569.8508000000002</v>
      </c>
      <c r="E9" s="6">
        <v>28625.34837</v>
      </c>
    </row>
    <row r="10" spans="1:5" x14ac:dyDescent="0.35">
      <c r="A10" s="12" t="s">
        <v>1512</v>
      </c>
      <c r="B10" s="6">
        <v>3799.8031499999997</v>
      </c>
      <c r="C10" s="6">
        <v>181608.69623999996</v>
      </c>
      <c r="D10" s="6"/>
      <c r="E10" s="6">
        <v>185408.49938999995</v>
      </c>
    </row>
    <row r="11" spans="1:5" x14ac:dyDescent="0.35">
      <c r="A11" s="12" t="s">
        <v>1513</v>
      </c>
      <c r="B11" s="6">
        <v>36649.808400000002</v>
      </c>
      <c r="C11" s="6">
        <v>27763.018220000002</v>
      </c>
      <c r="D11" s="6">
        <v>17867.219160000001</v>
      </c>
      <c r="E11" s="6">
        <v>82280.045780000015</v>
      </c>
    </row>
    <row r="12" spans="1:5" x14ac:dyDescent="0.35">
      <c r="A12" s="12" t="s">
        <v>1514</v>
      </c>
      <c r="B12" s="6">
        <v>667.74</v>
      </c>
      <c r="C12" s="6">
        <v>3823.6151599999998</v>
      </c>
      <c r="D12" s="6">
        <v>15174.425699999998</v>
      </c>
      <c r="E12" s="6">
        <v>19665.780859999999</v>
      </c>
    </row>
    <row r="13" spans="1:5" x14ac:dyDescent="0.35">
      <c r="A13" s="12" t="s">
        <v>1515</v>
      </c>
      <c r="B13" s="6">
        <v>1030.7574</v>
      </c>
      <c r="C13" s="6">
        <v>52863.98113</v>
      </c>
      <c r="D13" s="6">
        <v>9050.5052999999989</v>
      </c>
      <c r="E13" s="6">
        <v>62945.243829999999</v>
      </c>
    </row>
    <row r="14" spans="1:5" x14ac:dyDescent="0.35">
      <c r="A14" s="12" t="s">
        <v>1516</v>
      </c>
      <c r="B14" s="6">
        <v>38264.510399999999</v>
      </c>
      <c r="C14" s="6">
        <v>50650.005999999994</v>
      </c>
      <c r="D14" s="6"/>
      <c r="E14" s="6">
        <v>88914.516399999993</v>
      </c>
    </row>
    <row r="15" spans="1:5" x14ac:dyDescent="0.35">
      <c r="A15" s="12" t="s">
        <v>1517</v>
      </c>
      <c r="B15" s="6"/>
      <c r="C15" s="6">
        <v>123535.74428</v>
      </c>
      <c r="D15" s="6"/>
      <c r="E15" s="6">
        <v>123535.74428</v>
      </c>
    </row>
    <row r="16" spans="1:5" x14ac:dyDescent="0.35">
      <c r="A16" s="12" t="s">
        <v>1518</v>
      </c>
      <c r="B16" s="6">
        <v>16061.972879999999</v>
      </c>
      <c r="C16" s="6"/>
      <c r="D16" s="6"/>
      <c r="E16" s="6">
        <v>16061.972879999999</v>
      </c>
    </row>
    <row r="17" spans="1:5" x14ac:dyDescent="0.35">
      <c r="A17" s="12" t="s">
        <v>1443</v>
      </c>
      <c r="B17" s="6">
        <v>240106.07744999998</v>
      </c>
      <c r="C17" s="6">
        <v>549520.26327999996</v>
      </c>
      <c r="D17" s="6">
        <v>146533.28187999997</v>
      </c>
      <c r="E17" s="6">
        <v>936159.62261000008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FB4F-B168-4E43-B753-F211F08C271B}">
  <dimension ref="B1:B633"/>
  <sheetViews>
    <sheetView workbookViewId="0">
      <selection activeCell="N10" sqref="N10"/>
    </sheetView>
  </sheetViews>
  <sheetFormatPr defaultRowHeight="14.5" x14ac:dyDescent="0.35"/>
  <cols>
    <col min="2" max="2" width="12.81640625" style="8" customWidth="1"/>
  </cols>
  <sheetData>
    <row r="1" spans="2:2" x14ac:dyDescent="0.35">
      <c r="B1" s="7" t="s">
        <v>13</v>
      </c>
    </row>
    <row r="2" spans="2:2" x14ac:dyDescent="0.35">
      <c r="B2" s="8">
        <v>0</v>
      </c>
    </row>
    <row r="3" spans="2:2" x14ac:dyDescent="0.35">
      <c r="B3" s="8">
        <v>0.14000000000000001</v>
      </c>
    </row>
    <row r="4" spans="2:2" x14ac:dyDescent="0.35">
      <c r="B4" s="8">
        <v>8.8999999999999996E-2</v>
      </c>
    </row>
    <row r="5" spans="2:2" x14ac:dyDescent="0.35">
      <c r="B5" s="8">
        <v>0</v>
      </c>
    </row>
    <row r="6" spans="2:2" x14ac:dyDescent="0.35">
      <c r="B6" s="8">
        <v>5.7000000000000002E-2</v>
      </c>
    </row>
    <row r="7" spans="2:2" x14ac:dyDescent="0.35">
      <c r="B7" s="8">
        <v>0.19400000000000001</v>
      </c>
    </row>
    <row r="8" spans="2:2" x14ac:dyDescent="0.35">
      <c r="B8" s="8">
        <v>6.6000000000000003E-2</v>
      </c>
    </row>
    <row r="9" spans="2:2" x14ac:dyDescent="0.35">
      <c r="B9" s="8">
        <v>0.24299999999999999</v>
      </c>
    </row>
    <row r="10" spans="2:2" x14ac:dyDescent="0.35">
      <c r="B10" s="8">
        <v>0.111</v>
      </c>
    </row>
    <row r="11" spans="2:2" x14ac:dyDescent="0.35">
      <c r="B11" s="8">
        <v>0.19600000000000001</v>
      </c>
    </row>
    <row r="12" spans="2:2" x14ac:dyDescent="0.35">
      <c r="B12" s="8">
        <v>8.8999999999999996E-2</v>
      </c>
    </row>
    <row r="13" spans="2:2" x14ac:dyDescent="0.35">
      <c r="B13" s="8">
        <v>0.22</v>
      </c>
    </row>
    <row r="14" spans="2:2" x14ac:dyDescent="0.35">
      <c r="B14" s="8">
        <v>0.23300000000000001</v>
      </c>
    </row>
    <row r="15" spans="2:2" x14ac:dyDescent="0.35">
      <c r="B15" s="8">
        <v>0.22600000000000001</v>
      </c>
    </row>
    <row r="16" spans="2:2" x14ac:dyDescent="0.35">
      <c r="B16" s="8">
        <v>0.186</v>
      </c>
    </row>
    <row r="17" spans="2:2" x14ac:dyDescent="0.35">
      <c r="B17" s="8">
        <v>0</v>
      </c>
    </row>
    <row r="18" spans="2:2" x14ac:dyDescent="0.35">
      <c r="B18" s="8">
        <v>7.0000000000000001E-3</v>
      </c>
    </row>
    <row r="19" spans="2:2" x14ac:dyDescent="0.35">
      <c r="B19" s="8">
        <v>0.161</v>
      </c>
    </row>
    <row r="20" spans="2:2" x14ac:dyDescent="0.35">
      <c r="B20" s="8">
        <v>5.8999999999999997E-2</v>
      </c>
    </row>
    <row r="21" spans="2:2" x14ac:dyDescent="0.35">
      <c r="B21" s="8">
        <v>0.13</v>
      </c>
    </row>
    <row r="22" spans="2:2" x14ac:dyDescent="0.35">
      <c r="B22" s="8">
        <v>5.2999999999999999E-2</v>
      </c>
    </row>
    <row r="23" spans="2:2" x14ac:dyDescent="0.35">
      <c r="B23" s="8">
        <v>0.157</v>
      </c>
    </row>
    <row r="24" spans="2:2" x14ac:dyDescent="0.35">
      <c r="B24" s="8">
        <v>4.1000000000000002E-2</v>
      </c>
    </row>
    <row r="25" spans="2:2" x14ac:dyDescent="0.35">
      <c r="B25" s="8">
        <v>8.8999999999999996E-2</v>
      </c>
    </row>
    <row r="26" spans="2:2" x14ac:dyDescent="0.35">
      <c r="B26" s="8">
        <v>0.188</v>
      </c>
    </row>
    <row r="27" spans="2:2" x14ac:dyDescent="0.35">
      <c r="B27" s="8">
        <v>6.9000000000000006E-2</v>
      </c>
    </row>
    <row r="28" spans="2:2" x14ac:dyDescent="0.35">
      <c r="B28" s="8">
        <v>4.7E-2</v>
      </c>
    </row>
    <row r="29" spans="2:2" x14ac:dyDescent="0.35">
      <c r="B29" s="8">
        <v>0.14599999999999999</v>
      </c>
    </row>
    <row r="30" spans="2:2" x14ac:dyDescent="0.35">
      <c r="B30" s="8">
        <v>0.13100000000000001</v>
      </c>
    </row>
    <row r="31" spans="2:2" x14ac:dyDescent="0.35">
      <c r="B31" s="8">
        <v>0.29199999999999998</v>
      </c>
    </row>
    <row r="32" spans="2:2" x14ac:dyDescent="0.35">
      <c r="B32" s="8">
        <v>0.10299999999999999</v>
      </c>
    </row>
    <row r="33" spans="2:2" x14ac:dyDescent="0.35">
      <c r="B33" s="8">
        <v>0.123</v>
      </c>
    </row>
    <row r="34" spans="2:2" x14ac:dyDescent="0.35">
      <c r="B34" s="8">
        <v>0.108</v>
      </c>
    </row>
    <row r="35" spans="2:2" x14ac:dyDescent="0.35">
      <c r="B35" s="8">
        <v>0.157</v>
      </c>
    </row>
    <row r="36" spans="2:2" x14ac:dyDescent="0.35">
      <c r="B36" s="8">
        <v>0.20300000000000001</v>
      </c>
    </row>
    <row r="37" spans="2:2" x14ac:dyDescent="0.35">
      <c r="B37" s="8">
        <v>6.4000000000000001E-2</v>
      </c>
    </row>
    <row r="38" spans="2:2" x14ac:dyDescent="0.35">
      <c r="B38" s="8">
        <v>0.189</v>
      </c>
    </row>
    <row r="39" spans="2:2" x14ac:dyDescent="0.35">
      <c r="B39" s="8">
        <v>0.13900000000000001</v>
      </c>
    </row>
    <row r="40" spans="2:2" x14ac:dyDescent="0.35">
      <c r="B40" s="8">
        <v>0.10199999999999999</v>
      </c>
    </row>
    <row r="41" spans="2:2" x14ac:dyDescent="0.35">
      <c r="B41" s="8">
        <v>0.16500000000000001</v>
      </c>
    </row>
    <row r="42" spans="2:2" x14ac:dyDescent="0.35">
      <c r="B42" s="8">
        <v>0.112</v>
      </c>
    </row>
    <row r="43" spans="2:2" x14ac:dyDescent="0.35">
      <c r="B43" s="8">
        <v>0.189</v>
      </c>
    </row>
    <row r="44" spans="2:2" x14ac:dyDescent="0.35">
      <c r="B44" s="8">
        <v>0.151</v>
      </c>
    </row>
    <row r="45" spans="2:2" x14ac:dyDescent="0.35">
      <c r="B45" s="8">
        <v>0.14000000000000001</v>
      </c>
    </row>
    <row r="46" spans="2:2" x14ac:dyDescent="0.35">
      <c r="B46" s="8">
        <v>0.10100000000000001</v>
      </c>
    </row>
    <row r="47" spans="2:2" x14ac:dyDescent="0.35">
      <c r="B47" s="8">
        <v>0</v>
      </c>
    </row>
    <row r="48" spans="2:2" x14ac:dyDescent="0.35">
      <c r="B48" s="8">
        <v>0.26500000000000001</v>
      </c>
    </row>
    <row r="49" spans="2:2" x14ac:dyDescent="0.35">
      <c r="B49" s="8">
        <v>0</v>
      </c>
    </row>
    <row r="50" spans="2:2" x14ac:dyDescent="0.35">
      <c r="B50" s="8">
        <v>5.6000000000000001E-2</v>
      </c>
    </row>
    <row r="51" spans="2:2" x14ac:dyDescent="0.35">
      <c r="B51" s="8">
        <v>3.4000000000000002E-2</v>
      </c>
    </row>
    <row r="52" spans="2:2" x14ac:dyDescent="0.35">
      <c r="B52" s="8">
        <v>0.107</v>
      </c>
    </row>
    <row r="53" spans="2:2" x14ac:dyDescent="0.35">
      <c r="B53" s="8">
        <v>0.19</v>
      </c>
    </row>
    <row r="54" spans="2:2" x14ac:dyDescent="0.35">
      <c r="B54" s="8">
        <v>9.4E-2</v>
      </c>
    </row>
    <row r="55" spans="2:2" x14ac:dyDescent="0.35">
      <c r="B55" s="8">
        <v>0.28199999999999997</v>
      </c>
    </row>
    <row r="56" spans="2:2" x14ac:dyDescent="0.35">
      <c r="B56" s="8">
        <v>9.8000000000000004E-2</v>
      </c>
    </row>
    <row r="57" spans="2:2" x14ac:dyDescent="0.35">
      <c r="B57" s="8">
        <v>0.13700000000000001</v>
      </c>
    </row>
    <row r="58" spans="2:2" x14ac:dyDescent="0.35">
      <c r="B58" s="8">
        <v>0</v>
      </c>
    </row>
    <row r="59" spans="2:2" x14ac:dyDescent="0.35">
      <c r="B59" s="8">
        <v>0.155</v>
      </c>
    </row>
    <row r="60" spans="2:2" x14ac:dyDescent="0.35">
      <c r="B60" s="8">
        <v>0.02</v>
      </c>
    </row>
    <row r="61" spans="2:2" x14ac:dyDescent="0.35">
      <c r="B61" s="8">
        <v>0.104</v>
      </c>
    </row>
    <row r="62" spans="2:2" x14ac:dyDescent="0.35">
      <c r="B62" s="8">
        <v>0.19700000000000001</v>
      </c>
    </row>
    <row r="63" spans="2:2" x14ac:dyDescent="0.35">
      <c r="B63" s="8">
        <v>0.16900000000000001</v>
      </c>
    </row>
    <row r="64" spans="2:2" x14ac:dyDescent="0.35">
      <c r="B64" s="8">
        <v>2.9000000000000001E-2</v>
      </c>
    </row>
    <row r="65" spans="2:2" x14ac:dyDescent="0.35">
      <c r="B65" s="8">
        <v>5.0999999999999997E-2</v>
      </c>
    </row>
    <row r="66" spans="2:2" x14ac:dyDescent="0.35">
      <c r="B66" s="8">
        <v>0.17499999999999999</v>
      </c>
    </row>
    <row r="67" spans="2:2" x14ac:dyDescent="0.35">
      <c r="B67" s="8">
        <v>0.19700000000000001</v>
      </c>
    </row>
    <row r="68" spans="2:2" x14ac:dyDescent="0.35">
      <c r="B68" s="8">
        <v>0.05</v>
      </c>
    </row>
    <row r="69" spans="2:2" x14ac:dyDescent="0.35">
      <c r="B69" s="8">
        <v>0.14699999999999999</v>
      </c>
    </row>
    <row r="70" spans="2:2" x14ac:dyDescent="0.35">
      <c r="B70" s="8">
        <v>0.10299999999999999</v>
      </c>
    </row>
    <row r="71" spans="2:2" x14ac:dyDescent="0.35">
      <c r="B71" s="8">
        <v>7.3999999999999996E-2</v>
      </c>
    </row>
    <row r="72" spans="2:2" x14ac:dyDescent="0.35">
      <c r="B72" s="8">
        <v>0.121</v>
      </c>
    </row>
    <row r="73" spans="2:2" x14ac:dyDescent="0.35">
      <c r="B73" s="8">
        <v>4.9000000000000002E-2</v>
      </c>
    </row>
    <row r="74" spans="2:2" x14ac:dyDescent="0.35">
      <c r="B74" s="8">
        <v>0.11799999999999999</v>
      </c>
    </row>
    <row r="75" spans="2:2" x14ac:dyDescent="0.35">
      <c r="B75" s="8">
        <v>0.13600000000000001</v>
      </c>
    </row>
    <row r="76" spans="2:2" x14ac:dyDescent="0.35">
      <c r="B76" s="8">
        <v>4.1000000000000002E-2</v>
      </c>
    </row>
    <row r="77" spans="2:2" x14ac:dyDescent="0.35">
      <c r="B77" s="8">
        <v>0</v>
      </c>
    </row>
    <row r="78" spans="2:2" x14ac:dyDescent="0.35">
      <c r="B78" s="8">
        <v>9.4E-2</v>
      </c>
    </row>
    <row r="79" spans="2:2" x14ac:dyDescent="0.35">
      <c r="B79" s="8">
        <v>0</v>
      </c>
    </row>
    <row r="80" spans="2:2" x14ac:dyDescent="0.35">
      <c r="B80" s="8">
        <v>0.14099999999999999</v>
      </c>
    </row>
    <row r="81" spans="2:2" x14ac:dyDescent="0.35">
      <c r="B81" s="8">
        <v>0.107</v>
      </c>
    </row>
    <row r="82" spans="2:2" x14ac:dyDescent="0.35">
      <c r="B82" s="8">
        <v>0.121</v>
      </c>
    </row>
    <row r="83" spans="2:2" x14ac:dyDescent="0.35">
      <c r="B83" s="8">
        <v>0</v>
      </c>
    </row>
    <row r="84" spans="2:2" x14ac:dyDescent="0.35">
      <c r="B84" s="8">
        <v>0.20899999999999999</v>
      </c>
    </row>
    <row r="85" spans="2:2" x14ac:dyDescent="0.35">
      <c r="B85" s="8">
        <v>0.1</v>
      </c>
    </row>
    <row r="86" spans="2:2" x14ac:dyDescent="0.35">
      <c r="B86" s="8">
        <v>0.14299999999999999</v>
      </c>
    </row>
    <row r="87" spans="2:2" x14ac:dyDescent="0.35">
      <c r="B87" s="8">
        <v>0.13700000000000001</v>
      </c>
    </row>
    <row r="88" spans="2:2" x14ac:dyDescent="0.35">
      <c r="B88" s="8">
        <v>4.9000000000000002E-2</v>
      </c>
    </row>
    <row r="89" spans="2:2" x14ac:dyDescent="0.35">
      <c r="B89" s="8">
        <v>0.15</v>
      </c>
    </row>
    <row r="90" spans="2:2" x14ac:dyDescent="0.35">
      <c r="B90" s="8">
        <v>0.129</v>
      </c>
    </row>
    <row r="91" spans="2:2" x14ac:dyDescent="0.35">
      <c r="B91" s="8">
        <v>0.34300000000000003</v>
      </c>
    </row>
    <row r="92" spans="2:2" x14ac:dyDescent="0.35">
      <c r="B92" s="8">
        <v>7.8E-2</v>
      </c>
    </row>
    <row r="93" spans="2:2" x14ac:dyDescent="0.35">
      <c r="B93" s="8">
        <v>0.19</v>
      </c>
    </row>
    <row r="94" spans="2:2" x14ac:dyDescent="0.35">
      <c r="B94" s="8">
        <v>0.14799999999999999</v>
      </c>
    </row>
    <row r="95" spans="2:2" x14ac:dyDescent="0.35">
      <c r="B95" s="8">
        <v>4.2000000000000003E-2</v>
      </c>
    </row>
    <row r="96" spans="2:2" x14ac:dyDescent="0.35">
      <c r="B96" s="8">
        <v>1.7000000000000001E-2</v>
      </c>
    </row>
    <row r="97" spans="2:2" x14ac:dyDescent="0.35">
      <c r="B97" s="8">
        <v>4.0000000000000001E-3</v>
      </c>
    </row>
    <row r="98" spans="2:2" x14ac:dyDescent="0.35">
      <c r="B98" s="8">
        <v>0.14799999999999999</v>
      </c>
    </row>
    <row r="99" spans="2:2" x14ac:dyDescent="0.35">
      <c r="B99" s="8">
        <v>3.2000000000000001E-2</v>
      </c>
    </row>
    <row r="100" spans="2:2" x14ac:dyDescent="0.35">
      <c r="B100" s="8">
        <v>8.2000000000000003E-2</v>
      </c>
    </row>
    <row r="101" spans="2:2" x14ac:dyDescent="0.35">
      <c r="B101" s="8">
        <v>0.01</v>
      </c>
    </row>
    <row r="102" spans="2:2" x14ac:dyDescent="0.35">
      <c r="B102" s="8">
        <v>0.13200000000000001</v>
      </c>
    </row>
    <row r="103" spans="2:2" x14ac:dyDescent="0.35">
      <c r="B103" s="8">
        <v>7.0999999999999994E-2</v>
      </c>
    </row>
    <row r="104" spans="2:2" x14ac:dyDescent="0.35">
      <c r="B104" s="8">
        <v>0.109</v>
      </c>
    </row>
    <row r="105" spans="2:2" x14ac:dyDescent="0.35">
      <c r="B105" s="8">
        <v>2.8000000000000001E-2</v>
      </c>
    </row>
    <row r="106" spans="2:2" x14ac:dyDescent="0.35">
      <c r="B106" s="8">
        <v>0.25700000000000001</v>
      </c>
    </row>
    <row r="107" spans="2:2" x14ac:dyDescent="0.35">
      <c r="B107" s="8">
        <v>0.112</v>
      </c>
    </row>
    <row r="108" spans="2:2" x14ac:dyDescent="0.35">
      <c r="B108" s="8">
        <v>0.13500000000000001</v>
      </c>
    </row>
    <row r="109" spans="2:2" x14ac:dyDescent="0.35">
      <c r="B109" s="8">
        <v>0.129</v>
      </c>
    </row>
    <row r="110" spans="2:2" x14ac:dyDescent="0.35">
      <c r="B110" s="8">
        <v>0.108</v>
      </c>
    </row>
    <row r="111" spans="2:2" x14ac:dyDescent="0.35">
      <c r="B111" s="8">
        <v>0.09</v>
      </c>
    </row>
    <row r="112" spans="2:2" x14ac:dyDescent="0.35">
      <c r="B112" s="8">
        <v>0.14199999999999999</v>
      </c>
    </row>
    <row r="113" spans="2:2" x14ac:dyDescent="0.35">
      <c r="B113" s="8">
        <v>2.5000000000000001E-2</v>
      </c>
    </row>
    <row r="114" spans="2:2" x14ac:dyDescent="0.35">
      <c r="B114" s="8">
        <v>0</v>
      </c>
    </row>
    <row r="115" spans="2:2" x14ac:dyDescent="0.35">
      <c r="B115" s="8">
        <v>0</v>
      </c>
    </row>
    <row r="116" spans="2:2" x14ac:dyDescent="0.35">
      <c r="B116" s="8">
        <v>9.6000000000000002E-2</v>
      </c>
    </row>
    <row r="117" spans="2:2" x14ac:dyDescent="0.35">
      <c r="B117" s="8">
        <v>0.22</v>
      </c>
    </row>
    <row r="118" spans="2:2" x14ac:dyDescent="0.35">
      <c r="B118" s="8">
        <v>8.7999999999999995E-2</v>
      </c>
    </row>
    <row r="119" spans="2:2" x14ac:dyDescent="0.35">
      <c r="B119" s="8">
        <v>6.6000000000000003E-2</v>
      </c>
    </row>
    <row r="120" spans="2:2" x14ac:dyDescent="0.35">
      <c r="B120" s="8">
        <v>1.4E-2</v>
      </c>
    </row>
    <row r="121" spans="2:2" x14ac:dyDescent="0.35">
      <c r="B121" s="8">
        <v>0.14899999999999999</v>
      </c>
    </row>
    <row r="122" spans="2:2" x14ac:dyDescent="0.35">
      <c r="B122" s="8">
        <v>0.115</v>
      </c>
    </row>
    <row r="123" spans="2:2" x14ac:dyDescent="0.35">
      <c r="B123" s="8">
        <v>3.7999999999999999E-2</v>
      </c>
    </row>
    <row r="124" spans="2:2" x14ac:dyDescent="0.35">
      <c r="B124" s="8">
        <v>4.4999999999999998E-2</v>
      </c>
    </row>
    <row r="125" spans="2:2" x14ac:dyDescent="0.35">
      <c r="B125" s="8">
        <v>8.2000000000000003E-2</v>
      </c>
    </row>
    <row r="126" spans="2:2" x14ac:dyDescent="0.35">
      <c r="B126" s="8">
        <v>4.3999999999999997E-2</v>
      </c>
    </row>
    <row r="127" spans="2:2" x14ac:dyDescent="0.35">
      <c r="B127" s="8">
        <v>0</v>
      </c>
    </row>
    <row r="128" spans="2:2" x14ac:dyDescent="0.35">
      <c r="B128" s="8">
        <v>0.107</v>
      </c>
    </row>
    <row r="129" spans="2:2" x14ac:dyDescent="0.35">
      <c r="B129" s="8">
        <v>0.126</v>
      </c>
    </row>
    <row r="130" spans="2:2" x14ac:dyDescent="0.35">
      <c r="B130" s="8">
        <v>0.29899999999999999</v>
      </c>
    </row>
    <row r="131" spans="2:2" x14ac:dyDescent="0.35">
      <c r="B131" s="8">
        <v>3.9E-2</v>
      </c>
    </row>
    <row r="132" spans="2:2" x14ac:dyDescent="0.35">
      <c r="B132" s="8">
        <v>0.216</v>
      </c>
    </row>
    <row r="133" spans="2:2" x14ac:dyDescent="0.35">
      <c r="B133" s="8">
        <v>0.192</v>
      </c>
    </row>
    <row r="134" spans="2:2" x14ac:dyDescent="0.35">
      <c r="B134" s="8">
        <v>0.129</v>
      </c>
    </row>
    <row r="135" spans="2:2" x14ac:dyDescent="0.35">
      <c r="B135" s="8">
        <v>0.11799999999999999</v>
      </c>
    </row>
    <row r="136" spans="2:2" x14ac:dyDescent="0.35">
      <c r="B136" s="8">
        <v>0.16500000000000001</v>
      </c>
    </row>
    <row r="137" spans="2:2" x14ac:dyDescent="0.35">
      <c r="B137" s="8">
        <v>0.16400000000000001</v>
      </c>
    </row>
    <row r="138" spans="2:2" x14ac:dyDescent="0.35">
      <c r="B138" s="8">
        <v>0.56499999999999995</v>
      </c>
    </row>
    <row r="139" spans="2:2" x14ac:dyDescent="0.35">
      <c r="B139" s="8">
        <v>0.24</v>
      </c>
    </row>
    <row r="140" spans="2:2" x14ac:dyDescent="0.35">
      <c r="B140" s="8">
        <v>0.151</v>
      </c>
    </row>
    <row r="141" spans="2:2" x14ac:dyDescent="0.35">
      <c r="B141" s="8">
        <v>0.13100000000000001</v>
      </c>
    </row>
    <row r="142" spans="2:2" x14ac:dyDescent="0.35">
      <c r="B142" s="8">
        <v>0.17100000000000001</v>
      </c>
    </row>
    <row r="143" spans="2:2" x14ac:dyDescent="0.35">
      <c r="B143" s="8">
        <v>7.1999999999999995E-2</v>
      </c>
    </row>
    <row r="144" spans="2:2" x14ac:dyDescent="0.35">
      <c r="B144" s="8">
        <v>0.13400000000000001</v>
      </c>
    </row>
    <row r="145" spans="2:2" x14ac:dyDescent="0.35">
      <c r="B145" s="8">
        <v>0.161</v>
      </c>
    </row>
    <row r="146" spans="2:2" x14ac:dyDescent="0.35">
      <c r="B146" s="8">
        <v>0.151</v>
      </c>
    </row>
    <row r="147" spans="2:2" x14ac:dyDescent="0.35">
      <c r="B147" s="8">
        <v>0.216</v>
      </c>
    </row>
    <row r="148" spans="2:2" x14ac:dyDescent="0.35">
      <c r="B148" s="8">
        <v>9.4E-2</v>
      </c>
    </row>
    <row r="149" spans="2:2" x14ac:dyDescent="0.35">
      <c r="B149" s="8">
        <v>0.123</v>
      </c>
    </row>
    <row r="150" spans="2:2" x14ac:dyDescent="0.35">
      <c r="B150" s="8">
        <v>8.4000000000000005E-2</v>
      </c>
    </row>
    <row r="151" spans="2:2" x14ac:dyDescent="0.35">
      <c r="B151" s="8">
        <v>0</v>
      </c>
    </row>
    <row r="152" spans="2:2" x14ac:dyDescent="0.35">
      <c r="B152" s="8">
        <v>0</v>
      </c>
    </row>
    <row r="153" spans="2:2" x14ac:dyDescent="0.35">
      <c r="B153" s="8">
        <v>6.6000000000000003E-2</v>
      </c>
    </row>
    <row r="154" spans="2:2" x14ac:dyDescent="0.35">
      <c r="B154" s="8">
        <v>0.20399999999999999</v>
      </c>
    </row>
    <row r="155" spans="2:2" x14ac:dyDescent="0.35">
      <c r="B155" s="8">
        <v>0.24099999999999999</v>
      </c>
    </row>
    <row r="156" spans="2:2" x14ac:dyDescent="0.35">
      <c r="B156" s="8">
        <v>0.10100000000000001</v>
      </c>
    </row>
    <row r="157" spans="2:2" x14ac:dyDescent="0.35">
      <c r="B157" s="8">
        <v>8.8999999999999996E-2</v>
      </c>
    </row>
    <row r="158" spans="2:2" x14ac:dyDescent="0.35">
      <c r="B158" s="8">
        <v>5.8999999999999997E-2</v>
      </c>
    </row>
    <row r="159" spans="2:2" x14ac:dyDescent="0.35">
      <c r="B159" s="8">
        <v>0</v>
      </c>
    </row>
    <row r="160" spans="2:2" x14ac:dyDescent="0.35">
      <c r="B160" s="8">
        <v>8.3000000000000004E-2</v>
      </c>
    </row>
    <row r="161" spans="2:2" x14ac:dyDescent="0.35">
      <c r="B161" s="8">
        <v>9.2999999999999999E-2</v>
      </c>
    </row>
    <row r="162" spans="2:2" x14ac:dyDescent="0.35">
      <c r="B162" s="8">
        <v>9.0999999999999998E-2</v>
      </c>
    </row>
    <row r="163" spans="2:2" x14ac:dyDescent="0.35">
      <c r="B163" s="8">
        <v>3.2000000000000001E-2</v>
      </c>
    </row>
    <row r="164" spans="2:2" x14ac:dyDescent="0.35">
      <c r="B164" s="8">
        <v>0.13800000000000001</v>
      </c>
    </row>
    <row r="165" spans="2:2" x14ac:dyDescent="0.35">
      <c r="B165" s="8">
        <v>0.14399999999999999</v>
      </c>
    </row>
    <row r="166" spans="2:2" x14ac:dyDescent="0.35">
      <c r="B166" s="8">
        <v>0.27</v>
      </c>
    </row>
    <row r="167" spans="2:2" x14ac:dyDescent="0.35">
      <c r="B167" s="8">
        <v>0.20799999999999999</v>
      </c>
    </row>
    <row r="168" spans="2:2" x14ac:dyDescent="0.35">
      <c r="B168" s="8">
        <v>0.16500000000000001</v>
      </c>
    </row>
    <row r="169" spans="2:2" x14ac:dyDescent="0.35">
      <c r="B169" s="8">
        <v>0.188</v>
      </c>
    </row>
    <row r="170" spans="2:2" x14ac:dyDescent="0.35">
      <c r="B170" s="8">
        <v>0.186</v>
      </c>
    </row>
    <row r="171" spans="2:2" x14ac:dyDescent="0.35">
      <c r="B171" s="8">
        <v>0.114</v>
      </c>
    </row>
    <row r="172" spans="2:2" x14ac:dyDescent="0.35">
      <c r="B172" s="8">
        <v>8.5999999999999993E-2</v>
      </c>
    </row>
    <row r="173" spans="2:2" x14ac:dyDescent="0.35">
      <c r="B173" s="8">
        <v>0.157</v>
      </c>
    </row>
    <row r="174" spans="2:2" x14ac:dyDescent="0.35">
      <c r="B174" s="8">
        <v>0.13400000000000001</v>
      </c>
    </row>
    <row r="175" spans="2:2" x14ac:dyDescent="0.35">
      <c r="B175" s="8">
        <v>0.20399999999999999</v>
      </c>
    </row>
    <row r="176" spans="2:2" x14ac:dyDescent="0.35">
      <c r="B176" s="8">
        <v>0.106</v>
      </c>
    </row>
    <row r="177" spans="2:2" x14ac:dyDescent="0.35">
      <c r="B177" s="8">
        <v>0.14699999999999999</v>
      </c>
    </row>
    <row r="178" spans="2:2" x14ac:dyDescent="0.35">
      <c r="B178" s="8">
        <v>0.157</v>
      </c>
    </row>
    <row r="179" spans="2:2" x14ac:dyDescent="0.35">
      <c r="B179" s="8">
        <v>6.7000000000000004E-2</v>
      </c>
    </row>
    <row r="180" spans="2:2" x14ac:dyDescent="0.35">
      <c r="B180" s="8">
        <v>0.17299999999999999</v>
      </c>
    </row>
    <row r="181" spans="2:2" x14ac:dyDescent="0.35">
      <c r="B181" s="8">
        <v>0.19400000000000001</v>
      </c>
    </row>
    <row r="182" spans="2:2" x14ac:dyDescent="0.35">
      <c r="B182" s="8">
        <v>0.185</v>
      </c>
    </row>
    <row r="183" spans="2:2" x14ac:dyDescent="0.35">
      <c r="B183" s="8">
        <v>0.35699999999999998</v>
      </c>
    </row>
    <row r="184" spans="2:2" x14ac:dyDescent="0.35">
      <c r="B184" s="8">
        <v>4.0000000000000001E-3</v>
      </c>
    </row>
    <row r="185" spans="2:2" x14ac:dyDescent="0.35">
      <c r="B185" s="8">
        <v>0.14000000000000001</v>
      </c>
    </row>
    <row r="186" spans="2:2" x14ac:dyDescent="0.35">
      <c r="B186" s="8">
        <v>0.151</v>
      </c>
    </row>
    <row r="187" spans="2:2" x14ac:dyDescent="0.35">
      <c r="B187" s="8">
        <v>7.1999999999999995E-2</v>
      </c>
    </row>
    <row r="188" spans="2:2" x14ac:dyDescent="0.35">
      <c r="B188" s="8">
        <v>0</v>
      </c>
    </row>
    <row r="189" spans="2:2" x14ac:dyDescent="0.35">
      <c r="B189" s="8">
        <v>0.20699999999999999</v>
      </c>
    </row>
    <row r="190" spans="2:2" x14ac:dyDescent="0.35">
      <c r="B190" s="8">
        <v>5.6000000000000001E-2</v>
      </c>
    </row>
    <row r="191" spans="2:2" x14ac:dyDescent="0.35">
      <c r="B191" s="8">
        <v>0.2</v>
      </c>
    </row>
    <row r="192" spans="2:2" x14ac:dyDescent="0.35">
      <c r="B192" s="8">
        <v>0.222</v>
      </c>
    </row>
    <row r="193" spans="2:2" x14ac:dyDescent="0.35">
      <c r="B193" s="8">
        <v>5.7000000000000002E-2</v>
      </c>
    </row>
    <row r="194" spans="2:2" x14ac:dyDescent="0.35">
      <c r="B194" s="8">
        <v>7.1999999999999995E-2</v>
      </c>
    </row>
    <row r="195" spans="2:2" x14ac:dyDescent="0.35">
      <c r="B195" s="8">
        <v>0.13800000000000001</v>
      </c>
    </row>
    <row r="196" spans="2:2" x14ac:dyDescent="0.35">
      <c r="B196" s="8">
        <v>0.184</v>
      </c>
    </row>
    <row r="197" spans="2:2" x14ac:dyDescent="0.35">
      <c r="B197" s="8">
        <v>0.157</v>
      </c>
    </row>
    <row r="198" spans="2:2" x14ac:dyDescent="0.35">
      <c r="B198" s="8">
        <v>7.4999999999999997E-2</v>
      </c>
    </row>
    <row r="199" spans="2:2" x14ac:dyDescent="0.35">
      <c r="B199" s="8">
        <v>2.8000000000000001E-2</v>
      </c>
    </row>
    <row r="200" spans="2:2" x14ac:dyDescent="0.35">
      <c r="B200" s="8">
        <v>6.9000000000000006E-2</v>
      </c>
    </row>
    <row r="201" spans="2:2" x14ac:dyDescent="0.35">
      <c r="B201" s="8">
        <v>0.114</v>
      </c>
    </row>
    <row r="202" spans="2:2" x14ac:dyDescent="0.35">
      <c r="B202" s="8">
        <v>0.13900000000000001</v>
      </c>
    </row>
    <row r="203" spans="2:2" x14ac:dyDescent="0.35">
      <c r="B203" s="8">
        <v>0</v>
      </c>
    </row>
    <row r="204" spans="2:2" x14ac:dyDescent="0.35">
      <c r="B204" s="8">
        <v>0.23499999999999999</v>
      </c>
    </row>
    <row r="205" spans="2:2" x14ac:dyDescent="0.35">
      <c r="B205" s="8">
        <v>0.107</v>
      </c>
    </row>
    <row r="206" spans="2:2" x14ac:dyDescent="0.35">
      <c r="B206" s="8">
        <v>0.125</v>
      </c>
    </row>
    <row r="207" spans="2:2" x14ac:dyDescent="0.35">
      <c r="B207" s="8">
        <v>0.02</v>
      </c>
    </row>
    <row r="208" spans="2:2" x14ac:dyDescent="0.35">
      <c r="B208" s="8">
        <v>0.113</v>
      </c>
    </row>
    <row r="209" spans="2:2" x14ac:dyDescent="0.35">
      <c r="B209" s="8">
        <v>0.184</v>
      </c>
    </row>
    <row r="210" spans="2:2" x14ac:dyDescent="0.35">
      <c r="B210" s="8">
        <v>0</v>
      </c>
    </row>
    <row r="211" spans="2:2" x14ac:dyDescent="0.35">
      <c r="B211" s="8">
        <v>0.10199999999999999</v>
      </c>
    </row>
    <row r="212" spans="2:2" x14ac:dyDescent="0.35">
      <c r="B212" s="8">
        <v>0.184</v>
      </c>
    </row>
    <row r="213" spans="2:2" x14ac:dyDescent="0.35">
      <c r="B213" s="8">
        <v>6.2E-2</v>
      </c>
    </row>
    <row r="214" spans="2:2" x14ac:dyDescent="0.35">
      <c r="B214" s="8">
        <v>0</v>
      </c>
    </row>
    <row r="215" spans="2:2" x14ac:dyDescent="0.35">
      <c r="B215" s="8">
        <v>7.0999999999999994E-2</v>
      </c>
    </row>
    <row r="216" spans="2:2" x14ac:dyDescent="0.35">
      <c r="B216" s="8">
        <v>0.14699999999999999</v>
      </c>
    </row>
    <row r="217" spans="2:2" x14ac:dyDescent="0.35">
      <c r="B217" s="8">
        <v>5.6000000000000001E-2</v>
      </c>
    </row>
    <row r="218" spans="2:2" x14ac:dyDescent="0.35">
      <c r="B218" s="8">
        <v>0.113</v>
      </c>
    </row>
    <row r="219" spans="2:2" x14ac:dyDescent="0.35">
      <c r="B219" s="8">
        <v>0.14399999999999999</v>
      </c>
    </row>
    <row r="220" spans="2:2" x14ac:dyDescent="0.35">
      <c r="B220" s="8">
        <v>7.0000000000000007E-2</v>
      </c>
    </row>
    <row r="221" spans="2:2" x14ac:dyDescent="0.35">
      <c r="B221" s="8">
        <v>0.159</v>
      </c>
    </row>
    <row r="222" spans="2:2" x14ac:dyDescent="0.35">
      <c r="B222" s="8">
        <v>0</v>
      </c>
    </row>
    <row r="223" spans="2:2" x14ac:dyDescent="0.35">
      <c r="B223" s="8">
        <v>7.3999999999999996E-2</v>
      </c>
    </row>
    <row r="224" spans="2:2" x14ac:dyDescent="0.35">
      <c r="B224" s="8">
        <v>5.8000000000000003E-2</v>
      </c>
    </row>
    <row r="225" spans="2:2" x14ac:dyDescent="0.35">
      <c r="B225" s="8">
        <v>0.107</v>
      </c>
    </row>
    <row r="226" spans="2:2" x14ac:dyDescent="0.35">
      <c r="B226" s="8">
        <v>0.20300000000000001</v>
      </c>
    </row>
    <row r="227" spans="2:2" x14ac:dyDescent="0.35">
      <c r="B227" s="8">
        <v>0.17399999999999999</v>
      </c>
    </row>
    <row r="228" spans="2:2" x14ac:dyDescent="0.35">
      <c r="B228" s="8">
        <v>0.16700000000000001</v>
      </c>
    </row>
    <row r="229" spans="2:2" x14ac:dyDescent="0.35">
      <c r="B229" s="8">
        <v>0.215</v>
      </c>
    </row>
    <row r="230" spans="2:2" x14ac:dyDescent="0.35">
      <c r="B230" s="8">
        <v>7.5999999999999998E-2</v>
      </c>
    </row>
    <row r="231" spans="2:2" x14ac:dyDescent="0.35">
      <c r="B231" s="8">
        <v>0.20699999999999999</v>
      </c>
    </row>
    <row r="232" spans="2:2" x14ac:dyDescent="0.35">
      <c r="B232" s="8">
        <v>0.12</v>
      </c>
    </row>
    <row r="233" spans="2:2" x14ac:dyDescent="0.35">
      <c r="B233" s="8">
        <v>0.154</v>
      </c>
    </row>
    <row r="234" spans="2:2" x14ac:dyDescent="0.35">
      <c r="B234" s="8">
        <v>0</v>
      </c>
    </row>
    <row r="235" spans="2:2" x14ac:dyDescent="0.35">
      <c r="B235" s="8">
        <v>6.8000000000000005E-2</v>
      </c>
    </row>
    <row r="236" spans="2:2" x14ac:dyDescent="0.35">
      <c r="B236" s="8">
        <v>0.25800000000000001</v>
      </c>
    </row>
    <row r="237" spans="2:2" x14ac:dyDescent="0.35">
      <c r="B237" s="8">
        <v>4.2000000000000003E-2</v>
      </c>
    </row>
    <row r="238" spans="2:2" x14ac:dyDescent="0.35">
      <c r="B238" s="8">
        <v>0.14000000000000001</v>
      </c>
    </row>
    <row r="239" spans="2:2" x14ac:dyDescent="0.35">
      <c r="B239" s="8">
        <v>0.155</v>
      </c>
    </row>
    <row r="240" spans="2:2" x14ac:dyDescent="0.35">
      <c r="B240" s="8">
        <v>0.17</v>
      </c>
    </row>
    <row r="241" spans="2:2" x14ac:dyDescent="0.35">
      <c r="B241" s="8">
        <v>0.22600000000000001</v>
      </c>
    </row>
    <row r="242" spans="2:2" x14ac:dyDescent="0.35">
      <c r="B242" s="8">
        <v>0.17599999999999999</v>
      </c>
    </row>
    <row r="243" spans="2:2" x14ac:dyDescent="0.35">
      <c r="B243" s="8">
        <v>0</v>
      </c>
    </row>
    <row r="244" spans="2:2" x14ac:dyDescent="0.35">
      <c r="B244" s="8">
        <v>0.03</v>
      </c>
    </row>
    <row r="245" spans="2:2" x14ac:dyDescent="0.35">
      <c r="B245" s="8">
        <v>0.14299999999999999</v>
      </c>
    </row>
    <row r="246" spans="2:2" x14ac:dyDescent="0.35">
      <c r="B246" s="8">
        <v>0.13500000000000001</v>
      </c>
    </row>
    <row r="247" spans="2:2" x14ac:dyDescent="0.35">
      <c r="B247" s="8">
        <v>3.7999999999999999E-2</v>
      </c>
    </row>
    <row r="248" spans="2:2" x14ac:dyDescent="0.35">
      <c r="B248" s="8">
        <v>6.0000000000000001E-3</v>
      </c>
    </row>
    <row r="249" spans="2:2" x14ac:dyDescent="0.35">
      <c r="B249" s="8">
        <v>6.6000000000000003E-2</v>
      </c>
    </row>
    <row r="250" spans="2:2" x14ac:dyDescent="0.35">
      <c r="B250" s="8">
        <v>0.12</v>
      </c>
    </row>
    <row r="251" spans="2:2" x14ac:dyDescent="0.35">
      <c r="B251" s="8">
        <v>1.7999999999999999E-2</v>
      </c>
    </row>
    <row r="252" spans="2:2" x14ac:dyDescent="0.35">
      <c r="B252" s="8">
        <v>0.19400000000000001</v>
      </c>
    </row>
    <row r="253" spans="2:2" x14ac:dyDescent="0.35">
      <c r="B253" s="8">
        <v>0.17699999999999999</v>
      </c>
    </row>
    <row r="254" spans="2:2" x14ac:dyDescent="0.35">
      <c r="B254" s="8">
        <v>0.215</v>
      </c>
    </row>
    <row r="255" spans="2:2" x14ac:dyDescent="0.35">
      <c r="B255" s="8">
        <v>0.126</v>
      </c>
    </row>
    <row r="256" spans="2:2" x14ac:dyDescent="0.35">
      <c r="B256" s="8">
        <v>0.126</v>
      </c>
    </row>
    <row r="257" spans="2:2" x14ac:dyDescent="0.35">
      <c r="B257" s="8">
        <v>5.0999999999999997E-2</v>
      </c>
    </row>
    <row r="258" spans="2:2" x14ac:dyDescent="0.35">
      <c r="B258" s="8">
        <v>0.25900000000000001</v>
      </c>
    </row>
    <row r="259" spans="2:2" x14ac:dyDescent="0.35">
      <c r="B259" s="8">
        <v>0.26300000000000001</v>
      </c>
    </row>
    <row r="260" spans="2:2" x14ac:dyDescent="0.35">
      <c r="B260" s="8">
        <v>0.26100000000000001</v>
      </c>
    </row>
    <row r="261" spans="2:2" x14ac:dyDescent="0.35">
      <c r="B261" s="8">
        <v>0.13600000000000001</v>
      </c>
    </row>
    <row r="262" spans="2:2" x14ac:dyDescent="0.35">
      <c r="B262" s="8">
        <v>0.17599999999999999</v>
      </c>
    </row>
    <row r="263" spans="2:2" x14ac:dyDescent="0.35">
      <c r="B263" s="8">
        <v>0.21</v>
      </c>
    </row>
    <row r="264" spans="2:2" x14ac:dyDescent="0.35">
      <c r="B264" s="8">
        <v>0.24299999999999999</v>
      </c>
    </row>
    <row r="265" spans="2:2" x14ac:dyDescent="0.35">
      <c r="B265" s="8">
        <v>0</v>
      </c>
    </row>
    <row r="266" spans="2:2" x14ac:dyDescent="0.35">
      <c r="B266" s="8">
        <v>0</v>
      </c>
    </row>
    <row r="267" spans="2:2" x14ac:dyDescent="0.35">
      <c r="B267" s="8">
        <v>0.17299999999999999</v>
      </c>
    </row>
    <row r="268" spans="2:2" x14ac:dyDescent="0.35">
      <c r="B268" s="8">
        <v>0.20100000000000001</v>
      </c>
    </row>
    <row r="269" spans="2:2" x14ac:dyDescent="0.35">
      <c r="B269" s="8">
        <v>0.13200000000000001</v>
      </c>
    </row>
    <row r="270" spans="2:2" x14ac:dyDescent="0.35">
      <c r="B270" s="8">
        <v>0.16900000000000001</v>
      </c>
    </row>
    <row r="271" spans="2:2" x14ac:dyDescent="0.35">
      <c r="B271" s="8">
        <v>0.11899999999999999</v>
      </c>
    </row>
    <row r="272" spans="2:2" x14ac:dyDescent="0.35">
      <c r="B272" s="8">
        <v>6.3E-2</v>
      </c>
    </row>
    <row r="273" spans="2:2" x14ac:dyDescent="0.35">
      <c r="B273" s="8">
        <v>0.23699999999999999</v>
      </c>
    </row>
    <row r="274" spans="2:2" x14ac:dyDescent="0.35">
      <c r="B274" s="8">
        <v>0.16700000000000001</v>
      </c>
    </row>
    <row r="275" spans="2:2" x14ac:dyDescent="0.35">
      <c r="B275" s="8">
        <v>0.24299999999999999</v>
      </c>
    </row>
    <row r="276" spans="2:2" x14ac:dyDescent="0.35">
      <c r="B276" s="8">
        <v>0.152</v>
      </c>
    </row>
    <row r="277" spans="2:2" x14ac:dyDescent="0.35">
      <c r="B277" s="8">
        <v>0.27200000000000002</v>
      </c>
    </row>
    <row r="278" spans="2:2" x14ac:dyDescent="0.35">
      <c r="B278" s="8">
        <v>0.254</v>
      </c>
    </row>
    <row r="279" spans="2:2" x14ac:dyDescent="0.35">
      <c r="B279" s="8">
        <v>8.9999999999999993E-3</v>
      </c>
    </row>
    <row r="280" spans="2:2" x14ac:dyDescent="0.35">
      <c r="B280" s="8">
        <v>0.11899999999999999</v>
      </c>
    </row>
    <row r="281" spans="2:2" x14ac:dyDescent="0.35">
      <c r="B281" s="8">
        <v>0.112</v>
      </c>
    </row>
    <row r="282" spans="2:2" x14ac:dyDescent="0.35">
      <c r="B282" s="8">
        <v>0.21099999999999999</v>
      </c>
    </row>
    <row r="283" spans="2:2" x14ac:dyDescent="0.35">
      <c r="B283" s="8">
        <v>9.2999999999999999E-2</v>
      </c>
    </row>
    <row r="284" spans="2:2" x14ac:dyDescent="0.35">
      <c r="B284" s="8">
        <v>0.22500000000000001</v>
      </c>
    </row>
    <row r="285" spans="2:2" x14ac:dyDescent="0.35">
      <c r="B285" s="8">
        <v>0.13500000000000001</v>
      </c>
    </row>
    <row r="286" spans="2:2" x14ac:dyDescent="0.35">
      <c r="B286" s="8">
        <v>6.8000000000000005E-2</v>
      </c>
    </row>
    <row r="287" spans="2:2" x14ac:dyDescent="0.35">
      <c r="B287" s="8">
        <v>0.14799999999999999</v>
      </c>
    </row>
    <row r="288" spans="2:2" x14ac:dyDescent="0.35">
      <c r="B288" s="8">
        <v>0.11899999999999999</v>
      </c>
    </row>
    <row r="289" spans="2:2" x14ac:dyDescent="0.35">
      <c r="B289" s="8">
        <v>0.115</v>
      </c>
    </row>
    <row r="290" spans="2:2" x14ac:dyDescent="0.35">
      <c r="B290" s="8">
        <v>0.13</v>
      </c>
    </row>
    <row r="291" spans="2:2" x14ac:dyDescent="0.35">
      <c r="B291" s="8">
        <v>0.13900000000000001</v>
      </c>
    </row>
    <row r="292" spans="2:2" x14ac:dyDescent="0.35">
      <c r="B292" s="8">
        <v>0.13300000000000001</v>
      </c>
    </row>
    <row r="293" spans="2:2" x14ac:dyDescent="0.35">
      <c r="B293" s="8">
        <v>0.17</v>
      </c>
    </row>
    <row r="294" spans="2:2" x14ac:dyDescent="0.35">
      <c r="B294" s="8">
        <v>0</v>
      </c>
    </row>
    <row r="295" spans="2:2" x14ac:dyDescent="0.35">
      <c r="B295" s="8">
        <v>0.123</v>
      </c>
    </row>
    <row r="296" spans="2:2" x14ac:dyDescent="0.35">
      <c r="B296" s="8">
        <v>0.154</v>
      </c>
    </row>
    <row r="297" spans="2:2" x14ac:dyDescent="0.35">
      <c r="B297" s="8">
        <v>0.158</v>
      </c>
    </row>
    <row r="298" spans="2:2" x14ac:dyDescent="0.35">
      <c r="B298" s="8">
        <v>0.185</v>
      </c>
    </row>
    <row r="299" spans="2:2" x14ac:dyDescent="0.35">
      <c r="B299" s="8">
        <v>0.22500000000000001</v>
      </c>
    </row>
    <row r="300" spans="2:2" x14ac:dyDescent="0.35">
      <c r="B300" s="8">
        <v>0</v>
      </c>
    </row>
    <row r="301" spans="2:2" x14ac:dyDescent="0.35">
      <c r="B301" s="8">
        <v>0.17499999999999999</v>
      </c>
    </row>
    <row r="302" spans="2:2" x14ac:dyDescent="0.35">
      <c r="B302" s="8">
        <v>0</v>
      </c>
    </row>
    <row r="303" spans="2:2" x14ac:dyDescent="0.35">
      <c r="B303" s="8">
        <v>9.4E-2</v>
      </c>
    </row>
    <row r="304" spans="2:2" x14ac:dyDescent="0.35">
      <c r="B304" s="8">
        <v>0.16700000000000001</v>
      </c>
    </row>
    <row r="305" spans="2:2" x14ac:dyDescent="0.35">
      <c r="B305" s="8">
        <v>3.4000000000000002E-2</v>
      </c>
    </row>
    <row r="306" spans="2:2" x14ac:dyDescent="0.35">
      <c r="B306" s="8">
        <v>7.0999999999999994E-2</v>
      </c>
    </row>
    <row r="307" spans="2:2" x14ac:dyDescent="0.35">
      <c r="B307" s="8">
        <v>0.13800000000000001</v>
      </c>
    </row>
    <row r="308" spans="2:2" x14ac:dyDescent="0.35">
      <c r="B308" s="8">
        <v>3.1E-2</v>
      </c>
    </row>
    <row r="309" spans="2:2" x14ac:dyDescent="0.35">
      <c r="B309" s="8">
        <v>0</v>
      </c>
    </row>
    <row r="310" spans="2:2" x14ac:dyDescent="0.35">
      <c r="B310" s="8">
        <v>0.127</v>
      </c>
    </row>
    <row r="311" spans="2:2" x14ac:dyDescent="0.35">
      <c r="B311" s="8">
        <v>8.8999999999999996E-2</v>
      </c>
    </row>
    <row r="312" spans="2:2" x14ac:dyDescent="0.35">
      <c r="B312" s="8">
        <v>0.19700000000000001</v>
      </c>
    </row>
    <row r="313" spans="2:2" x14ac:dyDescent="0.35">
      <c r="B313" s="8">
        <v>0</v>
      </c>
    </row>
    <row r="314" spans="2:2" x14ac:dyDescent="0.35">
      <c r="B314" s="8">
        <v>0.25600000000000001</v>
      </c>
    </row>
    <row r="315" spans="2:2" x14ac:dyDescent="0.35">
      <c r="B315" s="8">
        <v>0.01</v>
      </c>
    </row>
    <row r="316" spans="2:2" x14ac:dyDescent="0.35">
      <c r="B316" s="8">
        <v>0.23899999999999999</v>
      </c>
    </row>
    <row r="317" spans="2:2" x14ac:dyDescent="0.35">
      <c r="B317" s="8">
        <v>0.122</v>
      </c>
    </row>
    <row r="318" spans="2:2" x14ac:dyDescent="0.35">
      <c r="B318" s="8">
        <v>1.2E-2</v>
      </c>
    </row>
    <row r="319" spans="2:2" x14ac:dyDescent="0.35">
      <c r="B319" s="8">
        <v>0.182</v>
      </c>
    </row>
    <row r="320" spans="2:2" x14ac:dyDescent="0.35">
      <c r="B320" s="8">
        <v>0.27800000000000002</v>
      </c>
    </row>
    <row r="321" spans="2:2" x14ac:dyDescent="0.35">
      <c r="B321" s="8">
        <v>0.105</v>
      </c>
    </row>
    <row r="322" spans="2:2" x14ac:dyDescent="0.35">
      <c r="B322" s="8">
        <v>0.254</v>
      </c>
    </row>
    <row r="323" spans="2:2" x14ac:dyDescent="0.35">
      <c r="B323" s="8">
        <v>2.1999999999999999E-2</v>
      </c>
    </row>
    <row r="324" spans="2:2" x14ac:dyDescent="0.35">
      <c r="B324" s="8">
        <v>4.4999999999999998E-2</v>
      </c>
    </row>
    <row r="325" spans="2:2" x14ac:dyDescent="0.35">
      <c r="B325" s="8">
        <v>4.2000000000000003E-2</v>
      </c>
    </row>
    <row r="326" spans="2:2" x14ac:dyDescent="0.35">
      <c r="B326" s="8">
        <v>0</v>
      </c>
    </row>
    <row r="327" spans="2:2" x14ac:dyDescent="0.35">
      <c r="B327" s="8">
        <v>7.5999999999999998E-2</v>
      </c>
    </row>
    <row r="328" spans="2:2" x14ac:dyDescent="0.35">
      <c r="B328" s="8">
        <v>0.187</v>
      </c>
    </row>
    <row r="329" spans="2:2" x14ac:dyDescent="0.35">
      <c r="B329" s="8">
        <v>0.22900000000000001</v>
      </c>
    </row>
    <row r="330" spans="2:2" x14ac:dyDescent="0.35">
      <c r="B330" s="8">
        <v>0.192</v>
      </c>
    </row>
    <row r="331" spans="2:2" x14ac:dyDescent="0.35">
      <c r="B331" s="8">
        <v>0.104</v>
      </c>
    </row>
    <row r="332" spans="2:2" x14ac:dyDescent="0.35">
      <c r="B332" s="8">
        <v>0.02</v>
      </c>
    </row>
    <row r="333" spans="2:2" x14ac:dyDescent="0.35">
      <c r="B333" s="8">
        <v>5.8999999999999997E-2</v>
      </c>
    </row>
    <row r="334" spans="2:2" x14ac:dyDescent="0.35">
      <c r="B334" s="8">
        <v>7.1999999999999995E-2</v>
      </c>
    </row>
    <row r="335" spans="2:2" x14ac:dyDescent="0.35">
      <c r="B335" s="8">
        <v>7.2999999999999995E-2</v>
      </c>
    </row>
    <row r="336" spans="2:2" x14ac:dyDescent="0.35">
      <c r="B336" s="8">
        <v>0.13300000000000001</v>
      </c>
    </row>
    <row r="337" spans="2:2" x14ac:dyDescent="0.35">
      <c r="B337" s="8">
        <v>3.1E-2</v>
      </c>
    </row>
    <row r="338" spans="2:2" x14ac:dyDescent="0.35">
      <c r="B338" s="8">
        <v>0</v>
      </c>
    </row>
    <row r="339" spans="2:2" x14ac:dyDescent="0.35">
      <c r="B339" s="8">
        <v>1.2E-2</v>
      </c>
    </row>
    <row r="340" spans="2:2" x14ac:dyDescent="0.35">
      <c r="B340" s="8">
        <v>0.216</v>
      </c>
    </row>
    <row r="341" spans="2:2" x14ac:dyDescent="0.35">
      <c r="B341" s="8">
        <v>0.245</v>
      </c>
    </row>
    <row r="342" spans="2:2" x14ac:dyDescent="0.35">
      <c r="B342" s="8">
        <v>0.12</v>
      </c>
    </row>
    <row r="343" spans="2:2" x14ac:dyDescent="0.35">
      <c r="B343" s="8">
        <v>0.10299999999999999</v>
      </c>
    </row>
    <row r="344" spans="2:2" x14ac:dyDescent="0.35">
      <c r="B344" s="8">
        <v>0.08</v>
      </c>
    </row>
    <row r="345" spans="2:2" x14ac:dyDescent="0.35">
      <c r="B345" s="8">
        <v>0.11</v>
      </c>
    </row>
    <row r="346" spans="2:2" x14ac:dyDescent="0.35">
      <c r="B346" s="8">
        <v>0.22900000000000001</v>
      </c>
    </row>
    <row r="347" spans="2:2" x14ac:dyDescent="0.35">
      <c r="B347" s="8">
        <v>2.1999999999999999E-2</v>
      </c>
    </row>
    <row r="348" spans="2:2" x14ac:dyDescent="0.35">
      <c r="B348" s="8">
        <v>0.11799999999999999</v>
      </c>
    </row>
    <row r="349" spans="2:2" x14ac:dyDescent="0.35">
      <c r="B349" s="8">
        <v>0.16800000000000001</v>
      </c>
    </row>
    <row r="350" spans="2:2" x14ac:dyDescent="0.35">
      <c r="B350" s="8">
        <v>7.1999999999999995E-2</v>
      </c>
    </row>
    <row r="351" spans="2:2" x14ac:dyDescent="0.35">
      <c r="B351" s="8">
        <v>7.2999999999999995E-2</v>
      </c>
    </row>
    <row r="352" spans="2:2" x14ac:dyDescent="0.35">
      <c r="B352" s="8">
        <v>0.18</v>
      </c>
    </row>
    <row r="353" spans="2:2" x14ac:dyDescent="0.35">
      <c r="B353" s="8">
        <v>0</v>
      </c>
    </row>
    <row r="354" spans="2:2" x14ac:dyDescent="0.35">
      <c r="B354" s="8">
        <v>6.6000000000000003E-2</v>
      </c>
    </row>
    <row r="355" spans="2:2" x14ac:dyDescent="0.35">
      <c r="B355" s="8">
        <v>7.0999999999999994E-2</v>
      </c>
    </row>
    <row r="356" spans="2:2" x14ac:dyDescent="0.35">
      <c r="B356" s="8">
        <v>0.17499999999999999</v>
      </c>
    </row>
    <row r="357" spans="2:2" x14ac:dyDescent="0.35">
      <c r="B357" s="8">
        <v>0.254</v>
      </c>
    </row>
    <row r="358" spans="2:2" x14ac:dyDescent="0.35">
      <c r="B358" s="8">
        <v>5.8000000000000003E-2</v>
      </c>
    </row>
    <row r="359" spans="2:2" x14ac:dyDescent="0.35">
      <c r="B359" s="8">
        <v>0.125</v>
      </c>
    </row>
    <row r="360" spans="2:2" x14ac:dyDescent="0.35">
      <c r="B360" s="8">
        <v>0.126</v>
      </c>
    </row>
    <row r="361" spans="2:2" x14ac:dyDescent="0.35">
      <c r="B361" s="8">
        <v>7.1999999999999995E-2</v>
      </c>
    </row>
    <row r="362" spans="2:2" x14ac:dyDescent="0.35">
      <c r="B362" s="8">
        <v>0.10299999999999999</v>
      </c>
    </row>
    <row r="363" spans="2:2" x14ac:dyDescent="0.35">
      <c r="B363" s="8">
        <v>0.192</v>
      </c>
    </row>
    <row r="364" spans="2:2" x14ac:dyDescent="0.35">
      <c r="B364" s="8">
        <v>0.122</v>
      </c>
    </row>
    <row r="365" spans="2:2" x14ac:dyDescent="0.35">
      <c r="B365" s="8">
        <v>0.192</v>
      </c>
    </row>
    <row r="366" spans="2:2" x14ac:dyDescent="0.35">
      <c r="B366" s="8">
        <v>0.14099999999999999</v>
      </c>
    </row>
    <row r="367" spans="2:2" x14ac:dyDescent="0.35">
      <c r="B367" s="8">
        <v>0.113</v>
      </c>
    </row>
    <row r="368" spans="2:2" x14ac:dyDescent="0.35">
      <c r="B368" s="8">
        <v>0.111</v>
      </c>
    </row>
    <row r="369" spans="2:2" x14ac:dyDescent="0.35">
      <c r="B369" s="8">
        <v>0.17899999999999999</v>
      </c>
    </row>
    <row r="370" spans="2:2" x14ac:dyDescent="0.35">
      <c r="B370" s="8">
        <v>0.105</v>
      </c>
    </row>
    <row r="371" spans="2:2" x14ac:dyDescent="0.35">
      <c r="B371" s="8">
        <v>0.23599999999999999</v>
      </c>
    </row>
    <row r="372" spans="2:2" x14ac:dyDescent="0.35">
      <c r="B372" s="8">
        <v>0.18</v>
      </c>
    </row>
    <row r="373" spans="2:2" x14ac:dyDescent="0.35">
      <c r="B373" s="8">
        <v>0.123</v>
      </c>
    </row>
    <row r="374" spans="2:2" x14ac:dyDescent="0.35">
      <c r="B374" s="8">
        <v>8.6999999999999994E-2</v>
      </c>
    </row>
    <row r="375" spans="2:2" x14ac:dyDescent="0.35">
      <c r="B375" s="8">
        <v>0.13300000000000001</v>
      </c>
    </row>
    <row r="376" spans="2:2" x14ac:dyDescent="0.35">
      <c r="B376" s="8">
        <v>0.314</v>
      </c>
    </row>
    <row r="377" spans="2:2" x14ac:dyDescent="0.35">
      <c r="B377" s="8">
        <v>0</v>
      </c>
    </row>
    <row r="378" spans="2:2" x14ac:dyDescent="0.35">
      <c r="B378" s="8">
        <v>0.16</v>
      </c>
    </row>
    <row r="379" spans="2:2" x14ac:dyDescent="0.35">
      <c r="B379" s="8">
        <v>4.2999999999999997E-2</v>
      </c>
    </row>
    <row r="380" spans="2:2" x14ac:dyDescent="0.35">
      <c r="B380" s="8">
        <v>0</v>
      </c>
    </row>
    <row r="381" spans="2:2" x14ac:dyDescent="0.35">
      <c r="B381" s="8">
        <v>3.6999999999999998E-2</v>
      </c>
    </row>
    <row r="382" spans="2:2" x14ac:dyDescent="0.35">
      <c r="B382" s="8">
        <v>2.5000000000000001E-2</v>
      </c>
    </row>
    <row r="383" spans="2:2" x14ac:dyDescent="0.35">
      <c r="B383" s="8">
        <v>0.13400000000000001</v>
      </c>
    </row>
    <row r="384" spans="2:2" x14ac:dyDescent="0.35">
      <c r="B384" s="8">
        <v>0.24099999999999999</v>
      </c>
    </row>
    <row r="385" spans="2:2" x14ac:dyDescent="0.35">
      <c r="B385" s="8">
        <v>0.125</v>
      </c>
    </row>
    <row r="386" spans="2:2" x14ac:dyDescent="0.35">
      <c r="B386" s="8">
        <v>0.14299999999999999</v>
      </c>
    </row>
    <row r="387" spans="2:2" x14ac:dyDescent="0.35">
      <c r="B387" s="8">
        <v>0.11600000000000001</v>
      </c>
    </row>
    <row r="388" spans="2:2" x14ac:dyDescent="0.35">
      <c r="B388" s="8">
        <v>9.0999999999999998E-2</v>
      </c>
    </row>
    <row r="389" spans="2:2" x14ac:dyDescent="0.35">
      <c r="B389" s="8">
        <v>0.187</v>
      </c>
    </row>
    <row r="390" spans="2:2" x14ac:dyDescent="0.35">
      <c r="B390" s="8">
        <v>0.122</v>
      </c>
    </row>
    <row r="391" spans="2:2" x14ac:dyDescent="0.35">
      <c r="B391" s="8">
        <v>0.16300000000000001</v>
      </c>
    </row>
    <row r="392" spans="2:2" x14ac:dyDescent="0.35">
      <c r="B392" s="8">
        <v>0.13400000000000001</v>
      </c>
    </row>
    <row r="393" spans="2:2" x14ac:dyDescent="0.35">
      <c r="B393" s="8">
        <v>0.214</v>
      </c>
    </row>
    <row r="394" spans="2:2" x14ac:dyDescent="0.35">
      <c r="B394" s="8">
        <v>0.128</v>
      </c>
    </row>
    <row r="395" spans="2:2" x14ac:dyDescent="0.35">
      <c r="B395" s="8">
        <v>5.0999999999999997E-2</v>
      </c>
    </row>
    <row r="396" spans="2:2" x14ac:dyDescent="0.35">
      <c r="B396" s="8">
        <v>4.2000000000000003E-2</v>
      </c>
    </row>
    <row r="397" spans="2:2" x14ac:dyDescent="0.35">
      <c r="B397" s="8">
        <v>0.20300000000000001</v>
      </c>
    </row>
    <row r="398" spans="2:2" x14ac:dyDescent="0.35">
      <c r="B398" s="8">
        <v>0.126</v>
      </c>
    </row>
    <row r="399" spans="2:2" x14ac:dyDescent="0.35">
      <c r="B399" s="8">
        <v>0.16900000000000001</v>
      </c>
    </row>
    <row r="400" spans="2:2" x14ac:dyDescent="0.35">
      <c r="B400" s="8">
        <v>0.26600000000000001</v>
      </c>
    </row>
    <row r="401" spans="2:2" x14ac:dyDescent="0.35">
      <c r="B401" s="8">
        <v>0.159</v>
      </c>
    </row>
    <row r="402" spans="2:2" x14ac:dyDescent="0.35">
      <c r="B402" s="8">
        <v>2.1000000000000001E-2</v>
      </c>
    </row>
    <row r="403" spans="2:2" x14ac:dyDescent="0.35">
      <c r="B403" s="8">
        <v>0</v>
      </c>
    </row>
    <row r="404" spans="2:2" x14ac:dyDescent="0.35">
      <c r="B404" s="8">
        <v>0.152</v>
      </c>
    </row>
    <row r="405" spans="2:2" x14ac:dyDescent="0.35">
      <c r="B405" s="8">
        <v>6.3E-2</v>
      </c>
    </row>
    <row r="406" spans="2:2" x14ac:dyDescent="0.35">
      <c r="B406" s="8">
        <v>9.9000000000000005E-2</v>
      </c>
    </row>
    <row r="407" spans="2:2" x14ac:dyDescent="0.35">
      <c r="B407" s="8">
        <v>0.184</v>
      </c>
    </row>
    <row r="408" spans="2:2" x14ac:dyDescent="0.35">
      <c r="B408" s="8">
        <v>0.13900000000000001</v>
      </c>
    </row>
    <row r="409" spans="2:2" x14ac:dyDescent="0.35">
      <c r="B409" s="8">
        <v>0.14599999999999999</v>
      </c>
    </row>
    <row r="410" spans="2:2" x14ac:dyDescent="0.35">
      <c r="B410" s="8">
        <v>4.0000000000000001E-3</v>
      </c>
    </row>
    <row r="411" spans="2:2" x14ac:dyDescent="0.35">
      <c r="B411" s="8">
        <v>4.7E-2</v>
      </c>
    </row>
    <row r="412" spans="2:2" x14ac:dyDescent="0.35">
      <c r="B412" s="8">
        <v>0.187</v>
      </c>
    </row>
    <row r="413" spans="2:2" x14ac:dyDescent="0.35">
      <c r="B413" s="8">
        <v>0</v>
      </c>
    </row>
    <row r="414" spans="2:2" x14ac:dyDescent="0.35">
      <c r="B414" s="8">
        <v>0.29499999999999998</v>
      </c>
    </row>
    <row r="415" spans="2:2" x14ac:dyDescent="0.35">
      <c r="B415" s="8">
        <v>0</v>
      </c>
    </row>
    <row r="416" spans="2:2" x14ac:dyDescent="0.35">
      <c r="B416" s="8">
        <v>0.153</v>
      </c>
    </row>
    <row r="417" spans="2:2" x14ac:dyDescent="0.35">
      <c r="B417" s="8">
        <v>0.23699999999999999</v>
      </c>
    </row>
    <row r="418" spans="2:2" x14ac:dyDescent="0.35">
      <c r="B418" s="8">
        <v>0.185</v>
      </c>
    </row>
    <row r="419" spans="2:2" x14ac:dyDescent="0.35">
      <c r="B419" s="8">
        <v>0.02</v>
      </c>
    </row>
    <row r="420" spans="2:2" x14ac:dyDescent="0.35">
      <c r="B420" s="8">
        <v>0.318</v>
      </c>
    </row>
    <row r="421" spans="2:2" x14ac:dyDescent="0.35">
      <c r="B421" s="8">
        <v>0.14499999999999999</v>
      </c>
    </row>
    <row r="422" spans="2:2" x14ac:dyDescent="0.35">
      <c r="B422" s="8">
        <v>5.2999999999999999E-2</v>
      </c>
    </row>
    <row r="423" spans="2:2" x14ac:dyDescent="0.35">
      <c r="B423" s="8">
        <v>0</v>
      </c>
    </row>
    <row r="424" spans="2:2" x14ac:dyDescent="0.35">
      <c r="B424" s="8">
        <v>7.1999999999999995E-2</v>
      </c>
    </row>
    <row r="425" spans="2:2" x14ac:dyDescent="0.35">
      <c r="B425" s="8">
        <v>0.115</v>
      </c>
    </row>
    <row r="426" spans="2:2" x14ac:dyDescent="0.35">
      <c r="B426" s="8">
        <v>0.255</v>
      </c>
    </row>
    <row r="427" spans="2:2" x14ac:dyDescent="0.35">
      <c r="B427" s="8">
        <v>5.7000000000000002E-2</v>
      </c>
    </row>
    <row r="428" spans="2:2" x14ac:dyDescent="0.35">
      <c r="B428" s="8">
        <v>0</v>
      </c>
    </row>
    <row r="429" spans="2:2" x14ac:dyDescent="0.35">
      <c r="B429" s="8">
        <v>0.19700000000000001</v>
      </c>
    </row>
    <row r="430" spans="2:2" x14ac:dyDescent="0.35">
      <c r="B430" s="8">
        <v>0.106</v>
      </c>
    </row>
    <row r="431" spans="2:2" x14ac:dyDescent="0.35">
      <c r="B431" s="8">
        <v>0.29199999999999998</v>
      </c>
    </row>
    <row r="432" spans="2:2" x14ac:dyDescent="0.35">
      <c r="B432" s="8">
        <v>0.128</v>
      </c>
    </row>
    <row r="433" spans="2:2" x14ac:dyDescent="0.35">
      <c r="B433" s="8">
        <v>0.11</v>
      </c>
    </row>
    <row r="434" spans="2:2" x14ac:dyDescent="0.35">
      <c r="B434" s="8">
        <v>6.7000000000000004E-2</v>
      </c>
    </row>
    <row r="435" spans="2:2" x14ac:dyDescent="0.35">
      <c r="B435" s="8">
        <v>0.108</v>
      </c>
    </row>
    <row r="436" spans="2:2" x14ac:dyDescent="0.35">
      <c r="B436" s="8">
        <v>7.3999999999999996E-2</v>
      </c>
    </row>
    <row r="437" spans="2:2" x14ac:dyDescent="0.35">
      <c r="B437" s="8">
        <v>0.129</v>
      </c>
    </row>
    <row r="438" spans="2:2" x14ac:dyDescent="0.35">
      <c r="B438" s="8">
        <v>0.186</v>
      </c>
    </row>
    <row r="439" spans="2:2" x14ac:dyDescent="0.35">
      <c r="B439" s="8">
        <v>0.21099999999999999</v>
      </c>
    </row>
    <row r="440" spans="2:2" x14ac:dyDescent="0.35">
      <c r="B440" s="8">
        <v>0</v>
      </c>
    </row>
    <row r="441" spans="2:2" x14ac:dyDescent="0.35">
      <c r="B441" s="8">
        <v>0.16300000000000001</v>
      </c>
    </row>
    <row r="442" spans="2:2" x14ac:dyDescent="0.35">
      <c r="B442" s="8">
        <v>0</v>
      </c>
    </row>
    <row r="443" spans="2:2" x14ac:dyDescent="0.35">
      <c r="B443" s="8">
        <v>0.245</v>
      </c>
    </row>
    <row r="444" spans="2:2" x14ac:dyDescent="0.35">
      <c r="B444" s="8">
        <v>5.5E-2</v>
      </c>
    </row>
    <row r="445" spans="2:2" x14ac:dyDescent="0.35">
      <c r="B445" s="8">
        <v>0.23799999999999999</v>
      </c>
    </row>
    <row r="446" spans="2:2" x14ac:dyDescent="0.35">
      <c r="B446" s="8">
        <v>0.18</v>
      </c>
    </row>
    <row r="447" spans="2:2" x14ac:dyDescent="0.35">
      <c r="B447" s="8">
        <v>0.17</v>
      </c>
    </row>
    <row r="448" spans="2:2" x14ac:dyDescent="0.35">
      <c r="B448" s="8">
        <v>9.1999999999999998E-2</v>
      </c>
    </row>
    <row r="449" spans="2:2" x14ac:dyDescent="0.35">
      <c r="B449" s="8">
        <v>0.109</v>
      </c>
    </row>
    <row r="450" spans="2:2" x14ac:dyDescent="0.35">
      <c r="B450" s="8">
        <v>5.8999999999999997E-2</v>
      </c>
    </row>
    <row r="451" spans="2:2" x14ac:dyDescent="0.35">
      <c r="B451" s="8">
        <v>0.24099999999999999</v>
      </c>
    </row>
    <row r="452" spans="2:2" x14ac:dyDescent="0.35">
      <c r="B452" s="8">
        <v>8.9999999999999993E-3</v>
      </c>
    </row>
    <row r="453" spans="2:2" x14ac:dyDescent="0.35">
      <c r="B453" s="8">
        <v>4.7E-2</v>
      </c>
    </row>
    <row r="454" spans="2:2" x14ac:dyDescent="0.35">
      <c r="B454" s="8">
        <v>0.14699999999999999</v>
      </c>
    </row>
    <row r="455" spans="2:2" x14ac:dyDescent="0.35">
      <c r="B455" s="8">
        <v>0.10199999999999999</v>
      </c>
    </row>
    <row r="456" spans="2:2" x14ac:dyDescent="0.35">
      <c r="B456" s="8">
        <v>7.6999999999999999E-2</v>
      </c>
    </row>
    <row r="457" spans="2:2" x14ac:dyDescent="0.35">
      <c r="B457" s="8">
        <v>0.192</v>
      </c>
    </row>
    <row r="458" spans="2:2" x14ac:dyDescent="0.35">
      <c r="B458" s="8">
        <v>0.01</v>
      </c>
    </row>
    <row r="459" spans="2:2" x14ac:dyDescent="0.35">
      <c r="B459" s="8">
        <v>0.113</v>
      </c>
    </row>
    <row r="460" spans="2:2" x14ac:dyDescent="0.35">
      <c r="B460" s="8">
        <v>0.14699999999999999</v>
      </c>
    </row>
    <row r="461" spans="2:2" x14ac:dyDescent="0.35">
      <c r="B461" s="8">
        <v>8.6999999999999994E-2</v>
      </c>
    </row>
    <row r="462" spans="2:2" x14ac:dyDescent="0.35">
      <c r="B462" s="8">
        <v>0.184</v>
      </c>
    </row>
    <row r="463" spans="2:2" x14ac:dyDescent="0.35">
      <c r="B463" s="8">
        <v>0.111</v>
      </c>
    </row>
    <row r="464" spans="2:2" x14ac:dyDescent="0.35">
      <c r="B464" s="8">
        <v>0</v>
      </c>
    </row>
    <row r="465" spans="2:2" x14ac:dyDescent="0.35">
      <c r="B465" s="8">
        <v>0.185</v>
      </c>
    </row>
    <row r="466" spans="2:2" x14ac:dyDescent="0.35">
      <c r="B466" s="8">
        <v>0.25</v>
      </c>
    </row>
    <row r="467" spans="2:2" x14ac:dyDescent="0.35">
      <c r="B467" s="8">
        <v>0</v>
      </c>
    </row>
    <row r="468" spans="2:2" x14ac:dyDescent="0.35">
      <c r="B468" s="8">
        <v>9.1999999999999998E-2</v>
      </c>
    </row>
    <row r="469" spans="2:2" x14ac:dyDescent="0.35">
      <c r="B469" s="8">
        <v>0.187</v>
      </c>
    </row>
    <row r="470" spans="2:2" x14ac:dyDescent="0.35">
      <c r="B470" s="8">
        <v>0.19</v>
      </c>
    </row>
    <row r="471" spans="2:2" x14ac:dyDescent="0.35">
      <c r="B471" s="8">
        <v>6.5000000000000002E-2</v>
      </c>
    </row>
    <row r="472" spans="2:2" x14ac:dyDescent="0.35">
      <c r="B472" s="8">
        <v>0.21099999999999999</v>
      </c>
    </row>
    <row r="473" spans="2:2" x14ac:dyDescent="0.35">
      <c r="B473" s="8">
        <v>0.11899999999999999</v>
      </c>
    </row>
    <row r="474" spans="2:2" x14ac:dyDescent="0.35">
      <c r="B474" s="8">
        <v>0.111</v>
      </c>
    </row>
    <row r="475" spans="2:2" x14ac:dyDescent="0.35">
      <c r="B475" s="8">
        <v>0.182</v>
      </c>
    </row>
    <row r="476" spans="2:2" x14ac:dyDescent="0.35">
      <c r="B476" s="8">
        <v>0.14799999999999999</v>
      </c>
    </row>
    <row r="477" spans="2:2" x14ac:dyDescent="0.35">
      <c r="B477" s="8">
        <v>0</v>
      </c>
    </row>
    <row r="478" spans="2:2" x14ac:dyDescent="0.35">
      <c r="B478" s="8">
        <v>0.153</v>
      </c>
    </row>
    <row r="479" spans="2:2" x14ac:dyDescent="0.35">
      <c r="B479" s="8">
        <v>0</v>
      </c>
    </row>
    <row r="480" spans="2:2" x14ac:dyDescent="0.35">
      <c r="B480" s="8">
        <v>0</v>
      </c>
    </row>
    <row r="481" spans="2:2" x14ac:dyDescent="0.35">
      <c r="B481" s="8">
        <v>0.16300000000000001</v>
      </c>
    </row>
    <row r="482" spans="2:2" x14ac:dyDescent="0.35">
      <c r="B482" s="8">
        <v>0.19600000000000001</v>
      </c>
    </row>
    <row r="483" spans="2:2" x14ac:dyDescent="0.35">
      <c r="B483" s="8">
        <v>5.5E-2</v>
      </c>
    </row>
    <row r="484" spans="2:2" x14ac:dyDescent="0.35">
      <c r="B484" s="8">
        <v>6.8000000000000005E-2</v>
      </c>
    </row>
    <row r="485" spans="2:2" x14ac:dyDescent="0.35">
      <c r="B485" s="8">
        <v>3.2000000000000001E-2</v>
      </c>
    </row>
    <row r="486" spans="2:2" x14ac:dyDescent="0.35">
      <c r="B486" s="8">
        <v>0.13500000000000001</v>
      </c>
    </row>
    <row r="487" spans="2:2" x14ac:dyDescent="0.35">
      <c r="B487" s="8">
        <v>3.5000000000000003E-2</v>
      </c>
    </row>
    <row r="488" spans="2:2" x14ac:dyDescent="0.35">
      <c r="B488" s="8">
        <v>6.3E-2</v>
      </c>
    </row>
    <row r="489" spans="2:2" x14ac:dyDescent="0.35">
      <c r="B489" s="8">
        <v>0.127</v>
      </c>
    </row>
    <row r="490" spans="2:2" x14ac:dyDescent="0.35">
      <c r="B490" s="8">
        <v>8.6999999999999994E-2</v>
      </c>
    </row>
    <row r="491" spans="2:2" x14ac:dyDescent="0.35">
      <c r="B491" s="8">
        <v>8.7999999999999995E-2</v>
      </c>
    </row>
    <row r="492" spans="2:2" x14ac:dyDescent="0.35">
      <c r="B492" s="8">
        <v>4.2000000000000003E-2</v>
      </c>
    </row>
    <row r="493" spans="2:2" x14ac:dyDescent="0.35">
      <c r="B493" s="8">
        <v>4.2999999999999997E-2</v>
      </c>
    </row>
    <row r="494" spans="2:2" x14ac:dyDescent="0.35">
      <c r="B494" s="8">
        <v>0.17399999999999999</v>
      </c>
    </row>
    <row r="495" spans="2:2" x14ac:dyDescent="0.35">
      <c r="B495" s="8">
        <v>0.13800000000000001</v>
      </c>
    </row>
    <row r="496" spans="2:2" x14ac:dyDescent="0.35">
      <c r="B496" s="8">
        <v>1.9E-2</v>
      </c>
    </row>
    <row r="497" spans="2:2" x14ac:dyDescent="0.35">
      <c r="B497" s="8">
        <v>0.17299999999999999</v>
      </c>
    </row>
    <row r="498" spans="2:2" x14ac:dyDescent="0.35">
      <c r="B498" s="8">
        <v>0.14199999999999999</v>
      </c>
    </row>
    <row r="499" spans="2:2" x14ac:dyDescent="0.35">
      <c r="B499" s="8">
        <v>9.4E-2</v>
      </c>
    </row>
    <row r="500" spans="2:2" x14ac:dyDescent="0.35">
      <c r="B500" s="8">
        <v>0.19600000000000001</v>
      </c>
    </row>
    <row r="501" spans="2:2" x14ac:dyDescent="0.35">
      <c r="B501" s="8">
        <v>7.0000000000000007E-2</v>
      </c>
    </row>
    <row r="502" spans="2:2" x14ac:dyDescent="0.35">
      <c r="B502" s="8">
        <v>0.187</v>
      </c>
    </row>
    <row r="503" spans="2:2" x14ac:dyDescent="0.35">
      <c r="B503" s="8">
        <v>0.122</v>
      </c>
    </row>
    <row r="504" spans="2:2" x14ac:dyDescent="0.35">
      <c r="B504" s="8">
        <v>8.1000000000000003E-2</v>
      </c>
    </row>
    <row r="505" spans="2:2" x14ac:dyDescent="0.35">
      <c r="B505" s="8">
        <v>0.317</v>
      </c>
    </row>
    <row r="506" spans="2:2" x14ac:dyDescent="0.35">
      <c r="B506" s="8">
        <v>0.217</v>
      </c>
    </row>
    <row r="507" spans="2:2" x14ac:dyDescent="0.35">
      <c r="B507" s="8">
        <v>0.105</v>
      </c>
    </row>
    <row r="508" spans="2:2" x14ac:dyDescent="0.35">
      <c r="B508" s="8">
        <v>8.9999999999999993E-3</v>
      </c>
    </row>
    <row r="509" spans="2:2" x14ac:dyDescent="0.35">
      <c r="B509" s="8">
        <v>4.5999999999999999E-2</v>
      </c>
    </row>
    <row r="510" spans="2:2" x14ac:dyDescent="0.35">
      <c r="B510" s="8">
        <v>0.10100000000000001</v>
      </c>
    </row>
    <row r="511" spans="2:2" x14ac:dyDescent="0.35">
      <c r="B511" s="8">
        <v>6.4000000000000001E-2</v>
      </c>
    </row>
    <row r="512" spans="2:2" x14ac:dyDescent="0.35">
      <c r="B512" s="8">
        <v>0.104</v>
      </c>
    </row>
    <row r="513" spans="2:2" x14ac:dyDescent="0.35">
      <c r="B513" s="8">
        <v>0.1</v>
      </c>
    </row>
    <row r="514" spans="2:2" x14ac:dyDescent="0.35">
      <c r="B514" s="8">
        <v>7.1999999999999995E-2</v>
      </c>
    </row>
    <row r="515" spans="2:2" x14ac:dyDescent="0.35">
      <c r="B515" s="8">
        <v>0.156</v>
      </c>
    </row>
    <row r="516" spans="2:2" x14ac:dyDescent="0.35">
      <c r="B516" s="8">
        <v>0.29299999999999998</v>
      </c>
    </row>
    <row r="517" spans="2:2" x14ac:dyDescent="0.35">
      <c r="B517" s="8">
        <v>0</v>
      </c>
    </row>
    <row r="518" spans="2:2" x14ac:dyDescent="0.35">
      <c r="B518" s="8">
        <v>1.4E-2</v>
      </c>
    </row>
    <row r="519" spans="2:2" x14ac:dyDescent="0.35">
      <c r="B519" s="8">
        <v>0.13400000000000001</v>
      </c>
    </row>
    <row r="520" spans="2:2" x14ac:dyDescent="0.35">
      <c r="B520" s="8">
        <v>3.4000000000000002E-2</v>
      </c>
    </row>
    <row r="521" spans="2:2" x14ac:dyDescent="0.35">
      <c r="B521" s="8">
        <v>0.14699999999999999</v>
      </c>
    </row>
    <row r="522" spans="2:2" x14ac:dyDescent="0.35">
      <c r="B522" s="8">
        <v>0.13900000000000001</v>
      </c>
    </row>
    <row r="523" spans="2:2" x14ac:dyDescent="0.35">
      <c r="B523" s="8">
        <v>0.14199999999999999</v>
      </c>
    </row>
    <row r="524" spans="2:2" x14ac:dyDescent="0.35">
      <c r="B524" s="8">
        <v>3.7999999999999999E-2</v>
      </c>
    </row>
    <row r="525" spans="2:2" x14ac:dyDescent="0.35">
      <c r="B525" s="8">
        <v>0.124</v>
      </c>
    </row>
    <row r="526" spans="2:2" x14ac:dyDescent="0.35">
      <c r="B526" s="8">
        <v>0.08</v>
      </c>
    </row>
    <row r="527" spans="2:2" x14ac:dyDescent="0.35">
      <c r="B527" s="8">
        <v>2.5000000000000001E-2</v>
      </c>
    </row>
    <row r="528" spans="2:2" x14ac:dyDescent="0.35">
      <c r="B528" s="8">
        <v>2.9000000000000001E-2</v>
      </c>
    </row>
    <row r="529" spans="2:2" x14ac:dyDescent="0.35">
      <c r="B529" s="8">
        <v>0.255</v>
      </c>
    </row>
    <row r="530" spans="2:2" x14ac:dyDescent="0.35">
      <c r="B530" s="8">
        <v>0.13100000000000001</v>
      </c>
    </row>
    <row r="531" spans="2:2" x14ac:dyDescent="0.35">
      <c r="B531" s="8">
        <v>0.126</v>
      </c>
    </row>
    <row r="532" spans="2:2" x14ac:dyDescent="0.35">
      <c r="B532" s="8">
        <v>4.1000000000000002E-2</v>
      </c>
    </row>
    <row r="533" spans="2:2" x14ac:dyDescent="0.35">
      <c r="B533" s="8">
        <v>0.186</v>
      </c>
    </row>
    <row r="534" spans="2:2" x14ac:dyDescent="0.35">
      <c r="B534" s="8">
        <v>0.151</v>
      </c>
    </row>
    <row r="535" spans="2:2" x14ac:dyDescent="0.35">
      <c r="B535" s="8">
        <v>0.114</v>
      </c>
    </row>
    <row r="536" spans="2:2" x14ac:dyDescent="0.35">
      <c r="B536" s="8">
        <v>0.215</v>
      </c>
    </row>
    <row r="537" spans="2:2" x14ac:dyDescent="0.35">
      <c r="B537" s="8">
        <v>0.109</v>
      </c>
    </row>
    <row r="538" spans="2:2" x14ac:dyDescent="0.35">
      <c r="B538" s="8">
        <v>0.2</v>
      </c>
    </row>
    <row r="539" spans="2:2" x14ac:dyDescent="0.35">
      <c r="B539" s="8">
        <v>0.14499999999999999</v>
      </c>
    </row>
    <row r="540" spans="2:2" x14ac:dyDescent="0.35">
      <c r="B540" s="8">
        <v>0.23499999999999999</v>
      </c>
    </row>
    <row r="541" spans="2:2" x14ac:dyDescent="0.35">
      <c r="B541" s="8">
        <v>7.3999999999999996E-2</v>
      </c>
    </row>
    <row r="542" spans="2:2" x14ac:dyDescent="0.35">
      <c r="B542" s="8">
        <v>5.2999999999999999E-2</v>
      </c>
    </row>
    <row r="543" spans="2:2" x14ac:dyDescent="0.35">
      <c r="B543" s="8">
        <v>0.20499999999999999</v>
      </c>
    </row>
    <row r="544" spans="2:2" x14ac:dyDescent="0.35">
      <c r="B544" s="8">
        <v>0.17499999999999999</v>
      </c>
    </row>
    <row r="545" spans="2:2" x14ac:dyDescent="0.35">
      <c r="B545" s="8">
        <v>5.6000000000000001E-2</v>
      </c>
    </row>
    <row r="546" spans="2:2" x14ac:dyDescent="0.35">
      <c r="B546" s="8">
        <v>0.104</v>
      </c>
    </row>
    <row r="547" spans="2:2" x14ac:dyDescent="0.35">
      <c r="B547" s="8">
        <v>8.4000000000000005E-2</v>
      </c>
    </row>
    <row r="548" spans="2:2" x14ac:dyDescent="0.35">
      <c r="B548" s="8">
        <v>5.3999999999999999E-2</v>
      </c>
    </row>
    <row r="549" spans="2:2" x14ac:dyDescent="0.35">
      <c r="B549" s="8">
        <v>0.13500000000000001</v>
      </c>
    </row>
    <row r="550" spans="2:2" x14ac:dyDescent="0.35">
      <c r="B550" s="8">
        <v>9.5000000000000001E-2</v>
      </c>
    </row>
    <row r="551" spans="2:2" x14ac:dyDescent="0.35">
      <c r="B551" s="8">
        <v>0.15</v>
      </c>
    </row>
    <row r="552" spans="2:2" x14ac:dyDescent="0.35">
      <c r="B552" s="8">
        <v>0.114</v>
      </c>
    </row>
    <row r="553" spans="2:2" x14ac:dyDescent="0.35">
      <c r="B553" s="8">
        <v>0.107</v>
      </c>
    </row>
    <row r="554" spans="2:2" x14ac:dyDescent="0.35">
      <c r="B554" s="8">
        <v>0.17599999999999999</v>
      </c>
    </row>
    <row r="555" spans="2:2" x14ac:dyDescent="0.35">
      <c r="B555" s="8">
        <v>0.34599999999999997</v>
      </c>
    </row>
    <row r="556" spans="2:2" x14ac:dyDescent="0.35">
      <c r="B556" s="8">
        <v>0.14899999999999999</v>
      </c>
    </row>
    <row r="557" spans="2:2" x14ac:dyDescent="0.35">
      <c r="B557" s="8">
        <v>3.7999999999999999E-2</v>
      </c>
    </row>
    <row r="558" spans="2:2" x14ac:dyDescent="0.35">
      <c r="B558" s="8">
        <v>7.8E-2</v>
      </c>
    </row>
    <row r="559" spans="2:2" x14ac:dyDescent="0.35">
      <c r="B559" s="8">
        <v>9.8000000000000004E-2</v>
      </c>
    </row>
    <row r="560" spans="2:2" x14ac:dyDescent="0.35">
      <c r="B560" s="8">
        <v>0.14599999999999999</v>
      </c>
    </row>
    <row r="561" spans="2:2" x14ac:dyDescent="0.35">
      <c r="B561" s="8">
        <v>0.113</v>
      </c>
    </row>
    <row r="562" spans="2:2" x14ac:dyDescent="0.35">
      <c r="B562" s="8">
        <v>0.09</v>
      </c>
    </row>
    <row r="563" spans="2:2" x14ac:dyDescent="0.35">
      <c r="B563" s="8">
        <v>0.23</v>
      </c>
    </row>
    <row r="564" spans="2:2" x14ac:dyDescent="0.35">
      <c r="B564" s="8">
        <v>0.157</v>
      </c>
    </row>
    <row r="565" spans="2:2" x14ac:dyDescent="0.35">
      <c r="B565" s="8">
        <v>0.09</v>
      </c>
    </row>
    <row r="566" spans="2:2" x14ac:dyDescent="0.35">
      <c r="B566" s="8">
        <v>7.4999999999999997E-2</v>
      </c>
    </row>
    <row r="567" spans="2:2" x14ac:dyDescent="0.35">
      <c r="B567" s="8">
        <v>0.14399999999999999</v>
      </c>
    </row>
    <row r="568" spans="2:2" x14ac:dyDescent="0.35">
      <c r="B568" s="8">
        <v>0.115</v>
      </c>
    </row>
    <row r="569" spans="2:2" x14ac:dyDescent="0.35">
      <c r="B569" s="8">
        <v>0.12</v>
      </c>
    </row>
    <row r="570" spans="2:2" x14ac:dyDescent="0.35">
      <c r="B570" s="8">
        <v>8.9999999999999993E-3</v>
      </c>
    </row>
    <row r="571" spans="2:2" x14ac:dyDescent="0.35">
      <c r="B571" s="8">
        <v>0.08</v>
      </c>
    </row>
    <row r="572" spans="2:2" x14ac:dyDescent="0.35">
      <c r="B572" s="8">
        <v>0.113</v>
      </c>
    </row>
    <row r="573" spans="2:2" x14ac:dyDescent="0.35">
      <c r="B573" s="8">
        <v>0.123</v>
      </c>
    </row>
    <row r="574" spans="2:2" x14ac:dyDescent="0.35">
      <c r="B574" s="8">
        <v>9.7000000000000003E-2</v>
      </c>
    </row>
    <row r="575" spans="2:2" x14ac:dyDescent="0.35">
      <c r="B575" s="8">
        <v>5.7000000000000002E-2</v>
      </c>
    </row>
    <row r="576" spans="2:2" x14ac:dyDescent="0.35">
      <c r="B576" s="8">
        <v>0.17399999999999999</v>
      </c>
    </row>
    <row r="577" spans="2:2" x14ac:dyDescent="0.35">
      <c r="B577" s="8">
        <v>0.13600000000000001</v>
      </c>
    </row>
    <row r="578" spans="2:2" x14ac:dyDescent="0.35">
      <c r="B578" s="8">
        <v>0.151</v>
      </c>
    </row>
    <row r="579" spans="2:2" x14ac:dyDescent="0.35">
      <c r="B579" s="8">
        <v>0.115</v>
      </c>
    </row>
    <row r="580" spans="2:2" x14ac:dyDescent="0.35">
      <c r="B580" s="8">
        <v>0.248</v>
      </c>
    </row>
    <row r="581" spans="2:2" x14ac:dyDescent="0.35">
      <c r="B581" s="8">
        <v>7.8E-2</v>
      </c>
    </row>
    <row r="582" spans="2:2" x14ac:dyDescent="0.35">
      <c r="B582" s="8">
        <v>9.1999999999999998E-2</v>
      </c>
    </row>
    <row r="583" spans="2:2" x14ac:dyDescent="0.35">
      <c r="B583" s="8">
        <v>0.20499999999999999</v>
      </c>
    </row>
    <row r="584" spans="2:2" x14ac:dyDescent="0.35">
      <c r="B584" s="8">
        <v>9.9000000000000005E-2</v>
      </c>
    </row>
    <row r="585" spans="2:2" x14ac:dyDescent="0.35">
      <c r="B585" s="8">
        <v>0.157</v>
      </c>
    </row>
    <row r="586" spans="2:2" x14ac:dyDescent="0.35">
      <c r="B586" s="8">
        <v>7.3999999999999996E-2</v>
      </c>
    </row>
    <row r="587" spans="2:2" x14ac:dyDescent="0.35">
      <c r="B587" s="8">
        <v>4.2999999999999997E-2</v>
      </c>
    </row>
    <row r="588" spans="2:2" x14ac:dyDescent="0.35">
      <c r="B588" s="8">
        <v>0.13200000000000001</v>
      </c>
    </row>
    <row r="589" spans="2:2" x14ac:dyDescent="0.35">
      <c r="B589" s="8">
        <v>0.109</v>
      </c>
    </row>
    <row r="590" spans="2:2" x14ac:dyDescent="0.35">
      <c r="B590" s="8">
        <v>0.10199999999999999</v>
      </c>
    </row>
    <row r="591" spans="2:2" x14ac:dyDescent="0.35">
      <c r="B591" s="8">
        <v>5.0999999999999997E-2</v>
      </c>
    </row>
    <row r="592" spans="2:2" x14ac:dyDescent="0.35">
      <c r="B592" s="8">
        <v>0.17199999999999999</v>
      </c>
    </row>
    <row r="593" spans="2:2" x14ac:dyDescent="0.35">
      <c r="B593" s="8">
        <v>0.113</v>
      </c>
    </row>
    <row r="594" spans="2:2" x14ac:dyDescent="0.35">
      <c r="B594" s="8">
        <v>0.109</v>
      </c>
    </row>
    <row r="595" spans="2:2" x14ac:dyDescent="0.35">
      <c r="B595" s="8">
        <v>0.13600000000000001</v>
      </c>
    </row>
    <row r="596" spans="2:2" x14ac:dyDescent="0.35">
      <c r="B596" s="8">
        <v>9.1999999999999998E-2</v>
      </c>
    </row>
    <row r="597" spans="2:2" x14ac:dyDescent="0.35">
      <c r="B597" s="8">
        <v>7.8E-2</v>
      </c>
    </row>
    <row r="598" spans="2:2" x14ac:dyDescent="0.35">
      <c r="B598" s="8">
        <v>8.3000000000000004E-2</v>
      </c>
    </row>
    <row r="599" spans="2:2" x14ac:dyDescent="0.35">
      <c r="B599" s="8">
        <v>8.4000000000000005E-2</v>
      </c>
    </row>
    <row r="600" spans="2:2" x14ac:dyDescent="0.35">
      <c r="B600" s="8">
        <v>0.25700000000000001</v>
      </c>
    </row>
    <row r="601" spans="2:2" x14ac:dyDescent="0.35">
      <c r="B601" s="8">
        <v>0.14599999999999999</v>
      </c>
    </row>
    <row r="602" spans="2:2" x14ac:dyDescent="0.35">
      <c r="B602" s="8">
        <v>0.18099999999999999</v>
      </c>
    </row>
    <row r="603" spans="2:2" x14ac:dyDescent="0.35">
      <c r="B603" s="8">
        <v>0.13600000000000001</v>
      </c>
    </row>
    <row r="604" spans="2:2" x14ac:dyDescent="0.35">
      <c r="B604" s="8">
        <v>7.1999999999999995E-2</v>
      </c>
    </row>
    <row r="605" spans="2:2" x14ac:dyDescent="0.35">
      <c r="B605" s="8">
        <v>0.17899999999999999</v>
      </c>
    </row>
    <row r="606" spans="2:2" x14ac:dyDescent="0.35">
      <c r="B606" s="8">
        <v>0</v>
      </c>
    </row>
    <row r="607" spans="2:2" x14ac:dyDescent="0.35">
      <c r="B607" s="8">
        <v>0.21199999999999999</v>
      </c>
    </row>
    <row r="608" spans="2:2" x14ac:dyDescent="0.35">
      <c r="B608" s="8">
        <v>0.188</v>
      </c>
    </row>
    <row r="609" spans="2:2" x14ac:dyDescent="0.35">
      <c r="B609" s="8">
        <v>0.17599999999999999</v>
      </c>
    </row>
    <row r="610" spans="2:2" x14ac:dyDescent="0.35">
      <c r="B610" s="8">
        <v>0.123</v>
      </c>
    </row>
    <row r="611" spans="2:2" x14ac:dyDescent="0.35">
      <c r="B611" s="8">
        <v>7.0999999999999994E-2</v>
      </c>
    </row>
    <row r="612" spans="2:2" x14ac:dyDescent="0.35">
      <c r="B612" s="8">
        <v>0.20499999999999999</v>
      </c>
    </row>
    <row r="613" spans="2:2" x14ac:dyDescent="0.35">
      <c r="B613" s="8">
        <v>0</v>
      </c>
    </row>
    <row r="614" spans="2:2" x14ac:dyDescent="0.35">
      <c r="B614" s="8">
        <v>0.21199999999999999</v>
      </c>
    </row>
    <row r="615" spans="2:2" x14ac:dyDescent="0.35">
      <c r="B615" s="8">
        <v>0.17299999999999999</v>
      </c>
    </row>
    <row r="616" spans="2:2" x14ac:dyDescent="0.35">
      <c r="B616" s="8">
        <v>0.10299999999999999</v>
      </c>
    </row>
    <row r="617" spans="2:2" x14ac:dyDescent="0.35">
      <c r="B617" s="8">
        <v>5.5E-2</v>
      </c>
    </row>
    <row r="618" spans="2:2" x14ac:dyDescent="0.35">
      <c r="B618" s="8">
        <v>0.14599999999999999</v>
      </c>
    </row>
    <row r="619" spans="2:2" x14ac:dyDescent="0.35">
      <c r="B619" s="8">
        <v>0.25</v>
      </c>
    </row>
    <row r="620" spans="2:2" x14ac:dyDescent="0.35">
      <c r="B620" s="8">
        <v>0.13200000000000001</v>
      </c>
    </row>
    <row r="621" spans="2:2" x14ac:dyDescent="0.35">
      <c r="B621" s="8">
        <v>0.17399999999999999</v>
      </c>
    </row>
    <row r="622" spans="2:2" x14ac:dyDescent="0.35">
      <c r="B622" s="8">
        <v>0</v>
      </c>
    </row>
    <row r="623" spans="2:2" x14ac:dyDescent="0.35">
      <c r="B623" s="8">
        <v>0.19600000000000001</v>
      </c>
    </row>
    <row r="624" spans="2:2" x14ac:dyDescent="0.35">
      <c r="B624" s="8">
        <v>0.183</v>
      </c>
    </row>
    <row r="625" spans="2:2" x14ac:dyDescent="0.35">
      <c r="B625" s="8">
        <v>0.218</v>
      </c>
    </row>
    <row r="626" spans="2:2" x14ac:dyDescent="0.35">
      <c r="B626" s="8">
        <v>0.11</v>
      </c>
    </row>
    <row r="627" spans="2:2" x14ac:dyDescent="0.35">
      <c r="B627" s="8">
        <v>0.16</v>
      </c>
    </row>
    <row r="628" spans="2:2" x14ac:dyDescent="0.35">
      <c r="B628" s="8">
        <v>0.185</v>
      </c>
    </row>
    <row r="629" spans="2:2" x14ac:dyDescent="0.35">
      <c r="B629" s="8">
        <v>0.107</v>
      </c>
    </row>
    <row r="630" spans="2:2" x14ac:dyDescent="0.35">
      <c r="B630" s="8">
        <v>0.23899999999999999</v>
      </c>
    </row>
    <row r="631" spans="2:2" x14ac:dyDescent="0.35">
      <c r="B631" s="8">
        <v>8.3000000000000004E-2</v>
      </c>
    </row>
    <row r="632" spans="2:2" x14ac:dyDescent="0.35">
      <c r="B632" s="8">
        <v>0.21199999999999999</v>
      </c>
    </row>
    <row r="633" spans="2:2" x14ac:dyDescent="0.35">
      <c r="B633" s="8">
        <v>0.16800000000000001</v>
      </c>
    </row>
  </sheetData>
  <conditionalFormatting sqref="B1:B1048576">
    <cfRule type="cellIs" dxfId="798" priority="1" operator="greaterThan">
      <formula>0.3</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DBCE-5835-42F6-86A2-110ACB3C16AB}">
  <dimension ref="A3:C11"/>
  <sheetViews>
    <sheetView workbookViewId="0">
      <selection activeCell="O10" sqref="O10"/>
    </sheetView>
  </sheetViews>
  <sheetFormatPr defaultRowHeight="14.5" x14ac:dyDescent="0.35"/>
  <cols>
    <col min="1" max="1" width="16.6328125" bestFit="1" customWidth="1"/>
    <col min="2" max="2" width="15.26953125" bestFit="1" customWidth="1"/>
    <col min="3" max="3" width="10.7265625" bestFit="1" customWidth="1"/>
    <col min="4" max="5" width="9.36328125" bestFit="1" customWidth="1"/>
    <col min="6" max="6" width="10.7265625" bestFit="1" customWidth="1"/>
    <col min="7" max="7" width="9.36328125" bestFit="1" customWidth="1"/>
    <col min="8" max="8" width="10.7265625" bestFit="1" customWidth="1"/>
  </cols>
  <sheetData>
    <row r="3" spans="1:3" x14ac:dyDescent="0.35">
      <c r="A3" s="11" t="s">
        <v>1485</v>
      </c>
      <c r="B3" s="11" t="s">
        <v>1444</v>
      </c>
    </row>
    <row r="4" spans="1:3" x14ac:dyDescent="0.35">
      <c r="A4" s="11" t="s">
        <v>1442</v>
      </c>
      <c r="B4" t="s">
        <v>646</v>
      </c>
      <c r="C4" t="s">
        <v>1443</v>
      </c>
    </row>
    <row r="5" spans="1:3" x14ac:dyDescent="0.35">
      <c r="A5" s="12" t="s">
        <v>711</v>
      </c>
      <c r="B5" s="6">
        <v>113946.29336999998</v>
      </c>
      <c r="C5" s="6">
        <v>113946.29336999998</v>
      </c>
    </row>
    <row r="6" spans="1:3" x14ac:dyDescent="0.35">
      <c r="A6" s="12" t="s">
        <v>710</v>
      </c>
      <c r="B6" s="6">
        <v>58662.089660000005</v>
      </c>
      <c r="C6" s="6">
        <v>58662.089660000005</v>
      </c>
    </row>
    <row r="7" spans="1:3" x14ac:dyDescent="0.35">
      <c r="A7" s="12" t="s">
        <v>709</v>
      </c>
      <c r="B7" s="6">
        <v>2699.9740400000014</v>
      </c>
      <c r="C7" s="6">
        <v>2699.9740400000014</v>
      </c>
    </row>
    <row r="8" spans="1:3" x14ac:dyDescent="0.35">
      <c r="A8" s="12" t="s">
        <v>1423</v>
      </c>
      <c r="B8" s="6">
        <v>-149.63339999999971</v>
      </c>
      <c r="C8" s="6">
        <v>-149.63339999999971</v>
      </c>
    </row>
    <row r="9" spans="1:3" x14ac:dyDescent="0.35">
      <c r="A9" s="12" t="s">
        <v>708</v>
      </c>
      <c r="B9" s="6">
        <v>50056.937190000019</v>
      </c>
      <c r="C9" s="6">
        <v>50056.937190000019</v>
      </c>
    </row>
    <row r="10" spans="1:3" x14ac:dyDescent="0.35">
      <c r="A10" s="12" t="s">
        <v>707</v>
      </c>
      <c r="B10" s="6">
        <v>50680.041749999982</v>
      </c>
      <c r="C10" s="6">
        <v>50680.041749999982</v>
      </c>
    </row>
    <row r="11" spans="1:3" x14ac:dyDescent="0.35">
      <c r="A11" s="12" t="s">
        <v>1443</v>
      </c>
      <c r="B11" s="6">
        <v>275895.70261000004</v>
      </c>
      <c r="C11" s="6">
        <v>275895.70261000004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05D7-4F0F-4E77-B721-A4FDAEC3F743}">
  <dimension ref="C3:W12"/>
  <sheetViews>
    <sheetView zoomScale="40" zoomScaleNormal="70" workbookViewId="0">
      <selection activeCell="AF50" sqref="AF50"/>
    </sheetView>
  </sheetViews>
  <sheetFormatPr defaultRowHeight="14.5" x14ac:dyDescent="0.35"/>
  <cols>
    <col min="3" max="3" width="18.7265625" customWidth="1"/>
    <col min="4" max="4" width="14.36328125" customWidth="1"/>
    <col min="5" max="5" width="14.6328125" customWidth="1"/>
    <col min="6" max="6" width="12.90625" customWidth="1"/>
    <col min="7" max="7" width="10.90625" customWidth="1"/>
  </cols>
  <sheetData>
    <row r="3" spans="3:23" x14ac:dyDescent="0.35">
      <c r="C3" t="s">
        <v>1402</v>
      </c>
      <c r="D3" s="18">
        <v>0.2</v>
      </c>
    </row>
    <row r="4" spans="3:23" x14ac:dyDescent="0.35">
      <c r="C4" t="s">
        <v>1403</v>
      </c>
      <c r="D4" s="18">
        <v>0.05</v>
      </c>
    </row>
    <row r="5" spans="3:23" x14ac:dyDescent="0.35">
      <c r="C5" t="s">
        <v>1404</v>
      </c>
      <c r="D5" s="18">
        <v>0.15</v>
      </c>
    </row>
    <row r="12" spans="3:23" ht="26" x14ac:dyDescent="0.6">
      <c r="C12" s="6"/>
      <c r="D12" s="6"/>
      <c r="E12" s="18"/>
      <c r="F12" s="23">
        <f>'Staging Data'!X634</f>
        <v>10928845.716499997</v>
      </c>
      <c r="G12" s="23"/>
      <c r="I12" s="24">
        <f>'Staging Data'!Z634</f>
        <v>3401098.0064999978</v>
      </c>
      <c r="J12" s="24"/>
      <c r="K12" s="24"/>
      <c r="M12" s="25">
        <f>'Staging Data'!AM2</f>
        <v>0.31120377162659879</v>
      </c>
      <c r="N12" s="25"/>
      <c r="O12" s="25"/>
      <c r="Q12" s="26">
        <f>'Staging Data'!AO2</f>
        <v>17292.477399525313</v>
      </c>
      <c r="R12" s="26"/>
      <c r="S12" s="26"/>
      <c r="U12" s="25">
        <f>'Staging Data'!AP2</f>
        <v>0.74683544303797467</v>
      </c>
      <c r="V12" s="25"/>
      <c r="W12" s="25"/>
    </row>
  </sheetData>
  <mergeCells count="5">
    <mergeCell ref="F12:G12"/>
    <mergeCell ref="I12:K12"/>
    <mergeCell ref="M12:O12"/>
    <mergeCell ref="Q12:S12"/>
    <mergeCell ref="U12:W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8FE7-9743-4233-823F-96AA33FDEEF6}">
  <dimension ref="A1:A19"/>
  <sheetViews>
    <sheetView topLeftCell="A2" workbookViewId="0">
      <selection activeCell="A20" sqref="A20"/>
    </sheetView>
  </sheetViews>
  <sheetFormatPr defaultRowHeight="14.5" x14ac:dyDescent="0.35"/>
  <cols>
    <col min="1" max="1" width="8.7265625" customWidth="1"/>
  </cols>
  <sheetData>
    <row r="1" spans="1:1" s="27" customFormat="1" x14ac:dyDescent="0.35">
      <c r="A1" s="27" t="s">
        <v>1526</v>
      </c>
    </row>
    <row r="2" spans="1:1" s="27" customFormat="1" x14ac:dyDescent="0.35">
      <c r="A2" s="27" t="s">
        <v>1527</v>
      </c>
    </row>
    <row r="3" spans="1:1" s="27" customFormat="1" x14ac:dyDescent="0.35">
      <c r="A3" s="27" t="s">
        <v>1528</v>
      </c>
    </row>
    <row r="4" spans="1:1" s="32" customFormat="1" x14ac:dyDescent="0.35">
      <c r="A4" s="32" t="s">
        <v>1529</v>
      </c>
    </row>
    <row r="5" spans="1:1" s="32" customFormat="1" x14ac:dyDescent="0.35">
      <c r="A5" s="32" t="s">
        <v>1531</v>
      </c>
    </row>
    <row r="6" spans="1:1" s="32" customFormat="1" x14ac:dyDescent="0.35">
      <c r="A6" s="32" t="s">
        <v>1532</v>
      </c>
    </row>
    <row r="7" spans="1:1" s="32" customFormat="1" x14ac:dyDescent="0.35">
      <c r="A7" s="32" t="s">
        <v>1533</v>
      </c>
    </row>
    <row r="8" spans="1:1" s="32" customFormat="1" x14ac:dyDescent="0.35">
      <c r="A8" s="32" t="s">
        <v>1534</v>
      </c>
    </row>
    <row r="9" spans="1:1" s="32" customFormat="1" x14ac:dyDescent="0.35">
      <c r="A9" s="32" t="s">
        <v>1535</v>
      </c>
    </row>
    <row r="10" spans="1:1" s="32" customFormat="1" x14ac:dyDescent="0.35">
      <c r="A10" s="32" t="s">
        <v>1536</v>
      </c>
    </row>
    <row r="11" spans="1:1" s="32" customFormat="1" x14ac:dyDescent="0.35">
      <c r="A11" s="32" t="s">
        <v>1537</v>
      </c>
    </row>
    <row r="12" spans="1:1" s="32" customFormat="1" x14ac:dyDescent="0.35">
      <c r="A12" s="32" t="s">
        <v>1538</v>
      </c>
    </row>
    <row r="13" spans="1:1" s="32" customFormat="1" x14ac:dyDescent="0.35">
      <c r="A13" s="32" t="s">
        <v>1539</v>
      </c>
    </row>
    <row r="14" spans="1:1" s="32" customFormat="1" x14ac:dyDescent="0.35">
      <c r="A14" s="32" t="s">
        <v>1541</v>
      </c>
    </row>
    <row r="15" spans="1:1" s="32" customFormat="1" x14ac:dyDescent="0.35">
      <c r="A15" s="32" t="s">
        <v>1540</v>
      </c>
    </row>
    <row r="16" spans="1:1" s="32" customFormat="1" x14ac:dyDescent="0.35">
      <c r="A16" s="32" t="s">
        <v>1542</v>
      </c>
    </row>
    <row r="17" spans="1:1" s="32" customFormat="1" x14ac:dyDescent="0.35">
      <c r="A17" s="32" t="s">
        <v>1543</v>
      </c>
    </row>
    <row r="18" spans="1:1" s="32" customFormat="1" x14ac:dyDescent="0.35">
      <c r="A18" s="32" t="s">
        <v>1544</v>
      </c>
    </row>
    <row r="19" spans="1:1" s="32" customFormat="1" x14ac:dyDescent="0.35">
      <c r="A19" s="32" t="s">
        <v>1545</v>
      </c>
    </row>
  </sheetData>
  <mergeCells count="19">
    <mergeCell ref="A19:XFD19"/>
    <mergeCell ref="A13:XFD13"/>
    <mergeCell ref="A14:XFD14"/>
    <mergeCell ref="A15:XFD15"/>
    <mergeCell ref="A16:XFD16"/>
    <mergeCell ref="A17:XFD17"/>
    <mergeCell ref="A18:XFD18"/>
    <mergeCell ref="A7:XFD7"/>
    <mergeCell ref="A8:XFD8"/>
    <mergeCell ref="A9:XFD9"/>
    <mergeCell ref="A10:XFD10"/>
    <mergeCell ref="A11:XFD11"/>
    <mergeCell ref="A12:XFD12"/>
    <mergeCell ref="A1:XFD1"/>
    <mergeCell ref="A2:XFD2"/>
    <mergeCell ref="A3:XFD3"/>
    <mergeCell ref="A4:XFD4"/>
    <mergeCell ref="A5:XFD5"/>
    <mergeCell ref="A6:XFD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34"/>
  <sheetViews>
    <sheetView workbookViewId="0">
      <pane ySplit="1" topLeftCell="A2" activePane="bottomLeft" state="frozen"/>
      <selection pane="bottomLeft" activeCell="D3" sqref="D3"/>
    </sheetView>
  </sheetViews>
  <sheetFormatPr defaultRowHeight="14.5" x14ac:dyDescent="0.35"/>
  <cols>
    <col min="1" max="1" width="15.90625" style="6" bestFit="1" customWidth="1"/>
    <col min="2" max="2" width="11.7265625" style="4" customWidth="1"/>
    <col min="3" max="5" width="14.36328125" style="4" customWidth="1"/>
    <col min="6" max="6" width="14.36328125" style="21" customWidth="1"/>
    <col min="7" max="7" width="16.7265625" style="4" customWidth="1"/>
    <col min="8" max="8" width="20" style="21" customWidth="1"/>
    <col min="9" max="9" width="20" style="6" customWidth="1"/>
    <col min="10" max="10" width="23.1796875" style="6" customWidth="1"/>
    <col min="11" max="11" width="8.453125" bestFit="1" customWidth="1"/>
    <col min="12" max="12" width="14.1796875" bestFit="1" customWidth="1"/>
    <col min="13" max="13" width="12.453125" bestFit="1" customWidth="1"/>
    <col min="14" max="14" width="18.26953125" customWidth="1"/>
    <col min="15" max="15" width="11.1796875" bestFit="1" customWidth="1"/>
    <col min="16" max="16" width="12.81640625" customWidth="1"/>
    <col min="17" max="17" width="16.90625" customWidth="1"/>
    <col min="18" max="18" width="9.81640625" bestFit="1" customWidth="1"/>
    <col min="19" max="19" width="10.08984375" style="6" customWidth="1"/>
    <col min="20" max="20" width="10.453125" style="6" customWidth="1"/>
    <col min="21" max="21" width="8.453125" style="6" customWidth="1"/>
    <col min="22" max="22" width="12.81640625" style="8" customWidth="1"/>
    <col min="23" max="23" width="10.1796875" style="6" customWidth="1"/>
    <col min="24" max="24" width="14.7265625" customWidth="1"/>
    <col min="25" max="25" width="13.6328125" customWidth="1"/>
    <col min="26" max="26" width="12.54296875" customWidth="1"/>
    <col min="27" max="27" width="11.36328125" customWidth="1"/>
    <col min="28" max="28" width="12.6328125" customWidth="1"/>
    <col min="29" max="29" width="9.453125" customWidth="1"/>
    <col min="30" max="30" width="27.90625" customWidth="1"/>
    <col min="31" max="31" width="16.26953125" customWidth="1"/>
    <col min="34" max="34" width="12.1796875" customWidth="1"/>
    <col min="35" max="35" width="16.7265625" style="4" customWidth="1"/>
    <col min="36" max="36" width="12.36328125" customWidth="1"/>
    <col min="37" max="37" width="17.54296875" customWidth="1"/>
    <col min="38" max="38" width="16.7265625" customWidth="1"/>
    <col min="40" max="40" width="16.1796875" customWidth="1"/>
    <col min="41" max="41" width="15.1796875" customWidth="1"/>
  </cols>
  <sheetData>
    <row r="1" spans="1:42" s="2" customFormat="1" x14ac:dyDescent="0.35">
      <c r="A1" s="5" t="s">
        <v>0</v>
      </c>
      <c r="B1" s="3" t="s">
        <v>1</v>
      </c>
      <c r="C1" s="3" t="s">
        <v>2</v>
      </c>
      <c r="D1" s="3" t="s">
        <v>1497</v>
      </c>
      <c r="E1" s="3" t="s">
        <v>1498</v>
      </c>
      <c r="F1" s="20" t="s">
        <v>1499</v>
      </c>
      <c r="G1" s="3" t="s">
        <v>1490</v>
      </c>
      <c r="H1" s="20" t="s">
        <v>1428</v>
      </c>
      <c r="I1" s="5" t="s">
        <v>1494</v>
      </c>
      <c r="J1" s="5" t="s">
        <v>1501</v>
      </c>
      <c r="K1" s="1" t="s">
        <v>3</v>
      </c>
      <c r="L1" s="1" t="s">
        <v>4</v>
      </c>
      <c r="M1" s="1" t="s">
        <v>5</v>
      </c>
      <c r="N1" s="1" t="s">
        <v>6</v>
      </c>
      <c r="O1" s="1" t="s">
        <v>7</v>
      </c>
      <c r="P1" s="1" t="s">
        <v>8</v>
      </c>
      <c r="Q1" s="1" t="s">
        <v>9</v>
      </c>
      <c r="R1" s="1" t="s">
        <v>10</v>
      </c>
      <c r="S1" s="5" t="s">
        <v>11</v>
      </c>
      <c r="T1" s="5" t="s">
        <v>12</v>
      </c>
      <c r="U1" s="5" t="s">
        <v>1426</v>
      </c>
      <c r="V1" s="7" t="s">
        <v>13</v>
      </c>
      <c r="W1" s="5" t="s">
        <v>14</v>
      </c>
      <c r="X1" s="9" t="s">
        <v>1429</v>
      </c>
      <c r="Y1" s="9" t="s">
        <v>1430</v>
      </c>
      <c r="Z1" s="9" t="s">
        <v>1431</v>
      </c>
      <c r="AA1" s="9" t="s">
        <v>1432</v>
      </c>
      <c r="AB1" s="9" t="s">
        <v>1433</v>
      </c>
      <c r="AC1" s="9" t="s">
        <v>1434</v>
      </c>
      <c r="AD1" s="9" t="s">
        <v>1435</v>
      </c>
      <c r="AE1" s="9" t="s">
        <v>1440</v>
      </c>
      <c r="AF1" s="9" t="s">
        <v>1486</v>
      </c>
      <c r="AG1" s="9" t="s">
        <v>1487</v>
      </c>
      <c r="AH1" s="10" t="s">
        <v>1439</v>
      </c>
      <c r="AI1" s="3" t="s">
        <v>1490</v>
      </c>
      <c r="AJ1" s="2" t="s">
        <v>1491</v>
      </c>
      <c r="AK1" s="2" t="s">
        <v>1492</v>
      </c>
      <c r="AL1" s="2" t="s">
        <v>1493</v>
      </c>
      <c r="AM1" s="2" t="s">
        <v>1521</v>
      </c>
      <c r="AN1" s="2" t="s">
        <v>1522</v>
      </c>
      <c r="AO1" s="2" t="s">
        <v>1523</v>
      </c>
      <c r="AP1" s="2" t="s">
        <v>1524</v>
      </c>
    </row>
    <row r="2" spans="1:42" x14ac:dyDescent="0.35">
      <c r="A2" s="6" t="s">
        <v>20</v>
      </c>
      <c r="B2" s="4">
        <v>44928</v>
      </c>
      <c r="C2" s="4">
        <v>44931</v>
      </c>
      <c r="D2" s="4">
        <f>IF(Table1[[#This Row],[RequiredDate]]&lt;Table1[[#This Row],[OrderDate]],Table1[[#This Row],[RequiredDate]],Table1[[#This Row],[OrderDate]])</f>
        <v>44928</v>
      </c>
      <c r="E2" s="4">
        <f>IF(Table1[[#This Row],[RequiredDate]]&gt;Table1[[#This Row],[OrderDate]],Table1[[#This Row],[RequiredDate]],Table1[[#This Row],[OrderDate]])</f>
        <v>44931</v>
      </c>
      <c r="F2" s="21">
        <f>Table1[[#This Row],[New RD]]-Table1[[#This Row],[new   od]]</f>
        <v>3</v>
      </c>
      <c r="G2" s="4">
        <f>IF(Table1[[#This Row],[RequiredDate]]&lt;Table1[[#This Row],[OrderDate]], Table1[[#This Row],[OrderDate]]+7, Table1[[#This Row],[RequiredDate]])</f>
        <v>44931</v>
      </c>
      <c r="H2" s="21">
        <f t="shared" ref="H2:H65" si="0">G2-B2</f>
        <v>3</v>
      </c>
      <c r="I2" s="6" t="str">
        <f>IF(Table1[[#This Row],[New LTD]]&lt;=7,"Yes","No")</f>
        <v>Yes</v>
      </c>
      <c r="K2" t="s">
        <v>648</v>
      </c>
      <c r="L2" t="s">
        <v>653</v>
      </c>
      <c r="M2" t="s">
        <v>667</v>
      </c>
      <c r="N2" t="s">
        <v>701</v>
      </c>
      <c r="O2" t="s">
        <v>710</v>
      </c>
      <c r="P2" t="s">
        <v>717</v>
      </c>
      <c r="Q2" t="s">
        <v>731</v>
      </c>
      <c r="R2" t="s">
        <v>739</v>
      </c>
      <c r="S2" s="6">
        <v>315.87</v>
      </c>
      <c r="T2" s="6">
        <v>591.67999999999995</v>
      </c>
      <c r="U2" s="6">
        <f t="shared" ref="U2:U65" si="1">ABS(T2)</f>
        <v>591.67999999999995</v>
      </c>
      <c r="V2" s="8">
        <v>0</v>
      </c>
      <c r="W2" s="6">
        <v>7</v>
      </c>
      <c r="X2" s="6">
        <f t="shared" ref="X2:X65" si="2">U2*W2*(1-V2)</f>
        <v>4141.7599999999993</v>
      </c>
      <c r="Y2">
        <f t="shared" ref="Y2:Y65" si="3">S2*W2</f>
        <v>2211.09</v>
      </c>
      <c r="Z2" s="6">
        <f t="shared" ref="Z2:Z65" si="4">X2-Y2</f>
        <v>1930.6699999999992</v>
      </c>
      <c r="AA2">
        <f t="shared" ref="AA2:AA65" si="5">IF(X2=0, 0, Z2/ X2)</f>
        <v>0.46614724175229844</v>
      </c>
      <c r="AB2" t="str">
        <f t="shared" ref="AB2:AB65" si="6">_xlfn.CONCAT(MONTH(B2),"-",YEAR(B2))</f>
        <v>1-2023</v>
      </c>
      <c r="AC2" t="str">
        <f t="shared" ref="AC2:AC65" si="7">"Q"&amp;ROUNDUP(MONTH(B2)/3,0)&amp;"-"&amp;YEAR(B2)</f>
        <v>Q1-2023</v>
      </c>
      <c r="AD2" t="str">
        <f t="shared" ref="AD2:AD65" si="8">_xlfn.CONCAT(K2," →",L2," →",M2)</f>
        <v>Americas →Canada →Toronto</v>
      </c>
      <c r="AE2" t="str">
        <f t="shared" ref="AE2:AE65" si="9">IF(T2&lt;=LowerCutOff,"Low", IF(T2&lt;=HigherCutOff,"Medium","High"))</f>
        <v>Low</v>
      </c>
      <c r="AF2" t="str">
        <f>TEXT(Table1[[#This Row],[OrderDate]],"MMM")</f>
        <v>Jan</v>
      </c>
      <c r="AG2" t="str">
        <f>TEXT(Table1[[#This Row],[OrderDate]],"YYYY")</f>
        <v>2023</v>
      </c>
      <c r="AH2">
        <f>_xlfn.PERCENTILE.INC(T:T,0.33)</f>
        <v>816.08010000000013</v>
      </c>
      <c r="AI2" s="4">
        <f>IF(Table1[[#This Row],[RequiredDate]]&lt;Table1[[#This Row],[OrderDate]], Table1[[#This Row],[OrderDate]]+7, Table1[[#This Row],[RequiredDate]])</f>
        <v>44931</v>
      </c>
      <c r="AJ2">
        <f>IF(Dashboard!$D$3&gt;'Staging Data'!V2,'Staging Data'!V2,Dashboard!D$3)</f>
        <v>0</v>
      </c>
      <c r="AK2" s="19">
        <f>(100%+Dashboard!$D$4)*'Staging Data'!S2</f>
        <v>331.6635</v>
      </c>
      <c r="AL2">
        <f>(100%+Dashboard!$D$5)*'Staging Data'!W2</f>
        <v>8.0499999999999989</v>
      </c>
      <c r="AM2" s="8">
        <f>(Z634/X634)</f>
        <v>0.31120377162659879</v>
      </c>
      <c r="AN2">
        <f>COUNTA(_xlfn.UNIQUE(A1:A633))</f>
        <v>632</v>
      </c>
      <c r="AO2">
        <f>(X634/AN2)</f>
        <v>17292.477399525313</v>
      </c>
      <c r="AP2" s="22">
        <f>COUNTIF(F2:F633, "&gt;=7")/ COUNT(F2:F633)</f>
        <v>0.74683544303797467</v>
      </c>
    </row>
    <row r="3" spans="1:42" x14ac:dyDescent="0.35">
      <c r="A3" s="6" t="s">
        <v>611</v>
      </c>
      <c r="B3" s="4">
        <v>44933</v>
      </c>
      <c r="C3" s="4">
        <v>44956</v>
      </c>
      <c r="D3" s="4">
        <f>IF(Table1[[#This Row],[RequiredDate]]&lt;Table1[[#This Row],[OrderDate]],Table1[[#This Row],[RequiredDate]],Table1[[#This Row],[OrderDate]])</f>
        <v>44933</v>
      </c>
      <c r="F3" s="21">
        <f>Table1[[#This Row],[New RD]]-Table1[[#This Row],[new   od]]</f>
        <v>-44933</v>
      </c>
      <c r="G3" s="4">
        <f>IF(Table1[[#This Row],[RequiredDate]]&lt;Table1[[#This Row],[OrderDate]], Table1[[#This Row],[OrderDate]]+7, Table1[[#This Row],[RequiredDate]])</f>
        <v>44956</v>
      </c>
      <c r="H3" s="21">
        <f t="shared" si="0"/>
        <v>23</v>
      </c>
      <c r="I3" s="6" t="str">
        <f>IF(Table1[[#This Row],[New LTD]]&lt;=7,"Yes","No")</f>
        <v>Yes</v>
      </c>
      <c r="J3" s="6" t="str">
        <f t="shared" ref="J3:J65" si="10">IF(V3&gt;20%,"Yes","No")</f>
        <v>No</v>
      </c>
      <c r="K3" t="s">
        <v>646</v>
      </c>
      <c r="L3" t="s">
        <v>661</v>
      </c>
      <c r="M3" t="s">
        <v>695</v>
      </c>
      <c r="N3" t="s">
        <v>704</v>
      </c>
      <c r="O3" t="s">
        <v>708</v>
      </c>
      <c r="P3" t="s">
        <v>720</v>
      </c>
      <c r="Q3" t="s">
        <v>728</v>
      </c>
      <c r="R3" t="s">
        <v>1329</v>
      </c>
      <c r="S3" s="6">
        <v>299.02</v>
      </c>
      <c r="T3" s="6">
        <v>724.7</v>
      </c>
      <c r="U3" s="6">
        <f t="shared" si="1"/>
        <v>724.7</v>
      </c>
      <c r="V3" s="8">
        <v>0.14000000000000001</v>
      </c>
      <c r="W3" s="6">
        <v>5</v>
      </c>
      <c r="X3" s="6">
        <f t="shared" si="2"/>
        <v>3116.21</v>
      </c>
      <c r="Y3">
        <f t="shared" si="3"/>
        <v>1495.1</v>
      </c>
      <c r="Z3" s="6">
        <f t="shared" si="4"/>
        <v>1621.1100000000001</v>
      </c>
      <c r="AA3">
        <f t="shared" si="5"/>
        <v>0.52021847051386139</v>
      </c>
      <c r="AB3" t="str">
        <f t="shared" si="6"/>
        <v>1-2023</v>
      </c>
      <c r="AC3" t="str">
        <f t="shared" si="7"/>
        <v>Q1-2023</v>
      </c>
      <c r="AD3" t="str">
        <f t="shared" si="8"/>
        <v>Africa →South Africa →Cape Town</v>
      </c>
      <c r="AE3" t="str">
        <f t="shared" si="9"/>
        <v>Low</v>
      </c>
      <c r="AF3" t="str">
        <f>TEXT(Table1[[#This Row],[OrderDate]],"MMM")</f>
        <v>Jan</v>
      </c>
      <c r="AG3" t="str">
        <f>TEXT(Table1[[#This Row],[OrderDate]],"YYYY")</f>
        <v>2023</v>
      </c>
      <c r="AH3">
        <f>_xlfn.PERCENTILE.INC(T:T, 0.66)</f>
        <v>1619.115</v>
      </c>
      <c r="AI3" s="4">
        <f>IF(Table1[[#This Row],[RequiredDate]]&lt;Table1[[#This Row],[OrderDate]], Table1[[#This Row],[OrderDate]]+7, Table1[[#This Row],[RequiredDate]])</f>
        <v>44956</v>
      </c>
      <c r="AJ3">
        <f>IF(Dashboard!$D$3&gt;'Staging Data'!V3,'Staging Data'!V3,Dashboard!D$3)</f>
        <v>0.14000000000000001</v>
      </c>
      <c r="AK3" s="19">
        <f>(100%+Dashboard!$D$4)*'Staging Data'!S3</f>
        <v>313.971</v>
      </c>
      <c r="AL3">
        <f>(100%+Dashboard!$D$5)*'Staging Data'!W3</f>
        <v>5.75</v>
      </c>
    </row>
    <row r="4" spans="1:42" x14ac:dyDescent="0.35">
      <c r="A4" s="6" t="s">
        <v>323</v>
      </c>
      <c r="B4" s="4">
        <v>44936</v>
      </c>
      <c r="C4" s="4">
        <v>44955</v>
      </c>
      <c r="D4" s="4">
        <f>IF(Table1[[#This Row],[RequiredDate]]&lt;Table1[[#This Row],[OrderDate]],Table1[[#This Row],[RequiredDate]],Table1[[#This Row],[OrderDate]])</f>
        <v>44936</v>
      </c>
      <c r="E4" s="4">
        <f>IF(Table1[[#This Row],[RequiredDate]]&gt;Table1[[#This Row],[OrderDate]],Table1[[#This Row],[RequiredDate]],Table1[[#This Row],[OrderDate]])</f>
        <v>44955</v>
      </c>
      <c r="F4" s="21">
        <f>Table1[[#This Row],[New RD]]-Table1[[#This Row],[new   od]]</f>
        <v>19</v>
      </c>
      <c r="G4" s="4">
        <f>IF(Table1[[#This Row],[RequiredDate]]&lt;Table1[[#This Row],[OrderDate]], Table1[[#This Row],[OrderDate]]+7, Table1[[#This Row],[RequiredDate]])</f>
        <v>44955</v>
      </c>
      <c r="H4" s="21">
        <f t="shared" si="0"/>
        <v>19</v>
      </c>
      <c r="I4" s="6" t="str">
        <f>IF(Table1[[#This Row],[New LTD]]&lt;=7,"Yes","No")</f>
        <v>No</v>
      </c>
      <c r="J4" s="6" t="str">
        <f t="shared" si="10"/>
        <v>No</v>
      </c>
      <c r="K4" t="s">
        <v>649</v>
      </c>
      <c r="L4" t="s">
        <v>657</v>
      </c>
      <c r="M4" t="s">
        <v>679</v>
      </c>
      <c r="N4" t="s">
        <v>703</v>
      </c>
      <c r="O4" t="s">
        <v>711</v>
      </c>
      <c r="P4" t="s">
        <v>726</v>
      </c>
      <c r="Q4" t="s">
        <v>731</v>
      </c>
      <c r="R4" t="s">
        <v>1043</v>
      </c>
      <c r="S4" s="6">
        <v>401.66</v>
      </c>
      <c r="T4" s="6">
        <v>772.09</v>
      </c>
      <c r="U4" s="6">
        <f t="shared" si="1"/>
        <v>772.09</v>
      </c>
      <c r="V4" s="8">
        <v>8.8999999999999996E-2</v>
      </c>
      <c r="W4" s="6">
        <v>14</v>
      </c>
      <c r="X4" s="6">
        <f t="shared" si="2"/>
        <v>9847.2358600000007</v>
      </c>
      <c r="Y4">
        <f t="shared" si="3"/>
        <v>5623.2400000000007</v>
      </c>
      <c r="Z4" s="6">
        <f t="shared" si="4"/>
        <v>4223.99586</v>
      </c>
      <c r="AA4">
        <f t="shared" si="5"/>
        <v>0.42895244107619046</v>
      </c>
      <c r="AB4" t="str">
        <f t="shared" si="6"/>
        <v>1-2023</v>
      </c>
      <c r="AC4" t="str">
        <f t="shared" si="7"/>
        <v>Q1-2023</v>
      </c>
      <c r="AD4" t="str">
        <f t="shared" si="8"/>
        <v>Europe →France →Lyon</v>
      </c>
      <c r="AE4" t="str">
        <f t="shared" si="9"/>
        <v>Low</v>
      </c>
      <c r="AF4" t="str">
        <f>TEXT(Table1[[#This Row],[OrderDate]],"MMM")</f>
        <v>Jan</v>
      </c>
      <c r="AG4" t="str">
        <f>TEXT(Table1[[#This Row],[OrderDate]],"YYYY")</f>
        <v>2023</v>
      </c>
      <c r="AI4" s="4">
        <f>IF(Table1[[#This Row],[RequiredDate]]&lt;Table1[[#This Row],[OrderDate]], Table1[[#This Row],[OrderDate]]+7, Table1[[#This Row],[RequiredDate]])</f>
        <v>44955</v>
      </c>
      <c r="AJ4">
        <f>IF(Dashboard!$D$3&gt;'Staging Data'!V4,'Staging Data'!V4,Dashboard!D$3)</f>
        <v>8.8999999999999996E-2</v>
      </c>
      <c r="AK4" s="19">
        <f>(100%+Dashboard!$D$4)*'Staging Data'!S4</f>
        <v>421.74300000000005</v>
      </c>
      <c r="AL4">
        <f>(100%+Dashboard!$D$5)*'Staging Data'!W4</f>
        <v>16.099999999999998</v>
      </c>
    </row>
    <row r="5" spans="1:42" x14ac:dyDescent="0.35">
      <c r="A5" s="6" t="s">
        <v>541</v>
      </c>
      <c r="B5" s="4">
        <v>44938</v>
      </c>
      <c r="C5" s="4">
        <v>44952</v>
      </c>
      <c r="D5" s="4">
        <f>IF(Table1[[#This Row],[RequiredDate]]&lt;Table1[[#This Row],[OrderDate]],Table1[[#This Row],[RequiredDate]],Table1[[#This Row],[OrderDate]])</f>
        <v>44938</v>
      </c>
      <c r="E5" s="4">
        <f>IF(Table1[[#This Row],[RequiredDate]]&gt;Table1[[#This Row],[OrderDate]],Table1[[#This Row],[RequiredDate]],Table1[[#This Row],[OrderDate]])</f>
        <v>44952</v>
      </c>
      <c r="F5" s="21">
        <f>Table1[[#This Row],[New RD]]-Table1[[#This Row],[new   od]]</f>
        <v>14</v>
      </c>
      <c r="G5" s="4">
        <f>IF(Table1[[#This Row],[RequiredDate]]&lt;Table1[[#This Row],[OrderDate]], Table1[[#This Row],[OrderDate]]+7, Table1[[#This Row],[RequiredDate]])</f>
        <v>44952</v>
      </c>
      <c r="H5" s="21">
        <f t="shared" si="0"/>
        <v>14</v>
      </c>
      <c r="I5" s="6" t="str">
        <f>IF(Table1[[#This Row],[New LTD]]&lt;=7,"Yes","No")</f>
        <v>No</v>
      </c>
      <c r="J5" s="6" t="str">
        <f t="shared" si="10"/>
        <v>No</v>
      </c>
      <c r="K5" t="s">
        <v>647</v>
      </c>
      <c r="L5" t="s">
        <v>659</v>
      </c>
      <c r="M5" t="s">
        <v>676</v>
      </c>
      <c r="N5" t="s">
        <v>703</v>
      </c>
      <c r="O5" t="s">
        <v>707</v>
      </c>
      <c r="P5" t="s">
        <v>724</v>
      </c>
      <c r="Q5" t="s">
        <v>728</v>
      </c>
      <c r="R5" t="s">
        <v>1260</v>
      </c>
      <c r="S5" s="6">
        <v>1083.0899999999999</v>
      </c>
      <c r="T5" s="6">
        <v>1425.87</v>
      </c>
      <c r="U5" s="6">
        <f t="shared" si="1"/>
        <v>1425.87</v>
      </c>
      <c r="V5" s="8">
        <v>0</v>
      </c>
      <c r="W5" s="6">
        <v>8</v>
      </c>
      <c r="X5" s="6">
        <f t="shared" si="2"/>
        <v>11406.96</v>
      </c>
      <c r="Y5">
        <f t="shared" si="3"/>
        <v>8664.7199999999993</v>
      </c>
      <c r="Z5" s="6">
        <f t="shared" si="4"/>
        <v>2742.24</v>
      </c>
      <c r="AA5">
        <f t="shared" si="5"/>
        <v>0.24040059752992909</v>
      </c>
      <c r="AB5" t="str">
        <f t="shared" si="6"/>
        <v>1-2023</v>
      </c>
      <c r="AC5" t="str">
        <f t="shared" si="7"/>
        <v>Q1-2023</v>
      </c>
      <c r="AD5" t="str">
        <f t="shared" si="8"/>
        <v>Asia →China →Shenzhen</v>
      </c>
      <c r="AE5" t="str">
        <f t="shared" si="9"/>
        <v>Medium</v>
      </c>
      <c r="AF5" t="str">
        <f>TEXT(Table1[[#This Row],[OrderDate]],"MMM")</f>
        <v>Jan</v>
      </c>
      <c r="AG5" t="str">
        <f>TEXT(Table1[[#This Row],[OrderDate]],"YYYY")</f>
        <v>2023</v>
      </c>
      <c r="AI5" s="4">
        <f>IF(Table1[[#This Row],[RequiredDate]]&lt;Table1[[#This Row],[OrderDate]], Table1[[#This Row],[OrderDate]]+7, Table1[[#This Row],[RequiredDate]])</f>
        <v>44952</v>
      </c>
      <c r="AJ5">
        <f>IF(Dashboard!$D$3&gt;'Staging Data'!V5,'Staging Data'!V5,Dashboard!D$3)</f>
        <v>0</v>
      </c>
      <c r="AK5" s="19">
        <f>(100%+Dashboard!$D$4)*'Staging Data'!S5</f>
        <v>1137.2445</v>
      </c>
      <c r="AL5">
        <f>(100%+Dashboard!$D$5)*'Staging Data'!W5</f>
        <v>9.1999999999999993</v>
      </c>
    </row>
    <row r="6" spans="1:42" x14ac:dyDescent="0.35">
      <c r="A6" s="6" t="s">
        <v>214</v>
      </c>
      <c r="B6" s="4">
        <v>44939</v>
      </c>
      <c r="C6" s="4">
        <v>44945</v>
      </c>
      <c r="D6" s="4">
        <f>IF(Table1[[#This Row],[RequiredDate]]&lt;Table1[[#This Row],[OrderDate]],Table1[[#This Row],[RequiredDate]],Table1[[#This Row],[OrderDate]])</f>
        <v>44939</v>
      </c>
      <c r="E6" s="4">
        <f>IF(Table1[[#This Row],[RequiredDate]]&gt;Table1[[#This Row],[OrderDate]],Table1[[#This Row],[RequiredDate]],Table1[[#This Row],[OrderDate]])</f>
        <v>44945</v>
      </c>
      <c r="F6" s="21">
        <f>Table1[[#This Row],[New RD]]-Table1[[#This Row],[new   od]]</f>
        <v>6</v>
      </c>
      <c r="G6" s="4">
        <f>IF(Table1[[#This Row],[RequiredDate]]&lt;Table1[[#This Row],[OrderDate]], Table1[[#This Row],[OrderDate]]+7, Table1[[#This Row],[RequiredDate]])</f>
        <v>44945</v>
      </c>
      <c r="H6" s="21">
        <f t="shared" si="0"/>
        <v>6</v>
      </c>
      <c r="I6" s="6" t="str">
        <f>IF(Table1[[#This Row],[New LTD]]&lt;=7,"Yes","No")</f>
        <v>Yes</v>
      </c>
      <c r="J6" s="6" t="str">
        <f t="shared" si="10"/>
        <v>No</v>
      </c>
      <c r="K6" t="s">
        <v>648</v>
      </c>
      <c r="L6" t="s">
        <v>660</v>
      </c>
      <c r="M6" t="s">
        <v>677</v>
      </c>
      <c r="N6" t="s">
        <v>701</v>
      </c>
      <c r="O6" t="s">
        <v>711</v>
      </c>
      <c r="P6" t="s">
        <v>722</v>
      </c>
      <c r="Q6" t="s">
        <v>730</v>
      </c>
      <c r="R6" t="s">
        <v>934</v>
      </c>
      <c r="S6" s="6">
        <v>833.57</v>
      </c>
      <c r="T6" s="6">
        <v>881.57</v>
      </c>
      <c r="U6" s="6">
        <f t="shared" si="1"/>
        <v>881.57</v>
      </c>
      <c r="V6" s="8">
        <v>5.7000000000000002E-2</v>
      </c>
      <c r="W6" s="6">
        <v>18</v>
      </c>
      <c r="X6" s="6">
        <f t="shared" si="2"/>
        <v>14963.769179999999</v>
      </c>
      <c r="Y6">
        <f t="shared" si="3"/>
        <v>15004.26</v>
      </c>
      <c r="Z6" s="6">
        <f t="shared" si="4"/>
        <v>-40.490820000000895</v>
      </c>
      <c r="AA6">
        <f t="shared" si="5"/>
        <v>-2.7059238560107821E-3</v>
      </c>
      <c r="AB6" t="str">
        <f t="shared" si="6"/>
        <v>1-2023</v>
      </c>
      <c r="AC6" t="str">
        <f t="shared" si="7"/>
        <v>Q1-2023</v>
      </c>
      <c r="AD6" t="str">
        <f t="shared" si="8"/>
        <v>Americas →USA →Chicago</v>
      </c>
      <c r="AE6" t="str">
        <f t="shared" si="9"/>
        <v>Medium</v>
      </c>
      <c r="AF6" t="str">
        <f>TEXT(Table1[[#This Row],[OrderDate]],"MMM")</f>
        <v>Jan</v>
      </c>
      <c r="AG6" t="str">
        <f>TEXT(Table1[[#This Row],[OrderDate]],"YYYY")</f>
        <v>2023</v>
      </c>
      <c r="AI6" s="4">
        <f>IF(Table1[[#This Row],[RequiredDate]]&lt;Table1[[#This Row],[OrderDate]], Table1[[#This Row],[OrderDate]]+7, Table1[[#This Row],[RequiredDate]])</f>
        <v>44945</v>
      </c>
      <c r="AJ6">
        <f>IF(Dashboard!$D$3&gt;'Staging Data'!V6,'Staging Data'!V6,Dashboard!D$3)</f>
        <v>5.7000000000000002E-2</v>
      </c>
      <c r="AK6" s="19">
        <f>(100%+Dashboard!$D$4)*'Staging Data'!S6</f>
        <v>875.24850000000004</v>
      </c>
      <c r="AL6">
        <f>(100%+Dashboard!$D$5)*'Staging Data'!W6</f>
        <v>20.7</v>
      </c>
    </row>
    <row r="7" spans="1:42" x14ac:dyDescent="0.35">
      <c r="A7" s="6" t="s">
        <v>22</v>
      </c>
      <c r="B7" s="4">
        <v>44941</v>
      </c>
      <c r="C7" s="4">
        <v>44939</v>
      </c>
      <c r="D7" s="4">
        <f>IF(Table1[[#This Row],[RequiredDate]]&lt;Table1[[#This Row],[OrderDate]],Table1[[#This Row],[RequiredDate]],Table1[[#This Row],[OrderDate]])</f>
        <v>44939</v>
      </c>
      <c r="E7" s="4">
        <f>IF(Table1[[#This Row],[RequiredDate]]&gt;Table1[[#This Row],[OrderDate]],Table1[[#This Row],[RequiredDate]],Table1[[#This Row],[OrderDate]])</f>
        <v>44941</v>
      </c>
      <c r="F7" s="21">
        <f>Table1[[#This Row],[New RD]]-Table1[[#This Row],[new   od]]</f>
        <v>2</v>
      </c>
      <c r="G7" s="4">
        <f>IF(Table1[[#This Row],[RequiredDate]]&lt;Table1[[#This Row],[OrderDate]], Table1[[#This Row],[OrderDate]]+7, Table1[[#This Row],[RequiredDate]])</f>
        <v>44948</v>
      </c>
      <c r="H7" s="21">
        <f t="shared" si="0"/>
        <v>7</v>
      </c>
      <c r="I7" s="6" t="str">
        <f>IF(Table1[[#This Row],[New LTD]]&lt;=7,"Yes","No")</f>
        <v>Yes</v>
      </c>
      <c r="J7" s="6" t="str">
        <f t="shared" si="10"/>
        <v>No</v>
      </c>
      <c r="K7" t="s">
        <v>646</v>
      </c>
      <c r="L7" t="s">
        <v>651</v>
      </c>
      <c r="M7" t="s">
        <v>669</v>
      </c>
      <c r="N7" t="s">
        <v>702</v>
      </c>
      <c r="O7" t="s">
        <v>708</v>
      </c>
      <c r="P7" t="s">
        <v>719</v>
      </c>
      <c r="Q7" t="s">
        <v>728</v>
      </c>
      <c r="R7" t="s">
        <v>741</v>
      </c>
      <c r="S7" s="6">
        <v>28.38</v>
      </c>
      <c r="T7" s="6">
        <v>47.22</v>
      </c>
      <c r="U7" s="6">
        <f t="shared" si="1"/>
        <v>47.22</v>
      </c>
      <c r="V7" s="8">
        <v>0.19400000000000001</v>
      </c>
      <c r="W7" s="6">
        <v>18</v>
      </c>
      <c r="X7" s="6">
        <f t="shared" si="2"/>
        <v>685.06776000000002</v>
      </c>
      <c r="Y7">
        <f t="shared" si="3"/>
        <v>510.84</v>
      </c>
      <c r="Z7" s="6">
        <f t="shared" si="4"/>
        <v>174.22776000000005</v>
      </c>
      <c r="AA7">
        <f t="shared" si="5"/>
        <v>0.25432193743871417</v>
      </c>
      <c r="AB7" t="str">
        <f t="shared" si="6"/>
        <v>1-2023</v>
      </c>
      <c r="AC7" t="str">
        <f t="shared" si="7"/>
        <v>Q1-2023</v>
      </c>
      <c r="AD7" t="str">
        <f t="shared" si="8"/>
        <v>Africa →Nigeria →Abuja</v>
      </c>
      <c r="AE7" t="str">
        <f t="shared" si="9"/>
        <v>Low</v>
      </c>
      <c r="AF7" t="str">
        <f>TEXT(Table1[[#This Row],[OrderDate]],"MMM")</f>
        <v>Jan</v>
      </c>
      <c r="AG7" t="str">
        <f>TEXT(Table1[[#This Row],[OrderDate]],"YYYY")</f>
        <v>2023</v>
      </c>
      <c r="AI7" s="4">
        <f>IF(Table1[[#This Row],[RequiredDate]]&lt;Table1[[#This Row],[OrderDate]], Table1[[#This Row],[OrderDate]]+7, Table1[[#This Row],[RequiredDate]])</f>
        <v>44948</v>
      </c>
      <c r="AJ7">
        <f>IF(Dashboard!$D$3&gt;'Staging Data'!V7,'Staging Data'!V7,Dashboard!D$3)</f>
        <v>0.19400000000000001</v>
      </c>
      <c r="AK7" s="19">
        <f>(100%+Dashboard!$D$4)*'Staging Data'!S7</f>
        <v>29.798999999999999</v>
      </c>
      <c r="AL7">
        <f>(100%+Dashboard!$D$5)*'Staging Data'!W7</f>
        <v>20.7</v>
      </c>
    </row>
    <row r="8" spans="1:42" x14ac:dyDescent="0.35">
      <c r="A8" s="6" t="s">
        <v>465</v>
      </c>
      <c r="B8" s="4">
        <v>44945</v>
      </c>
      <c r="C8" s="4">
        <v>44960</v>
      </c>
      <c r="D8" s="4">
        <f>IF(Table1[[#This Row],[RequiredDate]]&lt;Table1[[#This Row],[OrderDate]],Table1[[#This Row],[RequiredDate]],Table1[[#This Row],[OrderDate]])</f>
        <v>44945</v>
      </c>
      <c r="E8" s="4">
        <f>IF(Table1[[#This Row],[RequiredDate]]&gt;Table1[[#This Row],[OrderDate]],Table1[[#This Row],[RequiredDate]],Table1[[#This Row],[OrderDate]])</f>
        <v>44960</v>
      </c>
      <c r="F8" s="21">
        <f>Table1[[#This Row],[New RD]]-Table1[[#This Row],[new   od]]</f>
        <v>15</v>
      </c>
      <c r="G8" s="4">
        <f>IF(Table1[[#This Row],[RequiredDate]]&lt;Table1[[#This Row],[OrderDate]], Table1[[#This Row],[OrderDate]]+7, Table1[[#This Row],[RequiredDate]])</f>
        <v>44960</v>
      </c>
      <c r="H8" s="21">
        <f t="shared" si="0"/>
        <v>15</v>
      </c>
      <c r="I8" s="6" t="str">
        <f>IF(Table1[[#This Row],[New LTD]]&lt;=7,"Yes","No")</f>
        <v>No</v>
      </c>
      <c r="J8" s="6" t="str">
        <f t="shared" si="10"/>
        <v>No</v>
      </c>
      <c r="K8" t="s">
        <v>649</v>
      </c>
      <c r="L8" t="s">
        <v>658</v>
      </c>
      <c r="M8" t="s">
        <v>683</v>
      </c>
      <c r="N8" t="s">
        <v>706</v>
      </c>
      <c r="O8" t="s">
        <v>710</v>
      </c>
      <c r="P8" t="s">
        <v>715</v>
      </c>
      <c r="Q8" t="s">
        <v>733</v>
      </c>
      <c r="R8" t="s">
        <v>1184</v>
      </c>
      <c r="S8" s="6">
        <v>873.06</v>
      </c>
      <c r="T8" s="6">
        <v>2101.5500000000002</v>
      </c>
      <c r="U8" s="6">
        <f t="shared" si="1"/>
        <v>2101.5500000000002</v>
      </c>
      <c r="V8" s="8">
        <v>6.6000000000000003E-2</v>
      </c>
      <c r="W8" s="6">
        <v>10</v>
      </c>
      <c r="X8" s="6">
        <f t="shared" si="2"/>
        <v>19628.476999999999</v>
      </c>
      <c r="Y8">
        <f t="shared" si="3"/>
        <v>8730.5999999999985</v>
      </c>
      <c r="Z8" s="6">
        <f t="shared" si="4"/>
        <v>10897.877</v>
      </c>
      <c r="AA8">
        <f t="shared" si="5"/>
        <v>0.55520746719167269</v>
      </c>
      <c r="AB8" t="str">
        <f t="shared" si="6"/>
        <v>1-2023</v>
      </c>
      <c r="AC8" t="str">
        <f t="shared" si="7"/>
        <v>Q1-2023</v>
      </c>
      <c r="AD8" t="str">
        <f t="shared" si="8"/>
        <v>Europe →United Kingdom →London</v>
      </c>
      <c r="AE8" t="str">
        <f t="shared" si="9"/>
        <v>High</v>
      </c>
      <c r="AF8" t="str">
        <f>TEXT(Table1[[#This Row],[OrderDate]],"MMM")</f>
        <v>Jan</v>
      </c>
      <c r="AG8" t="str">
        <f>TEXT(Table1[[#This Row],[OrderDate]],"YYYY")</f>
        <v>2023</v>
      </c>
      <c r="AI8" s="4">
        <f>IF(Table1[[#This Row],[RequiredDate]]&lt;Table1[[#This Row],[OrderDate]], Table1[[#This Row],[OrderDate]]+7, Table1[[#This Row],[RequiredDate]])</f>
        <v>44960</v>
      </c>
      <c r="AJ8">
        <f>IF(Dashboard!$D$3&gt;'Staging Data'!V8,'Staging Data'!V8,Dashboard!D$3)</f>
        <v>6.6000000000000003E-2</v>
      </c>
      <c r="AK8" s="19">
        <f>(100%+Dashboard!$D$4)*'Staging Data'!S8</f>
        <v>916.71299999999997</v>
      </c>
      <c r="AL8">
        <f>(100%+Dashboard!$D$5)*'Staging Data'!W8</f>
        <v>11.5</v>
      </c>
    </row>
    <row r="9" spans="1:42" x14ac:dyDescent="0.35">
      <c r="A9" s="6" t="s">
        <v>217</v>
      </c>
      <c r="B9" s="4">
        <v>44946</v>
      </c>
      <c r="C9" s="4">
        <v>44960</v>
      </c>
      <c r="D9" s="4">
        <f>IF(Table1[[#This Row],[RequiredDate]]&lt;Table1[[#This Row],[OrderDate]],Table1[[#This Row],[RequiredDate]],Table1[[#This Row],[OrderDate]])</f>
        <v>44946</v>
      </c>
      <c r="E9" s="4">
        <f>IF(Table1[[#This Row],[RequiredDate]]&gt;Table1[[#This Row],[OrderDate]],Table1[[#This Row],[RequiredDate]],Table1[[#This Row],[OrderDate]])</f>
        <v>44960</v>
      </c>
      <c r="F9" s="21">
        <f>Table1[[#This Row],[New RD]]-Table1[[#This Row],[new   od]]</f>
        <v>14</v>
      </c>
      <c r="G9" s="4">
        <f>IF(Table1[[#This Row],[RequiredDate]]&lt;Table1[[#This Row],[OrderDate]], Table1[[#This Row],[OrderDate]]+7, Table1[[#This Row],[RequiredDate]])</f>
        <v>44960</v>
      </c>
      <c r="H9" s="21">
        <f t="shared" si="0"/>
        <v>14</v>
      </c>
      <c r="I9" s="6" t="str">
        <f>IF(Table1[[#This Row],[New LTD]]&lt;=7,"Yes","No")</f>
        <v>No</v>
      </c>
      <c r="J9" s="6" t="str">
        <f t="shared" si="10"/>
        <v>Yes</v>
      </c>
      <c r="K9" t="s">
        <v>646</v>
      </c>
      <c r="L9" t="s">
        <v>650</v>
      </c>
      <c r="M9" t="s">
        <v>662</v>
      </c>
      <c r="N9" t="s">
        <v>701</v>
      </c>
      <c r="O9" t="s">
        <v>707</v>
      </c>
      <c r="P9" t="s">
        <v>724</v>
      </c>
      <c r="Q9" t="s">
        <v>729</v>
      </c>
      <c r="R9" t="s">
        <v>937</v>
      </c>
      <c r="S9" s="6">
        <v>884.36</v>
      </c>
      <c r="T9" s="6">
        <v>1545.34</v>
      </c>
      <c r="U9" s="6">
        <f t="shared" si="1"/>
        <v>1545.34</v>
      </c>
      <c r="V9" s="8">
        <v>0.24299999999999999</v>
      </c>
      <c r="W9" s="6">
        <v>41</v>
      </c>
      <c r="X9" s="6">
        <f t="shared" si="2"/>
        <v>47962.717579999997</v>
      </c>
      <c r="Y9">
        <f t="shared" si="3"/>
        <v>36258.76</v>
      </c>
      <c r="Z9" s="6">
        <f t="shared" si="4"/>
        <v>11703.957579999995</v>
      </c>
      <c r="AA9">
        <f t="shared" si="5"/>
        <v>0.24402198562827965</v>
      </c>
      <c r="AB9" t="str">
        <f t="shared" si="6"/>
        <v>1-2023</v>
      </c>
      <c r="AC9" t="str">
        <f t="shared" si="7"/>
        <v>Q1-2023</v>
      </c>
      <c r="AD9" t="str">
        <f t="shared" si="8"/>
        <v>Africa →Kenya →Kisumu</v>
      </c>
      <c r="AE9" t="str">
        <f t="shared" si="9"/>
        <v>Medium</v>
      </c>
      <c r="AF9" t="str">
        <f>TEXT(Table1[[#This Row],[OrderDate]],"MMM")</f>
        <v>Jan</v>
      </c>
      <c r="AG9" t="str">
        <f>TEXT(Table1[[#This Row],[OrderDate]],"YYYY")</f>
        <v>2023</v>
      </c>
      <c r="AI9" s="4">
        <f>IF(Table1[[#This Row],[RequiredDate]]&lt;Table1[[#This Row],[OrderDate]], Table1[[#This Row],[OrderDate]]+7, Table1[[#This Row],[RequiredDate]])</f>
        <v>44960</v>
      </c>
      <c r="AJ9">
        <f>IF(Dashboard!$D$3&gt;'Staging Data'!V9,'Staging Data'!V9,Dashboard!D$3)</f>
        <v>0.2</v>
      </c>
      <c r="AK9" s="19">
        <f>(100%+Dashboard!$D$4)*'Staging Data'!S9</f>
        <v>928.57800000000009</v>
      </c>
      <c r="AL9">
        <f>(100%+Dashboard!$D$5)*'Staging Data'!W9</f>
        <v>47.15</v>
      </c>
    </row>
    <row r="10" spans="1:42" x14ac:dyDescent="0.35">
      <c r="A10" s="6" t="s">
        <v>144</v>
      </c>
      <c r="B10" s="4">
        <v>44948</v>
      </c>
      <c r="C10" s="4">
        <v>44956</v>
      </c>
      <c r="D10" s="4">
        <f>IF(Table1[[#This Row],[RequiredDate]]&lt;Table1[[#This Row],[OrderDate]],Table1[[#This Row],[RequiredDate]],Table1[[#This Row],[OrderDate]])</f>
        <v>44948</v>
      </c>
      <c r="E10" s="4">
        <f>IF(Table1[[#This Row],[RequiredDate]]&gt;Table1[[#This Row],[OrderDate]],Table1[[#This Row],[RequiredDate]],Table1[[#This Row],[OrderDate]])</f>
        <v>44956</v>
      </c>
      <c r="F10" s="21">
        <f>Table1[[#This Row],[New RD]]-Table1[[#This Row],[new   od]]</f>
        <v>8</v>
      </c>
      <c r="G10" s="4">
        <f>IF(Table1[[#This Row],[RequiredDate]]&lt;Table1[[#This Row],[OrderDate]], Table1[[#This Row],[OrderDate]]+7, Table1[[#This Row],[RequiredDate]])</f>
        <v>44956</v>
      </c>
      <c r="H10" s="21">
        <f t="shared" si="0"/>
        <v>8</v>
      </c>
      <c r="I10" s="6" t="str">
        <f>IF(Table1[[#This Row],[New LTD]]&lt;=7,"Yes","No")</f>
        <v>No</v>
      </c>
      <c r="J10" s="6" t="str">
        <f t="shared" si="10"/>
        <v>No</v>
      </c>
      <c r="K10" t="s">
        <v>648</v>
      </c>
      <c r="L10" t="s">
        <v>660</v>
      </c>
      <c r="M10" t="s">
        <v>686</v>
      </c>
      <c r="N10" t="s">
        <v>705</v>
      </c>
      <c r="O10" t="s">
        <v>708</v>
      </c>
      <c r="P10" t="s">
        <v>720</v>
      </c>
      <c r="Q10" t="s">
        <v>729</v>
      </c>
      <c r="R10" t="s">
        <v>863</v>
      </c>
      <c r="S10" s="6">
        <v>413.52</v>
      </c>
      <c r="T10" s="6">
        <v>1004.34</v>
      </c>
      <c r="U10" s="6">
        <f t="shared" si="1"/>
        <v>1004.34</v>
      </c>
      <c r="V10" s="8">
        <v>0.111</v>
      </c>
      <c r="W10" s="6">
        <v>18</v>
      </c>
      <c r="X10" s="6">
        <f t="shared" si="2"/>
        <v>16071.44868</v>
      </c>
      <c r="Y10">
        <f t="shared" si="3"/>
        <v>7443.36</v>
      </c>
      <c r="Z10" s="6">
        <f t="shared" si="4"/>
        <v>8628.0886800000007</v>
      </c>
      <c r="AA10">
        <f t="shared" si="5"/>
        <v>0.53685817948304593</v>
      </c>
      <c r="AB10" t="str">
        <f t="shared" si="6"/>
        <v>1-2023</v>
      </c>
      <c r="AC10" t="str">
        <f t="shared" si="7"/>
        <v>Q1-2023</v>
      </c>
      <c r="AD10" t="str">
        <f t="shared" si="8"/>
        <v>Americas →USA →San Francisco</v>
      </c>
      <c r="AE10" t="str">
        <f t="shared" si="9"/>
        <v>Medium</v>
      </c>
      <c r="AF10" t="str">
        <f>TEXT(Table1[[#This Row],[OrderDate]],"MMM")</f>
        <v>Jan</v>
      </c>
      <c r="AG10" t="str">
        <f>TEXT(Table1[[#This Row],[OrderDate]],"YYYY")</f>
        <v>2023</v>
      </c>
      <c r="AI10" s="4">
        <f>IF(Table1[[#This Row],[RequiredDate]]&lt;Table1[[#This Row],[OrderDate]], Table1[[#This Row],[OrderDate]]+7, Table1[[#This Row],[RequiredDate]])</f>
        <v>44956</v>
      </c>
      <c r="AJ10">
        <f>IF(Dashboard!$D$3&gt;'Staging Data'!V10,'Staging Data'!V10,Dashboard!D$3)</f>
        <v>0.111</v>
      </c>
      <c r="AK10" s="19">
        <f>(100%+Dashboard!$D$4)*'Staging Data'!S10</f>
        <v>434.19600000000003</v>
      </c>
      <c r="AL10">
        <f>(100%+Dashboard!$D$5)*'Staging Data'!W10</f>
        <v>20.7</v>
      </c>
    </row>
    <row r="11" spans="1:42" x14ac:dyDescent="0.35">
      <c r="A11" s="6" t="s">
        <v>231</v>
      </c>
      <c r="B11" s="4">
        <v>44948</v>
      </c>
      <c r="C11" s="4">
        <v>44947</v>
      </c>
      <c r="D11" s="4">
        <f>IF(Table1[[#This Row],[RequiredDate]]&lt;Table1[[#This Row],[OrderDate]],Table1[[#This Row],[RequiredDate]],Table1[[#This Row],[OrderDate]])</f>
        <v>44947</v>
      </c>
      <c r="E11" s="4">
        <f>IF(Table1[[#This Row],[RequiredDate]]&gt;Table1[[#This Row],[OrderDate]],Table1[[#This Row],[RequiredDate]],Table1[[#This Row],[OrderDate]])</f>
        <v>44948</v>
      </c>
      <c r="F11" s="21">
        <f>Table1[[#This Row],[New RD]]-Table1[[#This Row],[new   od]]</f>
        <v>1</v>
      </c>
      <c r="G11" s="4">
        <f>IF(Table1[[#This Row],[RequiredDate]]&lt;Table1[[#This Row],[OrderDate]], Table1[[#This Row],[OrderDate]]+7, Table1[[#This Row],[RequiredDate]])</f>
        <v>44955</v>
      </c>
      <c r="H11" s="21">
        <f t="shared" si="0"/>
        <v>7</v>
      </c>
      <c r="I11" s="6" t="str">
        <f>IF(Table1[[#This Row],[New LTD]]&lt;=7,"Yes","No")</f>
        <v>Yes</v>
      </c>
      <c r="J11" s="6" t="str">
        <f t="shared" si="10"/>
        <v>No</v>
      </c>
      <c r="K11" t="s">
        <v>649</v>
      </c>
      <c r="L11" t="s">
        <v>656</v>
      </c>
      <c r="M11" t="s">
        <v>684</v>
      </c>
      <c r="N11" t="s">
        <v>701</v>
      </c>
      <c r="O11" t="s">
        <v>711</v>
      </c>
      <c r="P11" t="s">
        <v>721</v>
      </c>
      <c r="Q11" t="s">
        <v>732</v>
      </c>
      <c r="R11" t="s">
        <v>951</v>
      </c>
      <c r="S11" s="6">
        <v>150.86000000000001</v>
      </c>
      <c r="T11" s="6">
        <v>346.96</v>
      </c>
      <c r="U11" s="6">
        <f t="shared" si="1"/>
        <v>346.96</v>
      </c>
      <c r="V11" s="8">
        <v>0.19600000000000001</v>
      </c>
      <c r="W11" s="6">
        <v>8</v>
      </c>
      <c r="X11" s="6">
        <f t="shared" si="2"/>
        <v>2231.6467200000002</v>
      </c>
      <c r="Y11">
        <f t="shared" si="3"/>
        <v>1206.8800000000001</v>
      </c>
      <c r="Z11" s="6">
        <f t="shared" si="4"/>
        <v>1024.7667200000001</v>
      </c>
      <c r="AA11">
        <f t="shared" si="5"/>
        <v>0.45919755614365343</v>
      </c>
      <c r="AB11" t="str">
        <f t="shared" si="6"/>
        <v>1-2023</v>
      </c>
      <c r="AC11" t="str">
        <f t="shared" si="7"/>
        <v>Q1-2023</v>
      </c>
      <c r="AD11" t="str">
        <f t="shared" si="8"/>
        <v>Europe →Germany →Munich</v>
      </c>
      <c r="AE11" t="str">
        <f t="shared" si="9"/>
        <v>Low</v>
      </c>
      <c r="AF11" t="str">
        <f>TEXT(Table1[[#This Row],[OrderDate]],"MMM")</f>
        <v>Jan</v>
      </c>
      <c r="AG11" t="str">
        <f>TEXT(Table1[[#This Row],[OrderDate]],"YYYY")</f>
        <v>2023</v>
      </c>
      <c r="AI11" s="4">
        <f>IF(Table1[[#This Row],[RequiredDate]]&lt;Table1[[#This Row],[OrderDate]], Table1[[#This Row],[OrderDate]]+7, Table1[[#This Row],[RequiredDate]])</f>
        <v>44955</v>
      </c>
      <c r="AJ11">
        <f>IF(Dashboard!$D$3&gt;'Staging Data'!V11,'Staging Data'!V11,Dashboard!D$3)</f>
        <v>0.19600000000000001</v>
      </c>
      <c r="AK11" s="19">
        <f>(100%+Dashboard!$D$4)*'Staging Data'!S11</f>
        <v>158.40300000000002</v>
      </c>
      <c r="AL11">
        <f>(100%+Dashboard!$D$5)*'Staging Data'!W11</f>
        <v>9.1999999999999993</v>
      </c>
    </row>
    <row r="12" spans="1:42" x14ac:dyDescent="0.35">
      <c r="A12" s="6" t="s">
        <v>554</v>
      </c>
      <c r="B12" s="4">
        <v>44952</v>
      </c>
      <c r="C12" s="4">
        <v>44972</v>
      </c>
      <c r="D12" s="4">
        <f>IF(Table1[[#This Row],[RequiredDate]]&lt;Table1[[#This Row],[OrderDate]],Table1[[#This Row],[RequiredDate]],Table1[[#This Row],[OrderDate]])</f>
        <v>44952</v>
      </c>
      <c r="E12" s="4">
        <f>IF(Table1[[#This Row],[RequiredDate]]&gt;Table1[[#This Row],[OrderDate]],Table1[[#This Row],[RequiredDate]],Table1[[#This Row],[OrderDate]])</f>
        <v>44972</v>
      </c>
      <c r="F12" s="21">
        <f>Table1[[#This Row],[New RD]]-Table1[[#This Row],[new   od]]</f>
        <v>20</v>
      </c>
      <c r="G12" s="4">
        <f>IF(Table1[[#This Row],[RequiredDate]]&lt;Table1[[#This Row],[OrderDate]], Table1[[#This Row],[OrderDate]]+7, Table1[[#This Row],[RequiredDate]])</f>
        <v>44972</v>
      </c>
      <c r="H12" s="21">
        <f t="shared" si="0"/>
        <v>20</v>
      </c>
      <c r="I12" s="6" t="str">
        <f>IF(Table1[[#This Row],[New LTD]]&lt;=7,"Yes","No")</f>
        <v>No</v>
      </c>
      <c r="J12" s="6" t="str">
        <f t="shared" si="10"/>
        <v>No</v>
      </c>
      <c r="K12" t="s">
        <v>649</v>
      </c>
      <c r="L12" t="s">
        <v>656</v>
      </c>
      <c r="M12" t="s">
        <v>671</v>
      </c>
      <c r="N12" t="s">
        <v>705</v>
      </c>
      <c r="O12" t="s">
        <v>708</v>
      </c>
      <c r="P12" t="s">
        <v>719</v>
      </c>
      <c r="Q12" t="s">
        <v>729</v>
      </c>
      <c r="R12" t="s">
        <v>1272</v>
      </c>
      <c r="S12" s="6">
        <v>492.62</v>
      </c>
      <c r="T12" s="6">
        <v>366.7</v>
      </c>
      <c r="U12" s="6">
        <f t="shared" si="1"/>
        <v>366.7</v>
      </c>
      <c r="V12" s="8">
        <v>8.8999999999999996E-2</v>
      </c>
      <c r="W12" s="6">
        <v>10</v>
      </c>
      <c r="X12" s="6">
        <f t="shared" si="2"/>
        <v>3340.6370000000002</v>
      </c>
      <c r="Y12">
        <f t="shared" si="3"/>
        <v>4926.2</v>
      </c>
      <c r="Z12" s="6">
        <f t="shared" si="4"/>
        <v>-1585.5629999999996</v>
      </c>
      <c r="AA12">
        <f t="shared" si="5"/>
        <v>-0.47462894052840809</v>
      </c>
      <c r="AB12" t="str">
        <f t="shared" si="6"/>
        <v>1-2023</v>
      </c>
      <c r="AC12" t="str">
        <f t="shared" si="7"/>
        <v>Q1-2023</v>
      </c>
      <c r="AD12" t="str">
        <f t="shared" si="8"/>
        <v>Europe →Germany →Berlin</v>
      </c>
      <c r="AE12" t="str">
        <f t="shared" si="9"/>
        <v>Low</v>
      </c>
      <c r="AF12" t="str">
        <f>TEXT(Table1[[#This Row],[OrderDate]],"MMM")</f>
        <v>Jan</v>
      </c>
      <c r="AG12" t="str">
        <f>TEXT(Table1[[#This Row],[OrderDate]],"YYYY")</f>
        <v>2023</v>
      </c>
      <c r="AI12" s="4">
        <f>IF(Table1[[#This Row],[RequiredDate]]&lt;Table1[[#This Row],[OrderDate]], Table1[[#This Row],[OrderDate]]+7, Table1[[#This Row],[RequiredDate]])</f>
        <v>44972</v>
      </c>
      <c r="AJ12">
        <f>IF(Dashboard!$D$3&gt;'Staging Data'!V12,'Staging Data'!V12,Dashboard!D$3)</f>
        <v>8.8999999999999996E-2</v>
      </c>
      <c r="AK12" s="19">
        <f>(100%+Dashboard!$D$4)*'Staging Data'!S12</f>
        <v>517.25099999999998</v>
      </c>
      <c r="AL12">
        <f>(100%+Dashboard!$D$5)*'Staging Data'!W12</f>
        <v>11.5</v>
      </c>
    </row>
    <row r="13" spans="1:42" x14ac:dyDescent="0.35">
      <c r="A13" s="6" t="s">
        <v>147</v>
      </c>
      <c r="B13" s="4">
        <v>44953</v>
      </c>
      <c r="C13" s="4">
        <v>44957</v>
      </c>
      <c r="D13" s="4">
        <f>IF(Table1[[#This Row],[RequiredDate]]&lt;Table1[[#This Row],[OrderDate]],Table1[[#This Row],[RequiredDate]],Table1[[#This Row],[OrderDate]])</f>
        <v>44953</v>
      </c>
      <c r="E13" s="4">
        <f>IF(Table1[[#This Row],[RequiredDate]]&gt;Table1[[#This Row],[OrderDate]],Table1[[#This Row],[RequiredDate]],Table1[[#This Row],[OrderDate]])</f>
        <v>44957</v>
      </c>
      <c r="F13" s="21">
        <f>Table1[[#This Row],[New RD]]-Table1[[#This Row],[new   od]]</f>
        <v>4</v>
      </c>
      <c r="G13" s="4">
        <f>IF(Table1[[#This Row],[RequiredDate]]&lt;Table1[[#This Row],[OrderDate]], Table1[[#This Row],[OrderDate]]+7, Table1[[#This Row],[RequiredDate]])</f>
        <v>44957</v>
      </c>
      <c r="H13" s="21">
        <f t="shared" si="0"/>
        <v>4</v>
      </c>
      <c r="I13" s="6" t="str">
        <f>IF(Table1[[#This Row],[New LTD]]&lt;=7,"Yes","No")</f>
        <v>Yes</v>
      </c>
      <c r="J13" s="6" t="str">
        <f t="shared" si="10"/>
        <v>Yes</v>
      </c>
      <c r="K13" t="s">
        <v>649</v>
      </c>
      <c r="L13" t="s">
        <v>658</v>
      </c>
      <c r="M13" t="s">
        <v>693</v>
      </c>
      <c r="N13" t="s">
        <v>706</v>
      </c>
      <c r="O13" t="s">
        <v>708</v>
      </c>
      <c r="P13" t="s">
        <v>725</v>
      </c>
      <c r="Q13" t="s">
        <v>731</v>
      </c>
      <c r="R13" t="s">
        <v>866</v>
      </c>
      <c r="S13" s="6">
        <v>941.2</v>
      </c>
      <c r="T13" s="6">
        <v>668.02</v>
      </c>
      <c r="U13" s="6">
        <f t="shared" si="1"/>
        <v>668.02</v>
      </c>
      <c r="V13" s="8">
        <v>0.22</v>
      </c>
      <c r="W13" s="6">
        <v>16</v>
      </c>
      <c r="X13" s="6">
        <f t="shared" si="2"/>
        <v>8336.8896000000004</v>
      </c>
      <c r="Y13">
        <f t="shared" si="3"/>
        <v>15059.2</v>
      </c>
      <c r="Z13" s="6">
        <f t="shared" si="4"/>
        <v>-6722.3104000000003</v>
      </c>
      <c r="AA13">
        <f t="shared" si="5"/>
        <v>-0.80633314371825193</v>
      </c>
      <c r="AB13" t="str">
        <f t="shared" si="6"/>
        <v>1-2023</v>
      </c>
      <c r="AC13" t="str">
        <f t="shared" si="7"/>
        <v>Q1-2023</v>
      </c>
      <c r="AD13" t="str">
        <f t="shared" si="8"/>
        <v>Europe →United Kingdom →Manchester</v>
      </c>
      <c r="AE13" t="str">
        <f t="shared" si="9"/>
        <v>Low</v>
      </c>
      <c r="AF13" t="str">
        <f>TEXT(Table1[[#This Row],[OrderDate]],"MMM")</f>
        <v>Jan</v>
      </c>
      <c r="AG13" t="str">
        <f>TEXT(Table1[[#This Row],[OrderDate]],"YYYY")</f>
        <v>2023</v>
      </c>
      <c r="AI13" s="4">
        <f>IF(Table1[[#This Row],[RequiredDate]]&lt;Table1[[#This Row],[OrderDate]], Table1[[#This Row],[OrderDate]]+7, Table1[[#This Row],[RequiredDate]])</f>
        <v>44957</v>
      </c>
      <c r="AJ13">
        <f>IF(Dashboard!$D$3&gt;'Staging Data'!V13,'Staging Data'!V13,Dashboard!D$3)</f>
        <v>0.2</v>
      </c>
      <c r="AK13" s="19">
        <f>(100%+Dashboard!$D$4)*'Staging Data'!S13</f>
        <v>988.2600000000001</v>
      </c>
      <c r="AL13">
        <f>(100%+Dashboard!$D$5)*'Staging Data'!W13</f>
        <v>18.399999999999999</v>
      </c>
    </row>
    <row r="14" spans="1:42" x14ac:dyDescent="0.35">
      <c r="A14" s="6" t="s">
        <v>144</v>
      </c>
      <c r="B14" s="4">
        <v>44955</v>
      </c>
      <c r="C14" s="4">
        <v>44985</v>
      </c>
      <c r="D14" s="4">
        <f>IF(Table1[[#This Row],[RequiredDate]]&lt;Table1[[#This Row],[OrderDate]],Table1[[#This Row],[RequiredDate]],Table1[[#This Row],[OrderDate]])</f>
        <v>44955</v>
      </c>
      <c r="E14" s="4">
        <f>IF(Table1[[#This Row],[RequiredDate]]&gt;Table1[[#This Row],[OrderDate]],Table1[[#This Row],[RequiredDate]],Table1[[#This Row],[OrderDate]])</f>
        <v>44985</v>
      </c>
      <c r="F14" s="21">
        <f>Table1[[#This Row],[New RD]]-Table1[[#This Row],[new   od]]</f>
        <v>30</v>
      </c>
      <c r="G14" s="4">
        <f>IF(Table1[[#This Row],[RequiredDate]]&lt;Table1[[#This Row],[OrderDate]], Table1[[#This Row],[OrderDate]]+7, Table1[[#This Row],[RequiredDate]])</f>
        <v>44985</v>
      </c>
      <c r="H14" s="21">
        <f t="shared" si="0"/>
        <v>30</v>
      </c>
      <c r="I14" s="6" t="str">
        <f>IF(Table1[[#This Row],[New LTD]]&lt;=7,"Yes","No")</f>
        <v>No</v>
      </c>
      <c r="J14" s="6" t="str">
        <f t="shared" si="10"/>
        <v>Yes</v>
      </c>
      <c r="K14" t="s">
        <v>647</v>
      </c>
      <c r="L14" t="s">
        <v>654</v>
      </c>
      <c r="M14" t="s">
        <v>668</v>
      </c>
      <c r="N14" t="s">
        <v>703</v>
      </c>
      <c r="O14" t="s">
        <v>707</v>
      </c>
      <c r="P14" t="s">
        <v>717</v>
      </c>
      <c r="Q14" t="s">
        <v>733</v>
      </c>
      <c r="R14" t="s">
        <v>921</v>
      </c>
      <c r="S14" s="6">
        <v>1262.0999999999999</v>
      </c>
      <c r="T14" s="6">
        <v>1395.53</v>
      </c>
      <c r="U14" s="6">
        <f t="shared" si="1"/>
        <v>1395.53</v>
      </c>
      <c r="V14" s="8">
        <v>0.23300000000000001</v>
      </c>
      <c r="W14" s="6">
        <v>25</v>
      </c>
      <c r="X14" s="6">
        <f t="shared" si="2"/>
        <v>26759.28775</v>
      </c>
      <c r="Y14">
        <f t="shared" si="3"/>
        <v>31552.499999999996</v>
      </c>
      <c r="Z14" s="6">
        <f t="shared" si="4"/>
        <v>-4793.2122499999969</v>
      </c>
      <c r="AA14">
        <f t="shared" si="5"/>
        <v>-0.17912331205452198</v>
      </c>
      <c r="AB14" t="str">
        <f t="shared" si="6"/>
        <v>1-2023</v>
      </c>
      <c r="AC14" t="str">
        <f t="shared" si="7"/>
        <v>Q1-2023</v>
      </c>
      <c r="AD14" t="str">
        <f t="shared" si="8"/>
        <v>Asia →India →Bengaluru</v>
      </c>
      <c r="AE14" t="str">
        <f t="shared" si="9"/>
        <v>Medium</v>
      </c>
      <c r="AF14" t="str">
        <f>TEXT(Table1[[#This Row],[OrderDate]],"MMM")</f>
        <v>Jan</v>
      </c>
      <c r="AG14" t="str">
        <f>TEXT(Table1[[#This Row],[OrderDate]],"YYYY")</f>
        <v>2023</v>
      </c>
      <c r="AI14" s="4">
        <f>IF(Table1[[#This Row],[RequiredDate]]&lt;Table1[[#This Row],[OrderDate]], Table1[[#This Row],[OrderDate]]+7, Table1[[#This Row],[RequiredDate]])</f>
        <v>44985</v>
      </c>
      <c r="AJ14">
        <f>IF(Dashboard!$D$3&gt;'Staging Data'!V14,'Staging Data'!V14,Dashboard!D$3)</f>
        <v>0.2</v>
      </c>
      <c r="AK14" s="19">
        <f>(100%+Dashboard!$D$4)*'Staging Data'!S14</f>
        <v>1325.2049999999999</v>
      </c>
      <c r="AL14">
        <f>(100%+Dashboard!$D$5)*'Staging Data'!W14</f>
        <v>28.749999999999996</v>
      </c>
    </row>
    <row r="15" spans="1:42" x14ac:dyDescent="0.35">
      <c r="A15" s="6" t="s">
        <v>596</v>
      </c>
      <c r="B15" s="4">
        <v>44955</v>
      </c>
      <c r="C15" s="4">
        <v>44963</v>
      </c>
      <c r="D15" s="4">
        <f>IF(Table1[[#This Row],[RequiredDate]]&lt;Table1[[#This Row],[OrderDate]],Table1[[#This Row],[RequiredDate]],Table1[[#This Row],[OrderDate]])</f>
        <v>44955</v>
      </c>
      <c r="E15" s="4">
        <f>IF(Table1[[#This Row],[RequiredDate]]&gt;Table1[[#This Row],[OrderDate]],Table1[[#This Row],[RequiredDate]],Table1[[#This Row],[OrderDate]])</f>
        <v>44963</v>
      </c>
      <c r="F15" s="21">
        <f>Table1[[#This Row],[New RD]]-Table1[[#This Row],[new   od]]</f>
        <v>8</v>
      </c>
      <c r="G15" s="4">
        <f>IF(Table1[[#This Row],[RequiredDate]]&lt;Table1[[#This Row],[OrderDate]], Table1[[#This Row],[OrderDate]]+7, Table1[[#This Row],[RequiredDate]])</f>
        <v>44963</v>
      </c>
      <c r="H15" s="21">
        <f t="shared" si="0"/>
        <v>8</v>
      </c>
      <c r="I15" s="6" t="str">
        <f>IF(Table1[[#This Row],[New LTD]]&lt;=7,"Yes","No")</f>
        <v>No</v>
      </c>
      <c r="J15" s="6" t="str">
        <f t="shared" si="10"/>
        <v>Yes</v>
      </c>
      <c r="K15" t="s">
        <v>648</v>
      </c>
      <c r="L15" t="s">
        <v>655</v>
      </c>
      <c r="M15" t="s">
        <v>672</v>
      </c>
      <c r="N15" t="s">
        <v>701</v>
      </c>
      <c r="O15" t="s">
        <v>709</v>
      </c>
      <c r="P15" t="s">
        <v>726</v>
      </c>
      <c r="Q15" t="s">
        <v>732</v>
      </c>
      <c r="R15" t="s">
        <v>1314</v>
      </c>
      <c r="S15" s="6">
        <v>41.84</v>
      </c>
      <c r="T15" s="6">
        <v>86.2</v>
      </c>
      <c r="U15" s="6">
        <f t="shared" si="1"/>
        <v>86.2</v>
      </c>
      <c r="V15" s="8">
        <v>0.22600000000000001</v>
      </c>
      <c r="W15" s="6">
        <v>27</v>
      </c>
      <c r="X15" s="6">
        <f t="shared" si="2"/>
        <v>1801.4076000000002</v>
      </c>
      <c r="Y15">
        <f t="shared" si="3"/>
        <v>1129.68</v>
      </c>
      <c r="Z15" s="6">
        <f t="shared" si="4"/>
        <v>671.72760000000017</v>
      </c>
      <c r="AA15">
        <f t="shared" si="5"/>
        <v>0.37289039970742882</v>
      </c>
      <c r="AB15" t="str">
        <f t="shared" si="6"/>
        <v>1-2023</v>
      </c>
      <c r="AC15" t="str">
        <f t="shared" si="7"/>
        <v>Q1-2023</v>
      </c>
      <c r="AD15" t="str">
        <f t="shared" si="8"/>
        <v>Americas →Brazil →Brasília</v>
      </c>
      <c r="AE15" t="str">
        <f t="shared" si="9"/>
        <v>Low</v>
      </c>
      <c r="AF15" t="str">
        <f>TEXT(Table1[[#This Row],[OrderDate]],"MMM")</f>
        <v>Jan</v>
      </c>
      <c r="AG15" t="str">
        <f>TEXT(Table1[[#This Row],[OrderDate]],"YYYY")</f>
        <v>2023</v>
      </c>
      <c r="AI15" s="4">
        <f>IF(Table1[[#This Row],[RequiredDate]]&lt;Table1[[#This Row],[OrderDate]], Table1[[#This Row],[OrderDate]]+7, Table1[[#This Row],[RequiredDate]])</f>
        <v>44963</v>
      </c>
      <c r="AJ15">
        <f>IF(Dashboard!$D$3&gt;'Staging Data'!V15,'Staging Data'!V15,Dashboard!D$3)</f>
        <v>0.2</v>
      </c>
      <c r="AK15" s="19">
        <f>(100%+Dashboard!$D$4)*'Staging Data'!S15</f>
        <v>43.932000000000002</v>
      </c>
      <c r="AL15">
        <f>(100%+Dashboard!$D$5)*'Staging Data'!W15</f>
        <v>31.049999999999997</v>
      </c>
    </row>
    <row r="16" spans="1:42" x14ac:dyDescent="0.35">
      <c r="A16" s="6" t="s">
        <v>212</v>
      </c>
      <c r="B16" s="4">
        <v>44956</v>
      </c>
      <c r="C16" s="4">
        <v>44978</v>
      </c>
      <c r="D16" s="4">
        <f>IF(Table1[[#This Row],[RequiredDate]]&lt;Table1[[#This Row],[OrderDate]],Table1[[#This Row],[RequiredDate]],Table1[[#This Row],[OrderDate]])</f>
        <v>44956</v>
      </c>
      <c r="E16" s="4">
        <f>IF(Table1[[#This Row],[RequiredDate]]&gt;Table1[[#This Row],[OrderDate]],Table1[[#This Row],[RequiredDate]],Table1[[#This Row],[OrderDate]])</f>
        <v>44978</v>
      </c>
      <c r="F16" s="21">
        <f>Table1[[#This Row],[New RD]]-Table1[[#This Row],[new   od]]</f>
        <v>22</v>
      </c>
      <c r="G16" s="4">
        <f>IF(Table1[[#This Row],[RequiredDate]]&lt;Table1[[#This Row],[OrderDate]], Table1[[#This Row],[OrderDate]]+7, Table1[[#This Row],[RequiredDate]])</f>
        <v>44978</v>
      </c>
      <c r="H16" s="21">
        <f t="shared" si="0"/>
        <v>22</v>
      </c>
      <c r="I16" s="6" t="str">
        <f>IF(Table1[[#This Row],[New LTD]]&lt;=7,"Yes","No")</f>
        <v>No</v>
      </c>
      <c r="J16" s="6" t="str">
        <f t="shared" si="10"/>
        <v>No</v>
      </c>
      <c r="K16" t="s">
        <v>649</v>
      </c>
      <c r="L16" t="s">
        <v>656</v>
      </c>
      <c r="M16" t="s">
        <v>684</v>
      </c>
      <c r="N16" t="s">
        <v>705</v>
      </c>
      <c r="O16" t="s">
        <v>709</v>
      </c>
      <c r="P16" t="s">
        <v>715</v>
      </c>
      <c r="Q16" t="s">
        <v>729</v>
      </c>
      <c r="R16" t="s">
        <v>932</v>
      </c>
      <c r="S16" s="6">
        <v>1142.8800000000001</v>
      </c>
      <c r="T16" s="6">
        <v>1465.29</v>
      </c>
      <c r="U16" s="6">
        <f t="shared" si="1"/>
        <v>1465.29</v>
      </c>
      <c r="V16" s="8">
        <v>0.186</v>
      </c>
      <c r="W16" s="6">
        <v>7</v>
      </c>
      <c r="X16" s="6">
        <f t="shared" si="2"/>
        <v>8349.2224200000001</v>
      </c>
      <c r="Y16">
        <f t="shared" si="3"/>
        <v>8000.1600000000008</v>
      </c>
      <c r="Z16" s="6">
        <f t="shared" si="4"/>
        <v>349.06241999999929</v>
      </c>
      <c r="AA16">
        <f t="shared" si="5"/>
        <v>4.1807775915017401E-2</v>
      </c>
      <c r="AB16" t="str">
        <f t="shared" si="6"/>
        <v>1-2023</v>
      </c>
      <c r="AC16" t="str">
        <f t="shared" si="7"/>
        <v>Q1-2023</v>
      </c>
      <c r="AD16" t="str">
        <f t="shared" si="8"/>
        <v>Europe →Germany →Munich</v>
      </c>
      <c r="AE16" t="str">
        <f t="shared" si="9"/>
        <v>Medium</v>
      </c>
      <c r="AF16" t="str">
        <f>TEXT(Table1[[#This Row],[OrderDate]],"MMM")</f>
        <v>Jan</v>
      </c>
      <c r="AG16" t="str">
        <f>TEXT(Table1[[#This Row],[OrderDate]],"YYYY")</f>
        <v>2023</v>
      </c>
      <c r="AI16" s="4">
        <f>IF(Table1[[#This Row],[RequiredDate]]&lt;Table1[[#This Row],[OrderDate]], Table1[[#This Row],[OrderDate]]+7, Table1[[#This Row],[RequiredDate]])</f>
        <v>44978</v>
      </c>
      <c r="AJ16">
        <f>IF(Dashboard!$D$3&gt;'Staging Data'!V16,'Staging Data'!V16,Dashboard!D$3)</f>
        <v>0.186</v>
      </c>
      <c r="AK16" s="19">
        <f>(100%+Dashboard!$D$4)*'Staging Data'!S16</f>
        <v>1200.0240000000001</v>
      </c>
      <c r="AL16">
        <f>(100%+Dashboard!$D$5)*'Staging Data'!W16</f>
        <v>8.0499999999999989</v>
      </c>
    </row>
    <row r="17" spans="1:38" x14ac:dyDescent="0.35">
      <c r="A17" s="6" t="s">
        <v>385</v>
      </c>
      <c r="B17" s="4">
        <v>44962</v>
      </c>
      <c r="C17" s="4">
        <v>44985</v>
      </c>
      <c r="D17" s="4">
        <f>IF(Table1[[#This Row],[RequiredDate]]&lt;Table1[[#This Row],[OrderDate]],Table1[[#This Row],[RequiredDate]],Table1[[#This Row],[OrderDate]])</f>
        <v>44962</v>
      </c>
      <c r="E17" s="4">
        <f>IF(Table1[[#This Row],[RequiredDate]]&gt;Table1[[#This Row],[OrderDate]],Table1[[#This Row],[RequiredDate]],Table1[[#This Row],[OrderDate]])</f>
        <v>44985</v>
      </c>
      <c r="F17" s="21">
        <f>Table1[[#This Row],[New RD]]-Table1[[#This Row],[new   od]]</f>
        <v>23</v>
      </c>
      <c r="G17" s="4">
        <f>IF(Table1[[#This Row],[RequiredDate]]&lt;Table1[[#This Row],[OrderDate]], Table1[[#This Row],[OrderDate]]+7, Table1[[#This Row],[RequiredDate]])</f>
        <v>44985</v>
      </c>
      <c r="H17" s="21">
        <f t="shared" si="0"/>
        <v>23</v>
      </c>
      <c r="I17" s="6" t="str">
        <f>IF(Table1[[#This Row],[New LTD]]&lt;=7,"Yes","No")</f>
        <v>No</v>
      </c>
      <c r="J17" s="6" t="str">
        <f t="shared" si="10"/>
        <v>No</v>
      </c>
      <c r="K17" t="s">
        <v>648</v>
      </c>
      <c r="L17" t="s">
        <v>660</v>
      </c>
      <c r="M17" t="s">
        <v>697</v>
      </c>
      <c r="N17" t="s">
        <v>703</v>
      </c>
      <c r="O17" t="s">
        <v>710</v>
      </c>
      <c r="P17" t="s">
        <v>716</v>
      </c>
      <c r="Q17" t="s">
        <v>730</v>
      </c>
      <c r="R17" t="s">
        <v>1105</v>
      </c>
      <c r="S17" s="6">
        <v>1214.49</v>
      </c>
      <c r="T17" s="6">
        <v>1533.95</v>
      </c>
      <c r="U17" s="6">
        <f t="shared" si="1"/>
        <v>1533.95</v>
      </c>
      <c r="V17" s="8">
        <v>0</v>
      </c>
      <c r="W17" s="6">
        <v>11</v>
      </c>
      <c r="X17" s="6">
        <f t="shared" si="2"/>
        <v>16873.45</v>
      </c>
      <c r="Y17">
        <f t="shared" si="3"/>
        <v>13359.39</v>
      </c>
      <c r="Z17" s="6">
        <f t="shared" si="4"/>
        <v>3514.0600000000013</v>
      </c>
      <c r="AA17">
        <f t="shared" si="5"/>
        <v>0.20825972163369086</v>
      </c>
      <c r="AB17" t="str">
        <f t="shared" si="6"/>
        <v>2-2023</v>
      </c>
      <c r="AC17" t="str">
        <f t="shared" si="7"/>
        <v>Q1-2023</v>
      </c>
      <c r="AD17" t="str">
        <f t="shared" si="8"/>
        <v>Americas →USA →Austin</v>
      </c>
      <c r="AE17" t="str">
        <f t="shared" si="9"/>
        <v>Medium</v>
      </c>
      <c r="AF17" t="str">
        <f>TEXT(Table1[[#This Row],[OrderDate]],"MMM")</f>
        <v>Feb</v>
      </c>
      <c r="AG17" t="str">
        <f>TEXT(Table1[[#This Row],[OrderDate]],"YYYY")</f>
        <v>2023</v>
      </c>
      <c r="AI17" s="4">
        <f>IF(Table1[[#This Row],[RequiredDate]]&lt;Table1[[#This Row],[OrderDate]], Table1[[#This Row],[OrderDate]]+7, Table1[[#This Row],[RequiredDate]])</f>
        <v>44985</v>
      </c>
      <c r="AJ17">
        <f>IF(Dashboard!$D$3&gt;'Staging Data'!V17,'Staging Data'!V17,Dashboard!D$3)</f>
        <v>0</v>
      </c>
      <c r="AK17" s="19">
        <f>(100%+Dashboard!$D$4)*'Staging Data'!S17</f>
        <v>1275.2145</v>
      </c>
      <c r="AL17">
        <f>(100%+Dashboard!$D$5)*'Staging Data'!W17</f>
        <v>12.649999999999999</v>
      </c>
    </row>
    <row r="18" spans="1:38" x14ac:dyDescent="0.35">
      <c r="A18" s="6" t="s">
        <v>39</v>
      </c>
      <c r="B18" s="4">
        <v>44964</v>
      </c>
      <c r="C18" s="4">
        <v>44969</v>
      </c>
      <c r="D18" s="4">
        <f>IF(Table1[[#This Row],[RequiredDate]]&lt;Table1[[#This Row],[OrderDate]],Table1[[#This Row],[RequiredDate]],Table1[[#This Row],[OrderDate]])</f>
        <v>44964</v>
      </c>
      <c r="E18" s="4">
        <f>IF(Table1[[#This Row],[RequiredDate]]&gt;Table1[[#This Row],[OrderDate]],Table1[[#This Row],[RequiredDate]],Table1[[#This Row],[OrderDate]])</f>
        <v>44969</v>
      </c>
      <c r="F18" s="21">
        <f>Table1[[#This Row],[New RD]]-Table1[[#This Row],[new   od]]</f>
        <v>5</v>
      </c>
      <c r="G18" s="4">
        <f>IF(Table1[[#This Row],[RequiredDate]]&lt;Table1[[#This Row],[OrderDate]], Table1[[#This Row],[OrderDate]]+7, Table1[[#This Row],[RequiredDate]])</f>
        <v>44969</v>
      </c>
      <c r="H18" s="21">
        <f t="shared" si="0"/>
        <v>5</v>
      </c>
      <c r="I18" s="6" t="str">
        <f>IF(Table1[[#This Row],[New LTD]]&lt;=7,"Yes","No")</f>
        <v>Yes</v>
      </c>
      <c r="J18" s="6" t="str">
        <f t="shared" si="10"/>
        <v>No</v>
      </c>
      <c r="K18" t="s">
        <v>648</v>
      </c>
      <c r="L18" t="s">
        <v>655</v>
      </c>
      <c r="M18" t="s">
        <v>670</v>
      </c>
      <c r="N18" t="s">
        <v>702</v>
      </c>
      <c r="O18" t="s">
        <v>708</v>
      </c>
      <c r="P18" t="s">
        <v>725</v>
      </c>
      <c r="Q18" t="s">
        <v>727</v>
      </c>
      <c r="R18" t="s">
        <v>758</v>
      </c>
      <c r="S18" s="6">
        <v>948.55</v>
      </c>
      <c r="T18" s="6">
        <v>2089.16</v>
      </c>
      <c r="U18" s="6">
        <f t="shared" si="1"/>
        <v>2089.16</v>
      </c>
      <c r="V18" s="8">
        <v>7.0000000000000001E-3</v>
      </c>
      <c r="W18" s="6">
        <v>12</v>
      </c>
      <c r="X18" s="6">
        <f t="shared" si="2"/>
        <v>24894.430559999997</v>
      </c>
      <c r="Y18">
        <f t="shared" si="3"/>
        <v>11382.599999999999</v>
      </c>
      <c r="Z18" s="6">
        <f t="shared" si="4"/>
        <v>13511.830559999999</v>
      </c>
      <c r="AA18">
        <f t="shared" si="5"/>
        <v>0.54276519912492427</v>
      </c>
      <c r="AB18" t="str">
        <f t="shared" si="6"/>
        <v>2-2023</v>
      </c>
      <c r="AC18" t="str">
        <f t="shared" si="7"/>
        <v>Q1-2023</v>
      </c>
      <c r="AD18" t="str">
        <f t="shared" si="8"/>
        <v>Americas →Brazil →São Paulo</v>
      </c>
      <c r="AE18" t="str">
        <f t="shared" si="9"/>
        <v>High</v>
      </c>
      <c r="AF18" t="str">
        <f>TEXT(Table1[[#This Row],[OrderDate]],"MMM")</f>
        <v>Feb</v>
      </c>
      <c r="AG18" t="str">
        <f>TEXT(Table1[[#This Row],[OrderDate]],"YYYY")</f>
        <v>2023</v>
      </c>
      <c r="AI18" s="4">
        <f>IF(Table1[[#This Row],[RequiredDate]]&lt;Table1[[#This Row],[OrderDate]], Table1[[#This Row],[OrderDate]]+7, Table1[[#This Row],[RequiredDate]])</f>
        <v>44969</v>
      </c>
      <c r="AJ18">
        <f>IF(Dashboard!$D$3&gt;'Staging Data'!V18,'Staging Data'!V18,Dashboard!D$3)</f>
        <v>7.0000000000000001E-3</v>
      </c>
      <c r="AK18" s="19">
        <f>(100%+Dashboard!$D$4)*'Staging Data'!S18</f>
        <v>995.97749999999996</v>
      </c>
      <c r="AL18">
        <f>(100%+Dashboard!$D$5)*'Staging Data'!W18</f>
        <v>13.799999999999999</v>
      </c>
    </row>
    <row r="19" spans="1:38" x14ac:dyDescent="0.35">
      <c r="A19" s="6" t="s">
        <v>95</v>
      </c>
      <c r="B19" s="4">
        <v>44965</v>
      </c>
      <c r="C19" s="4">
        <v>44968</v>
      </c>
      <c r="D19" s="4">
        <f>IF(Table1[[#This Row],[RequiredDate]]&lt;Table1[[#This Row],[OrderDate]],Table1[[#This Row],[RequiredDate]],Table1[[#This Row],[OrderDate]])</f>
        <v>44965</v>
      </c>
      <c r="E19" s="4">
        <f>IF(Table1[[#This Row],[RequiredDate]]&gt;Table1[[#This Row],[OrderDate]],Table1[[#This Row],[RequiredDate]],Table1[[#This Row],[OrderDate]])</f>
        <v>44968</v>
      </c>
      <c r="F19" s="21">
        <f>Table1[[#This Row],[New RD]]-Table1[[#This Row],[new   od]]</f>
        <v>3</v>
      </c>
      <c r="G19" s="4">
        <f>IF(Table1[[#This Row],[RequiredDate]]&lt;Table1[[#This Row],[OrderDate]], Table1[[#This Row],[OrderDate]]+7, Table1[[#This Row],[RequiredDate]])</f>
        <v>44968</v>
      </c>
      <c r="H19" s="21">
        <f t="shared" si="0"/>
        <v>3</v>
      </c>
      <c r="I19" s="6" t="str">
        <f>IF(Table1[[#This Row],[New LTD]]&lt;=7,"Yes","No")</f>
        <v>Yes</v>
      </c>
      <c r="J19" s="6" t="str">
        <f t="shared" si="10"/>
        <v>No</v>
      </c>
      <c r="K19" t="s">
        <v>646</v>
      </c>
      <c r="L19" t="s">
        <v>661</v>
      </c>
      <c r="M19" t="s">
        <v>695</v>
      </c>
      <c r="N19" t="s">
        <v>701</v>
      </c>
      <c r="O19" t="s">
        <v>711</v>
      </c>
      <c r="P19" t="s">
        <v>724</v>
      </c>
      <c r="Q19" t="s">
        <v>729</v>
      </c>
      <c r="R19" t="s">
        <v>814</v>
      </c>
      <c r="S19" s="6">
        <v>1410.05</v>
      </c>
      <c r="T19" s="6">
        <v>2763.95</v>
      </c>
      <c r="U19" s="6">
        <f t="shared" si="1"/>
        <v>2763.95</v>
      </c>
      <c r="V19" s="8">
        <v>0.161</v>
      </c>
      <c r="W19" s="6">
        <v>26</v>
      </c>
      <c r="X19" s="6">
        <f t="shared" si="2"/>
        <v>60292.805299999993</v>
      </c>
      <c r="Y19">
        <f t="shared" si="3"/>
        <v>36661.299999999996</v>
      </c>
      <c r="Z19" s="6">
        <f t="shared" si="4"/>
        <v>23631.505299999997</v>
      </c>
      <c r="AA19">
        <f t="shared" si="5"/>
        <v>0.39194569206750779</v>
      </c>
      <c r="AB19" t="str">
        <f t="shared" si="6"/>
        <v>2-2023</v>
      </c>
      <c r="AC19" t="str">
        <f t="shared" si="7"/>
        <v>Q1-2023</v>
      </c>
      <c r="AD19" t="str">
        <f t="shared" si="8"/>
        <v>Africa →South Africa →Cape Town</v>
      </c>
      <c r="AE19" t="str">
        <f t="shared" si="9"/>
        <v>High</v>
      </c>
      <c r="AF19" t="str">
        <f>TEXT(Table1[[#This Row],[OrderDate]],"MMM")</f>
        <v>Feb</v>
      </c>
      <c r="AG19" t="str">
        <f>TEXT(Table1[[#This Row],[OrderDate]],"YYYY")</f>
        <v>2023</v>
      </c>
      <c r="AI19" s="4">
        <f>IF(Table1[[#This Row],[RequiredDate]]&lt;Table1[[#This Row],[OrderDate]], Table1[[#This Row],[OrderDate]]+7, Table1[[#This Row],[RequiredDate]])</f>
        <v>44968</v>
      </c>
      <c r="AJ19">
        <f>IF(Dashboard!$D$3&gt;'Staging Data'!V19,'Staging Data'!V19,Dashboard!D$3)</f>
        <v>0.161</v>
      </c>
      <c r="AK19" s="19">
        <f>(100%+Dashboard!$D$4)*'Staging Data'!S19</f>
        <v>1480.5525</v>
      </c>
      <c r="AL19">
        <f>(100%+Dashboard!$D$5)*'Staging Data'!W19</f>
        <v>29.9</v>
      </c>
    </row>
    <row r="20" spans="1:38" x14ac:dyDescent="0.35">
      <c r="A20" s="6" t="s">
        <v>557</v>
      </c>
      <c r="B20" s="4">
        <v>44968</v>
      </c>
      <c r="C20" s="4">
        <v>44969</v>
      </c>
      <c r="D20" s="4">
        <f>IF(Table1[[#This Row],[RequiredDate]]&lt;Table1[[#This Row],[OrderDate]],Table1[[#This Row],[RequiredDate]],Table1[[#This Row],[OrderDate]])</f>
        <v>44968</v>
      </c>
      <c r="E20" s="4">
        <f>IF(Table1[[#This Row],[RequiredDate]]&gt;Table1[[#This Row],[OrderDate]],Table1[[#This Row],[RequiredDate]],Table1[[#This Row],[OrderDate]])</f>
        <v>44969</v>
      </c>
      <c r="F20" s="21">
        <f>Table1[[#This Row],[New RD]]-Table1[[#This Row],[new   od]]</f>
        <v>1</v>
      </c>
      <c r="G20" s="4">
        <f>IF(Table1[[#This Row],[RequiredDate]]&lt;Table1[[#This Row],[OrderDate]], Table1[[#This Row],[OrderDate]]+7, Table1[[#This Row],[RequiredDate]])</f>
        <v>44969</v>
      </c>
      <c r="H20" s="21">
        <f t="shared" si="0"/>
        <v>1</v>
      </c>
      <c r="I20" s="6" t="str">
        <f>IF(Table1[[#This Row],[New LTD]]&lt;=7,"Yes","No")</f>
        <v>Yes</v>
      </c>
      <c r="J20" s="6" t="str">
        <f t="shared" si="10"/>
        <v>No</v>
      </c>
      <c r="K20" t="s">
        <v>646</v>
      </c>
      <c r="L20" t="s">
        <v>651</v>
      </c>
      <c r="M20" t="s">
        <v>663</v>
      </c>
      <c r="N20" t="s">
        <v>703</v>
      </c>
      <c r="O20" t="s">
        <v>711</v>
      </c>
      <c r="P20" t="s">
        <v>726</v>
      </c>
      <c r="Q20" t="s">
        <v>733</v>
      </c>
      <c r="R20" t="s">
        <v>1275</v>
      </c>
      <c r="S20" s="6">
        <v>944.61</v>
      </c>
      <c r="T20" s="6">
        <v>839.04</v>
      </c>
      <c r="U20" s="6">
        <f t="shared" si="1"/>
        <v>839.04</v>
      </c>
      <c r="V20" s="8">
        <v>5.8999999999999997E-2</v>
      </c>
      <c r="W20" s="6">
        <v>6</v>
      </c>
      <c r="X20" s="6">
        <f t="shared" si="2"/>
        <v>4737.2198399999997</v>
      </c>
      <c r="Y20">
        <f t="shared" si="3"/>
        <v>5667.66</v>
      </c>
      <c r="Z20" s="6">
        <f t="shared" si="4"/>
        <v>-930.44016000000011</v>
      </c>
      <c r="AA20">
        <f t="shared" si="5"/>
        <v>-0.19641059343363726</v>
      </c>
      <c r="AB20" t="str">
        <f t="shared" si="6"/>
        <v>2-2023</v>
      </c>
      <c r="AC20" t="str">
        <f t="shared" si="7"/>
        <v>Q1-2023</v>
      </c>
      <c r="AD20" t="str">
        <f t="shared" si="8"/>
        <v>Africa →Nigeria →Port Harcourt</v>
      </c>
      <c r="AE20" t="str">
        <f t="shared" si="9"/>
        <v>Medium</v>
      </c>
      <c r="AF20" t="str">
        <f>TEXT(Table1[[#This Row],[OrderDate]],"MMM")</f>
        <v>Feb</v>
      </c>
      <c r="AG20" t="str">
        <f>TEXT(Table1[[#This Row],[OrderDate]],"YYYY")</f>
        <v>2023</v>
      </c>
      <c r="AI20" s="4">
        <f>IF(Table1[[#This Row],[RequiredDate]]&lt;Table1[[#This Row],[OrderDate]], Table1[[#This Row],[OrderDate]]+7, Table1[[#This Row],[RequiredDate]])</f>
        <v>44969</v>
      </c>
      <c r="AJ20">
        <f>IF(Dashboard!$D$3&gt;'Staging Data'!V20,'Staging Data'!V20,Dashboard!D$3)</f>
        <v>5.8999999999999997E-2</v>
      </c>
      <c r="AK20" s="19">
        <f>(100%+Dashboard!$D$4)*'Staging Data'!S20</f>
        <v>991.84050000000002</v>
      </c>
      <c r="AL20">
        <f>(100%+Dashboard!$D$5)*'Staging Data'!W20</f>
        <v>6.8999999999999995</v>
      </c>
    </row>
    <row r="21" spans="1:38" x14ac:dyDescent="0.35">
      <c r="A21" s="6" t="s">
        <v>79</v>
      </c>
      <c r="B21" s="4">
        <v>44972</v>
      </c>
      <c r="C21" s="4">
        <v>44983</v>
      </c>
      <c r="D21" s="4">
        <f>IF(Table1[[#This Row],[RequiredDate]]&lt;Table1[[#This Row],[OrderDate]],Table1[[#This Row],[RequiredDate]],Table1[[#This Row],[OrderDate]])</f>
        <v>44972</v>
      </c>
      <c r="E21" s="4">
        <f>IF(Table1[[#This Row],[RequiredDate]]&gt;Table1[[#This Row],[OrderDate]],Table1[[#This Row],[RequiredDate]],Table1[[#This Row],[OrderDate]])</f>
        <v>44983</v>
      </c>
      <c r="F21" s="21">
        <f>Table1[[#This Row],[New RD]]-Table1[[#This Row],[new   od]]</f>
        <v>11</v>
      </c>
      <c r="G21" s="4">
        <f>IF(Table1[[#This Row],[RequiredDate]]&lt;Table1[[#This Row],[OrderDate]], Table1[[#This Row],[OrderDate]]+7, Table1[[#This Row],[RequiredDate]])</f>
        <v>44983</v>
      </c>
      <c r="H21" s="21">
        <f t="shared" si="0"/>
        <v>11</v>
      </c>
      <c r="I21" s="6" t="str">
        <f>IF(Table1[[#This Row],[New LTD]]&lt;=7,"Yes","No")</f>
        <v>No</v>
      </c>
      <c r="J21" s="6" t="str">
        <f t="shared" si="10"/>
        <v>No</v>
      </c>
      <c r="K21" t="s">
        <v>646</v>
      </c>
      <c r="L21" t="s">
        <v>661</v>
      </c>
      <c r="M21" t="s">
        <v>682</v>
      </c>
      <c r="N21" t="s">
        <v>703</v>
      </c>
      <c r="O21" t="s">
        <v>707</v>
      </c>
      <c r="P21" t="s">
        <v>723</v>
      </c>
      <c r="Q21" t="s">
        <v>731</v>
      </c>
      <c r="R21" t="s">
        <v>798</v>
      </c>
      <c r="S21" s="6">
        <v>498.5</v>
      </c>
      <c r="T21" s="6">
        <v>755.87</v>
      </c>
      <c r="U21" s="6">
        <f t="shared" si="1"/>
        <v>755.87</v>
      </c>
      <c r="V21" s="8">
        <v>0.13</v>
      </c>
      <c r="W21" s="6">
        <v>40</v>
      </c>
      <c r="X21" s="6">
        <f t="shared" si="2"/>
        <v>26304.275999999998</v>
      </c>
      <c r="Y21">
        <f t="shared" si="3"/>
        <v>19940</v>
      </c>
      <c r="Z21" s="6">
        <f t="shared" si="4"/>
        <v>6364.275999999998</v>
      </c>
      <c r="AA21">
        <f t="shared" si="5"/>
        <v>0.24194834330357537</v>
      </c>
      <c r="AB21" t="str">
        <f t="shared" si="6"/>
        <v>2-2023</v>
      </c>
      <c r="AC21" t="str">
        <f t="shared" si="7"/>
        <v>Q1-2023</v>
      </c>
      <c r="AD21" t="str">
        <f t="shared" si="8"/>
        <v>Africa →South Africa →Johannesburg</v>
      </c>
      <c r="AE21" t="str">
        <f t="shared" si="9"/>
        <v>Low</v>
      </c>
      <c r="AF21" t="str">
        <f>TEXT(Table1[[#This Row],[OrderDate]],"MMM")</f>
        <v>Feb</v>
      </c>
      <c r="AG21" t="str">
        <f>TEXT(Table1[[#This Row],[OrderDate]],"YYYY")</f>
        <v>2023</v>
      </c>
      <c r="AI21" s="4">
        <f>IF(Table1[[#This Row],[RequiredDate]]&lt;Table1[[#This Row],[OrderDate]], Table1[[#This Row],[OrderDate]]+7, Table1[[#This Row],[RequiredDate]])</f>
        <v>44983</v>
      </c>
      <c r="AJ21">
        <f>IF(Dashboard!$D$3&gt;'Staging Data'!V21,'Staging Data'!V21,Dashboard!D$3)</f>
        <v>0.13</v>
      </c>
      <c r="AK21" s="19">
        <f>(100%+Dashboard!$D$4)*'Staging Data'!S21</f>
        <v>523.42500000000007</v>
      </c>
      <c r="AL21">
        <f>(100%+Dashboard!$D$5)*'Staging Data'!W21</f>
        <v>46</v>
      </c>
    </row>
    <row r="22" spans="1:38" x14ac:dyDescent="0.35">
      <c r="A22" s="6" t="s">
        <v>180</v>
      </c>
      <c r="B22" s="4">
        <v>44976</v>
      </c>
      <c r="C22" s="4">
        <v>44997</v>
      </c>
      <c r="D22" s="4">
        <f>IF(Table1[[#This Row],[RequiredDate]]&lt;Table1[[#This Row],[OrderDate]],Table1[[#This Row],[RequiredDate]],Table1[[#This Row],[OrderDate]])</f>
        <v>44976</v>
      </c>
      <c r="E22" s="4">
        <f>IF(Table1[[#This Row],[RequiredDate]]&gt;Table1[[#This Row],[OrderDate]],Table1[[#This Row],[RequiredDate]],Table1[[#This Row],[OrderDate]])</f>
        <v>44997</v>
      </c>
      <c r="F22" s="21">
        <f>Table1[[#This Row],[New RD]]-Table1[[#This Row],[new   od]]</f>
        <v>21</v>
      </c>
      <c r="G22" s="4">
        <f>IF(Table1[[#This Row],[RequiredDate]]&lt;Table1[[#This Row],[OrderDate]], Table1[[#This Row],[OrderDate]]+7, Table1[[#This Row],[RequiredDate]])</f>
        <v>44997</v>
      </c>
      <c r="H22" s="21">
        <f t="shared" si="0"/>
        <v>21</v>
      </c>
      <c r="I22" s="6" t="str">
        <f>IF(Table1[[#This Row],[New LTD]]&lt;=7,"Yes","No")</f>
        <v>No</v>
      </c>
      <c r="J22" s="6" t="str">
        <f t="shared" si="10"/>
        <v>No</v>
      </c>
      <c r="K22" t="s">
        <v>649</v>
      </c>
      <c r="L22" t="s">
        <v>656</v>
      </c>
      <c r="M22" t="s">
        <v>671</v>
      </c>
      <c r="N22" t="s">
        <v>705</v>
      </c>
      <c r="O22" t="s">
        <v>711</v>
      </c>
      <c r="P22" t="s">
        <v>716</v>
      </c>
      <c r="Q22" t="s">
        <v>732</v>
      </c>
      <c r="R22" t="s">
        <v>899</v>
      </c>
      <c r="S22" s="6">
        <v>1234.81</v>
      </c>
      <c r="T22" s="6">
        <v>2055.2399999999998</v>
      </c>
      <c r="U22" s="6">
        <f t="shared" si="1"/>
        <v>2055.2399999999998</v>
      </c>
      <c r="V22" s="8">
        <v>5.2999999999999999E-2</v>
      </c>
      <c r="W22" s="6">
        <v>44</v>
      </c>
      <c r="X22" s="6">
        <f t="shared" si="2"/>
        <v>85637.740319999997</v>
      </c>
      <c r="Y22">
        <f t="shared" si="3"/>
        <v>54331.64</v>
      </c>
      <c r="Z22" s="6">
        <f t="shared" si="4"/>
        <v>31306.100319999998</v>
      </c>
      <c r="AA22">
        <f t="shared" si="5"/>
        <v>0.36556429680441616</v>
      </c>
      <c r="AB22" t="str">
        <f t="shared" si="6"/>
        <v>2-2023</v>
      </c>
      <c r="AC22" t="str">
        <f t="shared" si="7"/>
        <v>Q1-2023</v>
      </c>
      <c r="AD22" t="str">
        <f t="shared" si="8"/>
        <v>Europe →Germany →Berlin</v>
      </c>
      <c r="AE22" t="str">
        <f t="shared" si="9"/>
        <v>High</v>
      </c>
      <c r="AF22" t="str">
        <f>TEXT(Table1[[#This Row],[OrderDate]],"MMM")</f>
        <v>Feb</v>
      </c>
      <c r="AG22" t="str">
        <f>TEXT(Table1[[#This Row],[OrderDate]],"YYYY")</f>
        <v>2023</v>
      </c>
      <c r="AI22" s="4">
        <f>IF(Table1[[#This Row],[RequiredDate]]&lt;Table1[[#This Row],[OrderDate]], Table1[[#This Row],[OrderDate]]+7, Table1[[#This Row],[RequiredDate]])</f>
        <v>44997</v>
      </c>
      <c r="AJ22">
        <f>IF(Dashboard!$D$3&gt;'Staging Data'!V22,'Staging Data'!V22,Dashboard!D$3)</f>
        <v>5.2999999999999999E-2</v>
      </c>
      <c r="AK22" s="19">
        <f>(100%+Dashboard!$D$4)*'Staging Data'!S22</f>
        <v>1296.5505000000001</v>
      </c>
      <c r="AL22">
        <f>(100%+Dashboard!$D$5)*'Staging Data'!W22</f>
        <v>50.599999999999994</v>
      </c>
    </row>
    <row r="23" spans="1:38" x14ac:dyDescent="0.35">
      <c r="A23" s="6" t="s">
        <v>175</v>
      </c>
      <c r="B23" s="4">
        <v>44977</v>
      </c>
      <c r="C23" s="4">
        <v>44989</v>
      </c>
      <c r="D23" s="4">
        <f>IF(Table1[[#This Row],[RequiredDate]]&lt;Table1[[#This Row],[OrderDate]],Table1[[#This Row],[RequiredDate]],Table1[[#This Row],[OrderDate]])</f>
        <v>44977</v>
      </c>
      <c r="E23" s="4">
        <f>IF(Table1[[#This Row],[RequiredDate]]&gt;Table1[[#This Row],[OrderDate]],Table1[[#This Row],[RequiredDate]],Table1[[#This Row],[OrderDate]])</f>
        <v>44989</v>
      </c>
      <c r="F23" s="21">
        <f>Table1[[#This Row],[New RD]]-Table1[[#This Row],[new   od]]</f>
        <v>12</v>
      </c>
      <c r="G23" s="4">
        <f>IF(Table1[[#This Row],[RequiredDate]]&lt;Table1[[#This Row],[OrderDate]], Table1[[#This Row],[OrderDate]]+7, Table1[[#This Row],[RequiredDate]])</f>
        <v>44989</v>
      </c>
      <c r="H23" s="21">
        <f t="shared" si="0"/>
        <v>12</v>
      </c>
      <c r="I23" s="6" t="str">
        <f>IF(Table1[[#This Row],[New LTD]]&lt;=7,"Yes","No")</f>
        <v>No</v>
      </c>
      <c r="J23" s="6" t="str">
        <f t="shared" si="10"/>
        <v>No</v>
      </c>
      <c r="K23" t="s">
        <v>647</v>
      </c>
      <c r="L23" t="s">
        <v>654</v>
      </c>
      <c r="M23" t="s">
        <v>680</v>
      </c>
      <c r="N23" t="s">
        <v>704</v>
      </c>
      <c r="O23" t="s">
        <v>710</v>
      </c>
      <c r="P23" t="s">
        <v>724</v>
      </c>
      <c r="Q23" t="s">
        <v>732</v>
      </c>
      <c r="R23" t="s">
        <v>894</v>
      </c>
      <c r="S23" s="6">
        <v>299.75</v>
      </c>
      <c r="T23" s="6">
        <v>523.01</v>
      </c>
      <c r="U23" s="6">
        <f t="shared" si="1"/>
        <v>523.01</v>
      </c>
      <c r="V23" s="8">
        <v>0.157</v>
      </c>
      <c r="W23" s="6">
        <v>50</v>
      </c>
      <c r="X23" s="6">
        <f t="shared" si="2"/>
        <v>22044.871499999997</v>
      </c>
      <c r="Y23">
        <f t="shared" si="3"/>
        <v>14987.5</v>
      </c>
      <c r="Z23" s="6">
        <f t="shared" si="4"/>
        <v>7057.3714999999975</v>
      </c>
      <c r="AA23">
        <f t="shared" si="5"/>
        <v>0.32013665854210122</v>
      </c>
      <c r="AB23" t="str">
        <f t="shared" si="6"/>
        <v>2-2023</v>
      </c>
      <c r="AC23" t="str">
        <f t="shared" si="7"/>
        <v>Q1-2023</v>
      </c>
      <c r="AD23" t="str">
        <f t="shared" si="8"/>
        <v>Asia →India →Delhi</v>
      </c>
      <c r="AE23" t="str">
        <f t="shared" si="9"/>
        <v>Low</v>
      </c>
      <c r="AF23" t="str">
        <f>TEXT(Table1[[#This Row],[OrderDate]],"MMM")</f>
        <v>Feb</v>
      </c>
      <c r="AG23" t="str">
        <f>TEXT(Table1[[#This Row],[OrderDate]],"YYYY")</f>
        <v>2023</v>
      </c>
      <c r="AI23" s="4">
        <f>IF(Table1[[#This Row],[RequiredDate]]&lt;Table1[[#This Row],[OrderDate]], Table1[[#This Row],[OrderDate]]+7, Table1[[#This Row],[RequiredDate]])</f>
        <v>44989</v>
      </c>
      <c r="AJ23">
        <f>IF(Dashboard!$D$3&gt;'Staging Data'!V23,'Staging Data'!V23,Dashboard!D$3)</f>
        <v>0.157</v>
      </c>
      <c r="AK23" s="19">
        <f>(100%+Dashboard!$D$4)*'Staging Data'!S23</f>
        <v>314.73750000000001</v>
      </c>
      <c r="AL23">
        <f>(100%+Dashboard!$D$5)*'Staging Data'!W23</f>
        <v>57.499999999999993</v>
      </c>
    </row>
    <row r="24" spans="1:38" x14ac:dyDescent="0.35">
      <c r="A24" s="6" t="s">
        <v>453</v>
      </c>
      <c r="B24" s="4">
        <v>44978</v>
      </c>
      <c r="C24" s="4">
        <v>44997</v>
      </c>
      <c r="D24" s="4">
        <f>IF(Table1[[#This Row],[RequiredDate]]&lt;Table1[[#This Row],[OrderDate]],Table1[[#This Row],[RequiredDate]],Table1[[#This Row],[OrderDate]])</f>
        <v>44978</v>
      </c>
      <c r="E24" s="4">
        <f>IF(Table1[[#This Row],[RequiredDate]]&gt;Table1[[#This Row],[OrderDate]],Table1[[#This Row],[RequiredDate]],Table1[[#This Row],[OrderDate]])</f>
        <v>44997</v>
      </c>
      <c r="F24" s="21">
        <f>Table1[[#This Row],[New RD]]-Table1[[#This Row],[new   od]]</f>
        <v>19</v>
      </c>
      <c r="G24" s="4">
        <f>IF(Table1[[#This Row],[RequiredDate]]&lt;Table1[[#This Row],[OrderDate]], Table1[[#This Row],[OrderDate]]+7, Table1[[#This Row],[RequiredDate]])</f>
        <v>44997</v>
      </c>
      <c r="H24" s="21">
        <f t="shared" si="0"/>
        <v>19</v>
      </c>
      <c r="I24" s="6" t="str">
        <f>IF(Table1[[#This Row],[New LTD]]&lt;=7,"Yes","No")</f>
        <v>No</v>
      </c>
      <c r="J24" s="6" t="str">
        <f t="shared" si="10"/>
        <v>No</v>
      </c>
      <c r="K24" t="s">
        <v>646</v>
      </c>
      <c r="L24" t="s">
        <v>650</v>
      </c>
      <c r="M24" t="s">
        <v>678</v>
      </c>
      <c r="N24" t="s">
        <v>701</v>
      </c>
      <c r="O24" t="s">
        <v>708</v>
      </c>
      <c r="P24" t="s">
        <v>721</v>
      </c>
      <c r="Q24" t="s">
        <v>729</v>
      </c>
      <c r="R24" t="s">
        <v>1172</v>
      </c>
      <c r="S24" s="6">
        <v>352.65</v>
      </c>
      <c r="T24" s="6">
        <v>485.86</v>
      </c>
      <c r="U24" s="6">
        <f t="shared" si="1"/>
        <v>485.86</v>
      </c>
      <c r="V24" s="8">
        <v>4.1000000000000002E-2</v>
      </c>
      <c r="W24" s="6">
        <v>6</v>
      </c>
      <c r="X24" s="6">
        <f t="shared" si="2"/>
        <v>2795.6384399999997</v>
      </c>
      <c r="Y24">
        <f t="shared" si="3"/>
        <v>2115.8999999999996</v>
      </c>
      <c r="Z24" s="6">
        <f t="shared" si="4"/>
        <v>679.73844000000008</v>
      </c>
      <c r="AA24">
        <f t="shared" si="5"/>
        <v>0.24314247159943908</v>
      </c>
      <c r="AB24" t="str">
        <f t="shared" si="6"/>
        <v>2-2023</v>
      </c>
      <c r="AC24" t="str">
        <f t="shared" si="7"/>
        <v>Q1-2023</v>
      </c>
      <c r="AD24" t="str">
        <f t="shared" si="8"/>
        <v>Africa →Kenya →Nakuru</v>
      </c>
      <c r="AE24" t="str">
        <f t="shared" si="9"/>
        <v>Low</v>
      </c>
      <c r="AF24" t="str">
        <f>TEXT(Table1[[#This Row],[OrderDate]],"MMM")</f>
        <v>Feb</v>
      </c>
      <c r="AG24" t="str">
        <f>TEXT(Table1[[#This Row],[OrderDate]],"YYYY")</f>
        <v>2023</v>
      </c>
      <c r="AI24" s="4">
        <f>IF(Table1[[#This Row],[RequiredDate]]&lt;Table1[[#This Row],[OrderDate]], Table1[[#This Row],[OrderDate]]+7, Table1[[#This Row],[RequiredDate]])</f>
        <v>44997</v>
      </c>
      <c r="AJ24">
        <f>IF(Dashboard!$D$3&gt;'Staging Data'!V24,'Staging Data'!V24,Dashboard!D$3)</f>
        <v>4.1000000000000002E-2</v>
      </c>
      <c r="AK24" s="19">
        <f>(100%+Dashboard!$D$4)*'Staging Data'!S24</f>
        <v>370.28249999999997</v>
      </c>
      <c r="AL24">
        <f>(100%+Dashboard!$D$5)*'Staging Data'!W24</f>
        <v>6.8999999999999995</v>
      </c>
    </row>
    <row r="25" spans="1:38" x14ac:dyDescent="0.35">
      <c r="A25" s="6" t="s">
        <v>46</v>
      </c>
      <c r="B25" s="4">
        <v>44980</v>
      </c>
      <c r="C25" s="4">
        <v>45010</v>
      </c>
      <c r="D25" s="4">
        <f>IF(Table1[[#This Row],[RequiredDate]]&lt;Table1[[#This Row],[OrderDate]],Table1[[#This Row],[RequiredDate]],Table1[[#This Row],[OrderDate]])</f>
        <v>44980</v>
      </c>
      <c r="E25" s="4">
        <f>IF(Table1[[#This Row],[RequiredDate]]&gt;Table1[[#This Row],[OrderDate]],Table1[[#This Row],[RequiredDate]],Table1[[#This Row],[OrderDate]])</f>
        <v>45010</v>
      </c>
      <c r="F25" s="21">
        <f>Table1[[#This Row],[New RD]]-Table1[[#This Row],[new   od]]</f>
        <v>30</v>
      </c>
      <c r="G25" s="4">
        <f>IF(Table1[[#This Row],[RequiredDate]]&lt;Table1[[#This Row],[OrderDate]], Table1[[#This Row],[OrderDate]]+7, Table1[[#This Row],[RequiredDate]])</f>
        <v>45010</v>
      </c>
      <c r="H25" s="21">
        <f t="shared" si="0"/>
        <v>30</v>
      </c>
      <c r="I25" s="6" t="str">
        <f>IF(Table1[[#This Row],[New LTD]]&lt;=7,"Yes","No")</f>
        <v>No</v>
      </c>
      <c r="J25" s="6" t="str">
        <f t="shared" si="10"/>
        <v>No</v>
      </c>
      <c r="K25" t="s">
        <v>648</v>
      </c>
      <c r="L25" t="s">
        <v>653</v>
      </c>
      <c r="M25" t="s">
        <v>681</v>
      </c>
      <c r="N25" t="s">
        <v>706</v>
      </c>
      <c r="O25" t="s">
        <v>708</v>
      </c>
      <c r="P25" t="s">
        <v>726</v>
      </c>
      <c r="Q25" t="s">
        <v>730</v>
      </c>
      <c r="R25" t="s">
        <v>765</v>
      </c>
      <c r="S25" s="6">
        <v>1242.6600000000001</v>
      </c>
      <c r="T25" s="6">
        <v>1794.07</v>
      </c>
      <c r="U25" s="6">
        <f t="shared" si="1"/>
        <v>1794.07</v>
      </c>
      <c r="V25" s="8">
        <v>8.8999999999999996E-2</v>
      </c>
      <c r="W25" s="6">
        <v>16</v>
      </c>
      <c r="X25" s="6">
        <f t="shared" si="2"/>
        <v>26150.364320000001</v>
      </c>
      <c r="Y25">
        <f t="shared" si="3"/>
        <v>19882.560000000001</v>
      </c>
      <c r="Z25" s="6">
        <f t="shared" si="4"/>
        <v>6267.8043199999993</v>
      </c>
      <c r="AA25">
        <f t="shared" si="5"/>
        <v>0.23968325042440553</v>
      </c>
      <c r="AB25" t="str">
        <f t="shared" si="6"/>
        <v>2-2023</v>
      </c>
      <c r="AC25" t="str">
        <f t="shared" si="7"/>
        <v>Q1-2023</v>
      </c>
      <c r="AD25" t="str">
        <f t="shared" si="8"/>
        <v>Americas →Canada →Montreal</v>
      </c>
      <c r="AE25" t="str">
        <f t="shared" si="9"/>
        <v>High</v>
      </c>
      <c r="AF25" t="str">
        <f>TEXT(Table1[[#This Row],[OrderDate]],"MMM")</f>
        <v>Feb</v>
      </c>
      <c r="AG25" t="str">
        <f>TEXT(Table1[[#This Row],[OrderDate]],"YYYY")</f>
        <v>2023</v>
      </c>
      <c r="AI25" s="4">
        <f>IF(Table1[[#This Row],[RequiredDate]]&lt;Table1[[#This Row],[OrderDate]], Table1[[#This Row],[OrderDate]]+7, Table1[[#This Row],[RequiredDate]])</f>
        <v>45010</v>
      </c>
      <c r="AJ25">
        <f>IF(Dashboard!$D$3&gt;'Staging Data'!V25,'Staging Data'!V25,Dashboard!D$3)</f>
        <v>8.8999999999999996E-2</v>
      </c>
      <c r="AK25" s="19">
        <f>(100%+Dashboard!$D$4)*'Staging Data'!S25</f>
        <v>1304.7930000000001</v>
      </c>
      <c r="AL25">
        <f>(100%+Dashboard!$D$5)*'Staging Data'!W25</f>
        <v>18.399999999999999</v>
      </c>
    </row>
    <row r="26" spans="1:38" x14ac:dyDescent="0.35">
      <c r="A26" s="6" t="s">
        <v>364</v>
      </c>
      <c r="B26" s="4">
        <v>44980</v>
      </c>
      <c r="C26" s="4">
        <v>44993</v>
      </c>
      <c r="D26" s="4">
        <f>IF(Table1[[#This Row],[RequiredDate]]&lt;Table1[[#This Row],[OrderDate]],Table1[[#This Row],[RequiredDate]],Table1[[#This Row],[OrderDate]])</f>
        <v>44980</v>
      </c>
      <c r="E26" s="4">
        <f>IF(Table1[[#This Row],[RequiredDate]]&gt;Table1[[#This Row],[OrderDate]],Table1[[#This Row],[RequiredDate]],Table1[[#This Row],[OrderDate]])</f>
        <v>44993</v>
      </c>
      <c r="F26" s="21">
        <f>Table1[[#This Row],[New RD]]-Table1[[#This Row],[new   od]]</f>
        <v>13</v>
      </c>
      <c r="G26" s="4">
        <f>IF(Table1[[#This Row],[RequiredDate]]&lt;Table1[[#This Row],[OrderDate]], Table1[[#This Row],[OrderDate]]+7, Table1[[#This Row],[RequiredDate]])</f>
        <v>44993</v>
      </c>
      <c r="H26" s="21">
        <f t="shared" si="0"/>
        <v>13</v>
      </c>
      <c r="I26" s="6" t="str">
        <f>IF(Table1[[#This Row],[New LTD]]&lt;=7,"Yes","No")</f>
        <v>No</v>
      </c>
      <c r="J26" s="6" t="str">
        <f t="shared" si="10"/>
        <v>No</v>
      </c>
      <c r="K26" t="s">
        <v>649</v>
      </c>
      <c r="L26" t="s">
        <v>658</v>
      </c>
      <c r="M26" t="s">
        <v>693</v>
      </c>
      <c r="N26" t="s">
        <v>705</v>
      </c>
      <c r="O26" t="s">
        <v>711</v>
      </c>
      <c r="P26" t="s">
        <v>712</v>
      </c>
      <c r="Q26" t="s">
        <v>728</v>
      </c>
      <c r="R26" t="s">
        <v>1084</v>
      </c>
      <c r="S26" s="6">
        <v>307.37</v>
      </c>
      <c r="T26" s="6">
        <v>462.61</v>
      </c>
      <c r="U26" s="6">
        <f t="shared" si="1"/>
        <v>462.61</v>
      </c>
      <c r="V26" s="8">
        <v>0.188</v>
      </c>
      <c r="W26" s="6">
        <v>11</v>
      </c>
      <c r="X26" s="6">
        <f t="shared" si="2"/>
        <v>4132.0325200000007</v>
      </c>
      <c r="Y26">
        <f t="shared" si="3"/>
        <v>3381.07</v>
      </c>
      <c r="Z26" s="6">
        <f t="shared" si="4"/>
        <v>750.9625200000005</v>
      </c>
      <c r="AA26">
        <f t="shared" si="5"/>
        <v>0.18174167709599739</v>
      </c>
      <c r="AB26" t="str">
        <f t="shared" si="6"/>
        <v>2-2023</v>
      </c>
      <c r="AC26" t="str">
        <f t="shared" si="7"/>
        <v>Q1-2023</v>
      </c>
      <c r="AD26" t="str">
        <f t="shared" si="8"/>
        <v>Europe →United Kingdom →Manchester</v>
      </c>
      <c r="AE26" t="str">
        <f t="shared" si="9"/>
        <v>Low</v>
      </c>
      <c r="AF26" t="str">
        <f>TEXT(Table1[[#This Row],[OrderDate]],"MMM")</f>
        <v>Feb</v>
      </c>
      <c r="AG26" t="str">
        <f>TEXT(Table1[[#This Row],[OrderDate]],"YYYY")</f>
        <v>2023</v>
      </c>
      <c r="AI26" s="4">
        <f>IF(Table1[[#This Row],[RequiredDate]]&lt;Table1[[#This Row],[OrderDate]], Table1[[#This Row],[OrderDate]]+7, Table1[[#This Row],[RequiredDate]])</f>
        <v>44993</v>
      </c>
      <c r="AJ26">
        <f>IF(Dashboard!$D$3&gt;'Staging Data'!V26,'Staging Data'!V26,Dashboard!D$3)</f>
        <v>0.188</v>
      </c>
      <c r="AK26" s="19">
        <f>(100%+Dashboard!$D$4)*'Staging Data'!S26</f>
        <v>322.73850000000004</v>
      </c>
      <c r="AL26">
        <f>(100%+Dashboard!$D$5)*'Staging Data'!W26</f>
        <v>12.649999999999999</v>
      </c>
    </row>
    <row r="27" spans="1:38" x14ac:dyDescent="0.35">
      <c r="A27" s="6" t="s">
        <v>516</v>
      </c>
      <c r="B27" s="4">
        <v>44980</v>
      </c>
      <c r="C27" s="4">
        <v>45003</v>
      </c>
      <c r="D27" s="4">
        <f>IF(Table1[[#This Row],[RequiredDate]]&lt;Table1[[#This Row],[OrderDate]],Table1[[#This Row],[RequiredDate]],Table1[[#This Row],[OrderDate]])</f>
        <v>44980</v>
      </c>
      <c r="E27" s="4">
        <f>IF(Table1[[#This Row],[RequiredDate]]&gt;Table1[[#This Row],[OrderDate]],Table1[[#This Row],[RequiredDate]],Table1[[#This Row],[OrderDate]])</f>
        <v>45003</v>
      </c>
      <c r="F27" s="21">
        <f>Table1[[#This Row],[New RD]]-Table1[[#This Row],[new   od]]</f>
        <v>23</v>
      </c>
      <c r="G27" s="4">
        <f>IF(Table1[[#This Row],[RequiredDate]]&lt;Table1[[#This Row],[OrderDate]], Table1[[#This Row],[OrderDate]]+7, Table1[[#This Row],[RequiredDate]])</f>
        <v>45003</v>
      </c>
      <c r="H27" s="21">
        <f t="shared" si="0"/>
        <v>23</v>
      </c>
      <c r="I27" s="6" t="str">
        <f>IF(Table1[[#This Row],[New LTD]]&lt;=7,"Yes","No")</f>
        <v>No</v>
      </c>
      <c r="J27" s="6" t="str">
        <f t="shared" si="10"/>
        <v>No</v>
      </c>
      <c r="K27" t="s">
        <v>647</v>
      </c>
      <c r="L27" t="s">
        <v>659</v>
      </c>
      <c r="M27" t="s">
        <v>699</v>
      </c>
      <c r="N27" t="s">
        <v>702</v>
      </c>
      <c r="O27" t="s">
        <v>710</v>
      </c>
      <c r="P27" t="s">
        <v>723</v>
      </c>
      <c r="Q27" t="s">
        <v>728</v>
      </c>
      <c r="R27" t="s">
        <v>1235</v>
      </c>
      <c r="S27" s="6">
        <v>770.11</v>
      </c>
      <c r="T27" s="6">
        <v>1667.82</v>
      </c>
      <c r="U27" s="6">
        <f t="shared" si="1"/>
        <v>1667.82</v>
      </c>
      <c r="V27" s="8">
        <v>6.9000000000000006E-2</v>
      </c>
      <c r="W27" s="6">
        <v>7</v>
      </c>
      <c r="X27" s="6">
        <f t="shared" si="2"/>
        <v>10869.182940000001</v>
      </c>
      <c r="Y27">
        <f t="shared" si="3"/>
        <v>5390.77</v>
      </c>
      <c r="Z27" s="6">
        <f t="shared" si="4"/>
        <v>5478.4129400000002</v>
      </c>
      <c r="AA27">
        <f t="shared" si="5"/>
        <v>0.50403171703355287</v>
      </c>
      <c r="AB27" t="str">
        <f t="shared" si="6"/>
        <v>2-2023</v>
      </c>
      <c r="AC27" t="str">
        <f t="shared" si="7"/>
        <v>Q1-2023</v>
      </c>
      <c r="AD27" t="str">
        <f t="shared" si="8"/>
        <v>Asia →China →Beijing</v>
      </c>
      <c r="AE27" t="str">
        <f t="shared" si="9"/>
        <v>High</v>
      </c>
      <c r="AF27" t="str">
        <f>TEXT(Table1[[#This Row],[OrderDate]],"MMM")</f>
        <v>Feb</v>
      </c>
      <c r="AG27" t="str">
        <f>TEXT(Table1[[#This Row],[OrderDate]],"YYYY")</f>
        <v>2023</v>
      </c>
      <c r="AI27" s="4">
        <f>IF(Table1[[#This Row],[RequiredDate]]&lt;Table1[[#This Row],[OrderDate]], Table1[[#This Row],[OrderDate]]+7, Table1[[#This Row],[RequiredDate]])</f>
        <v>45003</v>
      </c>
      <c r="AJ27">
        <f>IF(Dashboard!$D$3&gt;'Staging Data'!V27,'Staging Data'!V27,Dashboard!D$3)</f>
        <v>6.9000000000000006E-2</v>
      </c>
      <c r="AK27" s="19">
        <f>(100%+Dashboard!$D$4)*'Staging Data'!S27</f>
        <v>808.6155</v>
      </c>
      <c r="AL27">
        <f>(100%+Dashboard!$D$5)*'Staging Data'!W27</f>
        <v>8.0499999999999989</v>
      </c>
    </row>
    <row r="28" spans="1:38" x14ac:dyDescent="0.35">
      <c r="A28" s="6" t="s">
        <v>187</v>
      </c>
      <c r="B28" s="4">
        <v>44981</v>
      </c>
      <c r="C28" s="4">
        <v>44994</v>
      </c>
      <c r="D28" s="4">
        <f>IF(Table1[[#This Row],[RequiredDate]]&lt;Table1[[#This Row],[OrderDate]],Table1[[#This Row],[RequiredDate]],Table1[[#This Row],[OrderDate]])</f>
        <v>44981</v>
      </c>
      <c r="E28" s="4">
        <f>IF(Table1[[#This Row],[RequiredDate]]&gt;Table1[[#This Row],[OrderDate]],Table1[[#This Row],[RequiredDate]],Table1[[#This Row],[OrderDate]])</f>
        <v>44994</v>
      </c>
      <c r="F28" s="21">
        <f>Table1[[#This Row],[New RD]]-Table1[[#This Row],[new   od]]</f>
        <v>13</v>
      </c>
      <c r="G28" s="4">
        <f>IF(Table1[[#This Row],[RequiredDate]]&lt;Table1[[#This Row],[OrderDate]], Table1[[#This Row],[OrderDate]]+7, Table1[[#This Row],[RequiredDate]])</f>
        <v>44994</v>
      </c>
      <c r="H28" s="21">
        <f t="shared" si="0"/>
        <v>13</v>
      </c>
      <c r="I28" s="6" t="str">
        <f>IF(Table1[[#This Row],[New LTD]]&lt;=7,"Yes","No")</f>
        <v>No</v>
      </c>
      <c r="J28" s="6" t="str">
        <f t="shared" si="10"/>
        <v>No</v>
      </c>
      <c r="K28" t="s">
        <v>648</v>
      </c>
      <c r="L28" t="s">
        <v>660</v>
      </c>
      <c r="M28" t="s">
        <v>700</v>
      </c>
      <c r="N28" t="s">
        <v>706</v>
      </c>
      <c r="O28" t="s">
        <v>708</v>
      </c>
      <c r="P28" t="s">
        <v>724</v>
      </c>
      <c r="Q28" t="s">
        <v>727</v>
      </c>
      <c r="R28" t="s">
        <v>906</v>
      </c>
      <c r="S28" s="6">
        <v>6.85</v>
      </c>
      <c r="T28" s="6">
        <v>10.18</v>
      </c>
      <c r="U28" s="6">
        <f t="shared" si="1"/>
        <v>10.18</v>
      </c>
      <c r="V28" s="8">
        <v>4.7E-2</v>
      </c>
      <c r="W28" s="6">
        <v>10</v>
      </c>
      <c r="X28" s="6">
        <f t="shared" si="2"/>
        <v>97.0154</v>
      </c>
      <c r="Y28">
        <f t="shared" si="3"/>
        <v>68.5</v>
      </c>
      <c r="Z28" s="6">
        <f t="shared" si="4"/>
        <v>28.5154</v>
      </c>
      <c r="AA28">
        <f t="shared" si="5"/>
        <v>0.2939265312517394</v>
      </c>
      <c r="AB28" t="str">
        <f t="shared" si="6"/>
        <v>2-2023</v>
      </c>
      <c r="AC28" t="str">
        <f t="shared" si="7"/>
        <v>Q1-2023</v>
      </c>
      <c r="AD28" t="str">
        <f t="shared" si="8"/>
        <v>Americas →USA →New York</v>
      </c>
      <c r="AE28" t="str">
        <f t="shared" si="9"/>
        <v>Low</v>
      </c>
      <c r="AF28" t="str">
        <f>TEXT(Table1[[#This Row],[OrderDate]],"MMM")</f>
        <v>Feb</v>
      </c>
      <c r="AG28" t="str">
        <f>TEXT(Table1[[#This Row],[OrderDate]],"YYYY")</f>
        <v>2023</v>
      </c>
      <c r="AI28" s="4">
        <f>IF(Table1[[#This Row],[RequiredDate]]&lt;Table1[[#This Row],[OrderDate]], Table1[[#This Row],[OrderDate]]+7, Table1[[#This Row],[RequiredDate]])</f>
        <v>44994</v>
      </c>
      <c r="AJ28">
        <f>IF(Dashboard!$D$3&gt;'Staging Data'!V28,'Staging Data'!V28,Dashboard!D$3)</f>
        <v>4.7E-2</v>
      </c>
      <c r="AK28" s="19">
        <f>(100%+Dashboard!$D$4)*'Staging Data'!S28</f>
        <v>7.1924999999999999</v>
      </c>
      <c r="AL28">
        <f>(100%+Dashboard!$D$5)*'Staging Data'!W28</f>
        <v>11.5</v>
      </c>
    </row>
    <row r="29" spans="1:38" x14ac:dyDescent="0.35">
      <c r="A29" s="6" t="s">
        <v>606</v>
      </c>
      <c r="B29" s="4">
        <v>44984</v>
      </c>
      <c r="C29" s="4">
        <v>44983</v>
      </c>
      <c r="D29" s="4">
        <f>IF(Table1[[#This Row],[RequiredDate]]&lt;Table1[[#This Row],[OrderDate]],Table1[[#This Row],[RequiredDate]],Table1[[#This Row],[OrderDate]])</f>
        <v>44983</v>
      </c>
      <c r="E29" s="4">
        <f>IF(Table1[[#This Row],[RequiredDate]]&gt;Table1[[#This Row],[OrderDate]],Table1[[#This Row],[RequiredDate]],Table1[[#This Row],[OrderDate]])</f>
        <v>44984</v>
      </c>
      <c r="F29" s="21">
        <f>Table1[[#This Row],[New RD]]-Table1[[#This Row],[new   od]]</f>
        <v>1</v>
      </c>
      <c r="G29" s="4">
        <f>IF(Table1[[#This Row],[RequiredDate]]&lt;Table1[[#This Row],[OrderDate]], Table1[[#This Row],[OrderDate]]+7, Table1[[#This Row],[RequiredDate]])</f>
        <v>44991</v>
      </c>
      <c r="H29" s="21">
        <f t="shared" si="0"/>
        <v>7</v>
      </c>
      <c r="I29" s="6" t="str">
        <f>IF(Table1[[#This Row],[New LTD]]&lt;=7,"Yes","No")</f>
        <v>Yes</v>
      </c>
      <c r="J29" s="6" t="str">
        <f t="shared" si="10"/>
        <v>No</v>
      </c>
      <c r="K29" t="s">
        <v>648</v>
      </c>
      <c r="L29" t="s">
        <v>660</v>
      </c>
      <c r="M29" t="s">
        <v>686</v>
      </c>
      <c r="N29" t="s">
        <v>703</v>
      </c>
      <c r="O29" t="s">
        <v>708</v>
      </c>
      <c r="P29" t="s">
        <v>716</v>
      </c>
      <c r="Q29" t="s">
        <v>729</v>
      </c>
      <c r="R29" t="s">
        <v>1324</v>
      </c>
      <c r="S29" s="6">
        <v>1015.91</v>
      </c>
      <c r="T29" s="6">
        <v>2331.48</v>
      </c>
      <c r="U29" s="6">
        <f t="shared" si="1"/>
        <v>2331.48</v>
      </c>
      <c r="V29" s="8">
        <v>0.14599999999999999</v>
      </c>
      <c r="W29" s="6">
        <v>26</v>
      </c>
      <c r="X29" s="6">
        <f t="shared" si="2"/>
        <v>51768.181920000003</v>
      </c>
      <c r="Y29">
        <f t="shared" si="3"/>
        <v>26413.66</v>
      </c>
      <c r="Z29" s="6">
        <f t="shared" si="4"/>
        <v>25354.521920000003</v>
      </c>
      <c r="AA29">
        <f t="shared" si="5"/>
        <v>0.48977037592669626</v>
      </c>
      <c r="AB29" t="str">
        <f t="shared" si="6"/>
        <v>2-2023</v>
      </c>
      <c r="AC29" t="str">
        <f t="shared" si="7"/>
        <v>Q1-2023</v>
      </c>
      <c r="AD29" t="str">
        <f t="shared" si="8"/>
        <v>Americas →USA →San Francisco</v>
      </c>
      <c r="AE29" t="str">
        <f t="shared" si="9"/>
        <v>High</v>
      </c>
      <c r="AF29" t="str">
        <f>TEXT(Table1[[#This Row],[OrderDate]],"MMM")</f>
        <v>Feb</v>
      </c>
      <c r="AG29" t="str">
        <f>TEXT(Table1[[#This Row],[OrderDate]],"YYYY")</f>
        <v>2023</v>
      </c>
      <c r="AI29" s="4">
        <f>IF(Table1[[#This Row],[RequiredDate]]&lt;Table1[[#This Row],[OrderDate]], Table1[[#This Row],[OrderDate]]+7, Table1[[#This Row],[RequiredDate]])</f>
        <v>44991</v>
      </c>
      <c r="AJ29">
        <f>IF(Dashboard!$D$3&gt;'Staging Data'!V29,'Staging Data'!V29,Dashboard!D$3)</f>
        <v>0.14599999999999999</v>
      </c>
      <c r="AK29" s="19">
        <f>(100%+Dashboard!$D$4)*'Staging Data'!S29</f>
        <v>1066.7055</v>
      </c>
      <c r="AL29">
        <f>(100%+Dashboard!$D$5)*'Staging Data'!W29</f>
        <v>29.9</v>
      </c>
    </row>
    <row r="30" spans="1:38" x14ac:dyDescent="0.35">
      <c r="A30" s="6" t="s">
        <v>17</v>
      </c>
      <c r="B30" s="4">
        <v>44985</v>
      </c>
      <c r="C30" s="4">
        <v>45010</v>
      </c>
      <c r="D30" s="4">
        <f>IF(Table1[[#This Row],[RequiredDate]]&lt;Table1[[#This Row],[OrderDate]],Table1[[#This Row],[RequiredDate]],Table1[[#This Row],[OrderDate]])</f>
        <v>44985</v>
      </c>
      <c r="E30" s="4">
        <f>IF(Table1[[#This Row],[RequiredDate]]&gt;Table1[[#This Row],[OrderDate]],Table1[[#This Row],[RequiredDate]],Table1[[#This Row],[OrderDate]])</f>
        <v>45010</v>
      </c>
      <c r="F30" s="21">
        <f>Table1[[#This Row],[New RD]]-Table1[[#This Row],[new   od]]</f>
        <v>25</v>
      </c>
      <c r="G30" s="4">
        <f>IF(Table1[[#This Row],[RequiredDate]]&lt;Table1[[#This Row],[OrderDate]], Table1[[#This Row],[OrderDate]]+7, Table1[[#This Row],[RequiredDate]])</f>
        <v>45010</v>
      </c>
      <c r="H30" s="21">
        <f t="shared" si="0"/>
        <v>25</v>
      </c>
      <c r="I30" s="6" t="str">
        <f>IF(Table1[[#This Row],[New LTD]]&lt;=7,"Yes","No")</f>
        <v>No</v>
      </c>
      <c r="J30" s="6" t="str">
        <f t="shared" si="10"/>
        <v>No</v>
      </c>
      <c r="K30" t="s">
        <v>646</v>
      </c>
      <c r="L30" t="s">
        <v>650</v>
      </c>
      <c r="M30" t="s">
        <v>664</v>
      </c>
      <c r="N30" t="s">
        <v>701</v>
      </c>
      <c r="O30" t="s">
        <v>707</v>
      </c>
      <c r="P30" t="s">
        <v>714</v>
      </c>
      <c r="Q30" t="s">
        <v>729</v>
      </c>
      <c r="R30" t="s">
        <v>736</v>
      </c>
      <c r="S30" s="6">
        <v>1460.76</v>
      </c>
      <c r="T30" s="6">
        <v>-30.66</v>
      </c>
      <c r="U30" s="6">
        <f t="shared" si="1"/>
        <v>30.66</v>
      </c>
      <c r="V30" s="8">
        <v>0.13100000000000001</v>
      </c>
      <c r="W30" s="6">
        <v>12</v>
      </c>
      <c r="X30" s="6">
        <f t="shared" si="2"/>
        <v>319.72248000000002</v>
      </c>
      <c r="Y30">
        <f t="shared" si="3"/>
        <v>17529.12</v>
      </c>
      <c r="Z30" s="6">
        <f t="shared" si="4"/>
        <v>-17209.397519999999</v>
      </c>
      <c r="AA30">
        <f t="shared" si="5"/>
        <v>-53.826047890032626</v>
      </c>
      <c r="AB30" t="str">
        <f t="shared" si="6"/>
        <v>2-2023</v>
      </c>
      <c r="AC30" t="str">
        <f t="shared" si="7"/>
        <v>Q1-2023</v>
      </c>
      <c r="AD30" t="str">
        <f t="shared" si="8"/>
        <v>Africa →Kenya →Nairobi</v>
      </c>
      <c r="AE30" t="str">
        <f t="shared" si="9"/>
        <v>Low</v>
      </c>
      <c r="AF30" t="str">
        <f>TEXT(Table1[[#This Row],[OrderDate]],"MMM")</f>
        <v>Feb</v>
      </c>
      <c r="AG30" t="str">
        <f>TEXT(Table1[[#This Row],[OrderDate]],"YYYY")</f>
        <v>2023</v>
      </c>
      <c r="AI30" s="4">
        <f>IF(Table1[[#This Row],[RequiredDate]]&lt;Table1[[#This Row],[OrderDate]], Table1[[#This Row],[OrderDate]]+7, Table1[[#This Row],[RequiredDate]])</f>
        <v>45010</v>
      </c>
      <c r="AJ30">
        <f>IF(Dashboard!$D$3&gt;'Staging Data'!V30,'Staging Data'!V30,Dashboard!D$3)</f>
        <v>0.13100000000000001</v>
      </c>
      <c r="AK30" s="19">
        <f>(100%+Dashboard!$D$4)*'Staging Data'!S30</f>
        <v>1533.798</v>
      </c>
      <c r="AL30">
        <f>(100%+Dashboard!$D$5)*'Staging Data'!W30</f>
        <v>13.799999999999999</v>
      </c>
    </row>
    <row r="31" spans="1:38" x14ac:dyDescent="0.35">
      <c r="A31" s="6" t="s">
        <v>114</v>
      </c>
      <c r="B31" s="4">
        <v>44985</v>
      </c>
      <c r="C31" s="4">
        <v>45005</v>
      </c>
      <c r="D31" s="4">
        <f>IF(Table1[[#This Row],[RequiredDate]]&lt;Table1[[#This Row],[OrderDate]],Table1[[#This Row],[RequiredDate]],Table1[[#This Row],[OrderDate]])</f>
        <v>44985</v>
      </c>
      <c r="E31" s="4">
        <f>IF(Table1[[#This Row],[RequiredDate]]&gt;Table1[[#This Row],[OrderDate]],Table1[[#This Row],[RequiredDate]],Table1[[#This Row],[OrderDate]])</f>
        <v>45005</v>
      </c>
      <c r="F31" s="21">
        <f>Table1[[#This Row],[New RD]]-Table1[[#This Row],[new   od]]</f>
        <v>20</v>
      </c>
      <c r="G31" s="4">
        <f>IF(Table1[[#This Row],[RequiredDate]]&lt;Table1[[#This Row],[OrderDate]], Table1[[#This Row],[OrderDate]]+7, Table1[[#This Row],[RequiredDate]])</f>
        <v>45005</v>
      </c>
      <c r="H31" s="21">
        <f t="shared" si="0"/>
        <v>20</v>
      </c>
      <c r="I31" s="6" t="str">
        <f>IF(Table1[[#This Row],[New LTD]]&lt;=7,"Yes","No")</f>
        <v>No</v>
      </c>
      <c r="J31" s="6" t="str">
        <f t="shared" si="10"/>
        <v>Yes</v>
      </c>
      <c r="K31" t="s">
        <v>649</v>
      </c>
      <c r="L31" t="s">
        <v>656</v>
      </c>
      <c r="M31" t="s">
        <v>671</v>
      </c>
      <c r="N31" t="s">
        <v>705</v>
      </c>
      <c r="O31" t="s">
        <v>711</v>
      </c>
      <c r="P31" t="s">
        <v>722</v>
      </c>
      <c r="Q31" t="s">
        <v>731</v>
      </c>
      <c r="R31" t="s">
        <v>833</v>
      </c>
      <c r="S31" s="6">
        <v>1200.78</v>
      </c>
      <c r="T31" s="6">
        <v>2001.17</v>
      </c>
      <c r="U31" s="6">
        <f t="shared" si="1"/>
        <v>2001.17</v>
      </c>
      <c r="V31" s="8">
        <v>0.29199999999999998</v>
      </c>
      <c r="W31" s="6">
        <v>18</v>
      </c>
      <c r="X31" s="6">
        <f t="shared" si="2"/>
        <v>25502.910479999999</v>
      </c>
      <c r="Y31">
        <f t="shared" si="3"/>
        <v>21614.04</v>
      </c>
      <c r="Z31" s="6">
        <f t="shared" si="4"/>
        <v>3888.8704799999978</v>
      </c>
      <c r="AA31">
        <f t="shared" si="5"/>
        <v>0.15248732034132906</v>
      </c>
      <c r="AB31" t="str">
        <f t="shared" si="6"/>
        <v>2-2023</v>
      </c>
      <c r="AC31" t="str">
        <f t="shared" si="7"/>
        <v>Q1-2023</v>
      </c>
      <c r="AD31" t="str">
        <f t="shared" si="8"/>
        <v>Europe →Germany →Berlin</v>
      </c>
      <c r="AE31" t="str">
        <f t="shared" si="9"/>
        <v>High</v>
      </c>
      <c r="AF31" t="str">
        <f>TEXT(Table1[[#This Row],[OrderDate]],"MMM")</f>
        <v>Feb</v>
      </c>
      <c r="AG31" t="str">
        <f>TEXT(Table1[[#This Row],[OrderDate]],"YYYY")</f>
        <v>2023</v>
      </c>
      <c r="AI31" s="4">
        <f>IF(Table1[[#This Row],[RequiredDate]]&lt;Table1[[#This Row],[OrderDate]], Table1[[#This Row],[OrderDate]]+7, Table1[[#This Row],[RequiredDate]])</f>
        <v>45005</v>
      </c>
      <c r="AJ31">
        <f>IF(Dashboard!$D$3&gt;'Staging Data'!V31,'Staging Data'!V31,Dashboard!D$3)</f>
        <v>0.2</v>
      </c>
      <c r="AK31" s="19">
        <f>(100%+Dashboard!$D$4)*'Staging Data'!S31</f>
        <v>1260.819</v>
      </c>
      <c r="AL31">
        <f>(100%+Dashboard!$D$5)*'Staging Data'!W31</f>
        <v>20.7</v>
      </c>
    </row>
    <row r="32" spans="1:38" x14ac:dyDescent="0.35">
      <c r="A32" s="6" t="s">
        <v>336</v>
      </c>
      <c r="B32" s="4">
        <v>44985</v>
      </c>
      <c r="C32" s="4">
        <v>44984</v>
      </c>
      <c r="D32" s="4">
        <f>IF(Table1[[#This Row],[RequiredDate]]&lt;Table1[[#This Row],[OrderDate]],Table1[[#This Row],[RequiredDate]],Table1[[#This Row],[OrderDate]])</f>
        <v>44984</v>
      </c>
      <c r="E32" s="4">
        <f>IF(Table1[[#This Row],[RequiredDate]]&gt;Table1[[#This Row],[OrderDate]],Table1[[#This Row],[RequiredDate]],Table1[[#This Row],[OrderDate]])</f>
        <v>44985</v>
      </c>
      <c r="F32" s="21">
        <f>Table1[[#This Row],[New RD]]-Table1[[#This Row],[new   od]]</f>
        <v>1</v>
      </c>
      <c r="G32" s="4">
        <f>IF(Table1[[#This Row],[RequiredDate]]&lt;Table1[[#This Row],[OrderDate]], Table1[[#This Row],[OrderDate]]+7, Table1[[#This Row],[RequiredDate]])</f>
        <v>44992</v>
      </c>
      <c r="H32" s="21">
        <f t="shared" si="0"/>
        <v>7</v>
      </c>
      <c r="I32" s="6" t="str">
        <f>IF(Table1[[#This Row],[New LTD]]&lt;=7,"Yes","No")</f>
        <v>Yes</v>
      </c>
      <c r="J32" s="6" t="str">
        <f t="shared" si="10"/>
        <v>No</v>
      </c>
      <c r="K32" t="s">
        <v>649</v>
      </c>
      <c r="L32" t="s">
        <v>657</v>
      </c>
      <c r="M32" t="s">
        <v>673</v>
      </c>
      <c r="N32" t="s">
        <v>701</v>
      </c>
      <c r="O32" t="s">
        <v>707</v>
      </c>
      <c r="P32" t="s">
        <v>723</v>
      </c>
      <c r="Q32" t="s">
        <v>729</v>
      </c>
      <c r="R32" t="s">
        <v>1056</v>
      </c>
      <c r="S32" s="6">
        <v>1299.81</v>
      </c>
      <c r="T32" s="6">
        <v>3149.13</v>
      </c>
      <c r="U32" s="6">
        <f t="shared" si="1"/>
        <v>3149.13</v>
      </c>
      <c r="V32" s="8">
        <v>0.10299999999999999</v>
      </c>
      <c r="W32" s="6">
        <v>14</v>
      </c>
      <c r="X32" s="6">
        <f t="shared" si="2"/>
        <v>39546.774539999999</v>
      </c>
      <c r="Y32">
        <f t="shared" si="3"/>
        <v>18197.34</v>
      </c>
      <c r="Z32" s="6">
        <f t="shared" si="4"/>
        <v>21349.434539999998</v>
      </c>
      <c r="AA32">
        <f t="shared" si="5"/>
        <v>0.53985273864511729</v>
      </c>
      <c r="AB32" t="str">
        <f t="shared" si="6"/>
        <v>2-2023</v>
      </c>
      <c r="AC32" t="str">
        <f t="shared" si="7"/>
        <v>Q1-2023</v>
      </c>
      <c r="AD32" t="str">
        <f t="shared" si="8"/>
        <v>Europe →France →Marseille</v>
      </c>
      <c r="AE32" t="str">
        <f t="shared" si="9"/>
        <v>High</v>
      </c>
      <c r="AF32" t="str">
        <f>TEXT(Table1[[#This Row],[OrderDate]],"MMM")</f>
        <v>Feb</v>
      </c>
      <c r="AG32" t="str">
        <f>TEXT(Table1[[#This Row],[OrderDate]],"YYYY")</f>
        <v>2023</v>
      </c>
      <c r="AI32" s="4">
        <f>IF(Table1[[#This Row],[RequiredDate]]&lt;Table1[[#This Row],[OrderDate]], Table1[[#This Row],[OrderDate]]+7, Table1[[#This Row],[RequiredDate]])</f>
        <v>44992</v>
      </c>
      <c r="AJ32">
        <f>IF(Dashboard!$D$3&gt;'Staging Data'!V32,'Staging Data'!V32,Dashboard!D$3)</f>
        <v>0.10299999999999999</v>
      </c>
      <c r="AK32" s="19">
        <f>(100%+Dashboard!$D$4)*'Staging Data'!S32</f>
        <v>1364.8005000000001</v>
      </c>
      <c r="AL32">
        <f>(100%+Dashboard!$D$5)*'Staging Data'!W32</f>
        <v>16.099999999999998</v>
      </c>
    </row>
    <row r="33" spans="1:38" x14ac:dyDescent="0.35">
      <c r="A33" s="6" t="s">
        <v>562</v>
      </c>
      <c r="B33" s="4">
        <v>44985</v>
      </c>
      <c r="C33" s="4">
        <v>44991</v>
      </c>
      <c r="D33" s="4">
        <f>IF(Table1[[#This Row],[RequiredDate]]&lt;Table1[[#This Row],[OrderDate]],Table1[[#This Row],[RequiredDate]],Table1[[#This Row],[OrderDate]])</f>
        <v>44985</v>
      </c>
      <c r="E33" s="4">
        <f>IF(Table1[[#This Row],[RequiredDate]]&gt;Table1[[#This Row],[OrderDate]],Table1[[#This Row],[RequiredDate]],Table1[[#This Row],[OrderDate]])</f>
        <v>44991</v>
      </c>
      <c r="F33" s="21">
        <f>Table1[[#This Row],[New RD]]-Table1[[#This Row],[new   od]]</f>
        <v>6</v>
      </c>
      <c r="G33" s="4">
        <f>IF(Table1[[#This Row],[RequiredDate]]&lt;Table1[[#This Row],[OrderDate]], Table1[[#This Row],[OrderDate]]+7, Table1[[#This Row],[RequiredDate]])</f>
        <v>44991</v>
      </c>
      <c r="H33" s="21">
        <f t="shared" si="0"/>
        <v>6</v>
      </c>
      <c r="I33" s="6" t="str">
        <f>IF(Table1[[#This Row],[New LTD]]&lt;=7,"Yes","No")</f>
        <v>Yes</v>
      </c>
      <c r="J33" s="6" t="str">
        <f t="shared" si="10"/>
        <v>No</v>
      </c>
      <c r="K33" t="s">
        <v>649</v>
      </c>
      <c r="L33" t="s">
        <v>656</v>
      </c>
      <c r="M33" t="s">
        <v>698</v>
      </c>
      <c r="N33" t="s">
        <v>705</v>
      </c>
      <c r="O33" t="s">
        <v>709</v>
      </c>
      <c r="P33" t="s">
        <v>726</v>
      </c>
      <c r="Q33" t="s">
        <v>728</v>
      </c>
      <c r="R33" t="s">
        <v>1280</v>
      </c>
      <c r="S33" s="6">
        <v>880.02</v>
      </c>
      <c r="T33" s="6">
        <v>1251.21</v>
      </c>
      <c r="U33" s="6">
        <f t="shared" si="1"/>
        <v>1251.21</v>
      </c>
      <c r="V33" s="8">
        <v>0.123</v>
      </c>
      <c r="W33" s="6">
        <v>29</v>
      </c>
      <c r="X33" s="6">
        <f t="shared" si="2"/>
        <v>31822.023930000003</v>
      </c>
      <c r="Y33">
        <f t="shared" si="3"/>
        <v>25520.579999999998</v>
      </c>
      <c r="Z33" s="6">
        <f t="shared" si="4"/>
        <v>6301.4439300000049</v>
      </c>
      <c r="AA33">
        <f t="shared" si="5"/>
        <v>0.19802146915172672</v>
      </c>
      <c r="AB33" t="str">
        <f t="shared" si="6"/>
        <v>2-2023</v>
      </c>
      <c r="AC33" t="str">
        <f t="shared" si="7"/>
        <v>Q1-2023</v>
      </c>
      <c r="AD33" t="str">
        <f t="shared" si="8"/>
        <v>Europe →Germany →Frankfurt</v>
      </c>
      <c r="AE33" t="str">
        <f t="shared" si="9"/>
        <v>Medium</v>
      </c>
      <c r="AF33" t="str">
        <f>TEXT(Table1[[#This Row],[OrderDate]],"MMM")</f>
        <v>Feb</v>
      </c>
      <c r="AG33" t="str">
        <f>TEXT(Table1[[#This Row],[OrderDate]],"YYYY")</f>
        <v>2023</v>
      </c>
      <c r="AI33" s="4">
        <f>IF(Table1[[#This Row],[RequiredDate]]&lt;Table1[[#This Row],[OrderDate]], Table1[[#This Row],[OrderDate]]+7, Table1[[#This Row],[RequiredDate]])</f>
        <v>44991</v>
      </c>
      <c r="AJ33">
        <f>IF(Dashboard!$D$3&gt;'Staging Data'!V33,'Staging Data'!V33,Dashboard!D$3)</f>
        <v>0.123</v>
      </c>
      <c r="AK33" s="19">
        <f>(100%+Dashboard!$D$4)*'Staging Data'!S33</f>
        <v>924.02100000000007</v>
      </c>
      <c r="AL33">
        <f>(100%+Dashboard!$D$5)*'Staging Data'!W33</f>
        <v>33.349999999999994</v>
      </c>
    </row>
    <row r="34" spans="1:38" x14ac:dyDescent="0.35">
      <c r="A34" s="6" t="s">
        <v>130</v>
      </c>
      <c r="B34" s="4">
        <v>44987</v>
      </c>
      <c r="C34" s="4">
        <v>44990</v>
      </c>
      <c r="D34" s="4">
        <f>IF(Table1[[#This Row],[RequiredDate]]&lt;Table1[[#This Row],[OrderDate]],Table1[[#This Row],[RequiredDate]],Table1[[#This Row],[OrderDate]])</f>
        <v>44987</v>
      </c>
      <c r="E34" s="4">
        <f>IF(Table1[[#This Row],[RequiredDate]]&gt;Table1[[#This Row],[OrderDate]],Table1[[#This Row],[RequiredDate]],Table1[[#This Row],[OrderDate]])</f>
        <v>44990</v>
      </c>
      <c r="F34" s="21">
        <f>Table1[[#This Row],[New RD]]-Table1[[#This Row],[new   od]]</f>
        <v>3</v>
      </c>
      <c r="G34" s="4">
        <f>IF(Table1[[#This Row],[RequiredDate]]&lt;Table1[[#This Row],[OrderDate]], Table1[[#This Row],[OrderDate]]+7, Table1[[#This Row],[RequiredDate]])</f>
        <v>44990</v>
      </c>
      <c r="H34" s="21">
        <f t="shared" si="0"/>
        <v>3</v>
      </c>
      <c r="I34" s="6" t="str">
        <f>IF(Table1[[#This Row],[New LTD]]&lt;=7,"Yes","No")</f>
        <v>Yes</v>
      </c>
      <c r="J34" s="6" t="str">
        <f t="shared" si="10"/>
        <v>No</v>
      </c>
      <c r="K34" t="s">
        <v>648</v>
      </c>
      <c r="L34" t="s">
        <v>655</v>
      </c>
      <c r="M34" t="s">
        <v>672</v>
      </c>
      <c r="N34" t="s">
        <v>706</v>
      </c>
      <c r="O34" t="s">
        <v>711</v>
      </c>
      <c r="P34" t="s">
        <v>715</v>
      </c>
      <c r="Q34" t="s">
        <v>732</v>
      </c>
      <c r="R34" t="s">
        <v>849</v>
      </c>
      <c r="S34" s="6">
        <v>1473.58</v>
      </c>
      <c r="T34" s="6">
        <v>3436.52</v>
      </c>
      <c r="U34" s="6">
        <f t="shared" si="1"/>
        <v>3436.52</v>
      </c>
      <c r="V34" s="8">
        <v>0.108</v>
      </c>
      <c r="W34" s="6">
        <v>8</v>
      </c>
      <c r="X34" s="6">
        <f t="shared" si="2"/>
        <v>24523.006720000001</v>
      </c>
      <c r="Y34">
        <f t="shared" si="3"/>
        <v>11788.64</v>
      </c>
      <c r="Z34" s="6">
        <f t="shared" si="4"/>
        <v>12734.366720000002</v>
      </c>
      <c r="AA34">
        <f t="shared" si="5"/>
        <v>0.51928243813652564</v>
      </c>
      <c r="AB34" t="str">
        <f t="shared" si="6"/>
        <v>3-2023</v>
      </c>
      <c r="AC34" t="str">
        <f t="shared" si="7"/>
        <v>Q1-2023</v>
      </c>
      <c r="AD34" t="str">
        <f t="shared" si="8"/>
        <v>Americas →Brazil →Brasília</v>
      </c>
      <c r="AE34" t="str">
        <f t="shared" si="9"/>
        <v>High</v>
      </c>
      <c r="AF34" t="str">
        <f>TEXT(Table1[[#This Row],[OrderDate]],"MMM")</f>
        <v>Mar</v>
      </c>
      <c r="AG34" t="str">
        <f>TEXT(Table1[[#This Row],[OrderDate]],"YYYY")</f>
        <v>2023</v>
      </c>
      <c r="AI34" s="4">
        <f>IF(Table1[[#This Row],[RequiredDate]]&lt;Table1[[#This Row],[OrderDate]], Table1[[#This Row],[OrderDate]]+7, Table1[[#This Row],[RequiredDate]])</f>
        <v>44990</v>
      </c>
      <c r="AJ34">
        <f>IF(Dashboard!$D$3&gt;'Staging Data'!V34,'Staging Data'!V34,Dashboard!D$3)</f>
        <v>0.108</v>
      </c>
      <c r="AK34" s="19">
        <f>(100%+Dashboard!$D$4)*'Staging Data'!S34</f>
        <v>1547.259</v>
      </c>
      <c r="AL34">
        <f>(100%+Dashboard!$D$5)*'Staging Data'!W34</f>
        <v>9.1999999999999993</v>
      </c>
    </row>
    <row r="35" spans="1:38" x14ac:dyDescent="0.35">
      <c r="A35" s="6" t="s">
        <v>566</v>
      </c>
      <c r="B35" s="4">
        <v>44988</v>
      </c>
      <c r="C35" s="4">
        <v>45005</v>
      </c>
      <c r="D35" s="4">
        <f>IF(Table1[[#This Row],[RequiredDate]]&lt;Table1[[#This Row],[OrderDate]],Table1[[#This Row],[RequiredDate]],Table1[[#This Row],[OrderDate]])</f>
        <v>44988</v>
      </c>
      <c r="E35" s="4">
        <f>IF(Table1[[#This Row],[RequiredDate]]&gt;Table1[[#This Row],[OrderDate]],Table1[[#This Row],[RequiredDate]],Table1[[#This Row],[OrderDate]])</f>
        <v>45005</v>
      </c>
      <c r="F35" s="21">
        <f>Table1[[#This Row],[New RD]]-Table1[[#This Row],[new   od]]</f>
        <v>17</v>
      </c>
      <c r="G35" s="4">
        <f>IF(Table1[[#This Row],[RequiredDate]]&lt;Table1[[#This Row],[OrderDate]], Table1[[#This Row],[OrderDate]]+7, Table1[[#This Row],[RequiredDate]])</f>
        <v>45005</v>
      </c>
      <c r="H35" s="21">
        <f t="shared" si="0"/>
        <v>17</v>
      </c>
      <c r="I35" s="6" t="str">
        <f>IF(Table1[[#This Row],[New LTD]]&lt;=7,"Yes","No")</f>
        <v>No</v>
      </c>
      <c r="J35" s="6" t="str">
        <f t="shared" si="10"/>
        <v>No</v>
      </c>
      <c r="K35" t="s">
        <v>647</v>
      </c>
      <c r="L35" t="s">
        <v>652</v>
      </c>
      <c r="M35" t="s">
        <v>694</v>
      </c>
      <c r="N35" t="s">
        <v>705</v>
      </c>
      <c r="O35" t="s">
        <v>708</v>
      </c>
      <c r="P35" t="s">
        <v>726</v>
      </c>
      <c r="Q35" t="s">
        <v>729</v>
      </c>
      <c r="R35" t="s">
        <v>1284</v>
      </c>
      <c r="S35" s="6">
        <v>1171.17</v>
      </c>
      <c r="T35" s="6">
        <v>2030.64</v>
      </c>
      <c r="U35" s="6">
        <f t="shared" si="1"/>
        <v>2030.64</v>
      </c>
      <c r="V35" s="8">
        <v>0.157</v>
      </c>
      <c r="W35" s="6">
        <v>11</v>
      </c>
      <c r="X35" s="6">
        <f t="shared" si="2"/>
        <v>18830.12472</v>
      </c>
      <c r="Y35">
        <f t="shared" si="3"/>
        <v>12882.87</v>
      </c>
      <c r="Z35" s="6">
        <f t="shared" si="4"/>
        <v>5947.254719999999</v>
      </c>
      <c r="AA35">
        <f t="shared" si="5"/>
        <v>0.31583724528830415</v>
      </c>
      <c r="AB35" t="str">
        <f t="shared" si="6"/>
        <v>3-2023</v>
      </c>
      <c r="AC35" t="str">
        <f t="shared" si="7"/>
        <v>Q1-2023</v>
      </c>
      <c r="AD35" t="str">
        <f t="shared" si="8"/>
        <v>Asia →Japan →Nagoya</v>
      </c>
      <c r="AE35" t="str">
        <f t="shared" si="9"/>
        <v>High</v>
      </c>
      <c r="AF35" t="str">
        <f>TEXT(Table1[[#This Row],[OrderDate]],"MMM")</f>
        <v>Mar</v>
      </c>
      <c r="AG35" t="str">
        <f>TEXT(Table1[[#This Row],[OrderDate]],"YYYY")</f>
        <v>2023</v>
      </c>
      <c r="AI35" s="4">
        <f>IF(Table1[[#This Row],[RequiredDate]]&lt;Table1[[#This Row],[OrderDate]], Table1[[#This Row],[OrderDate]]+7, Table1[[#This Row],[RequiredDate]])</f>
        <v>45005</v>
      </c>
      <c r="AJ35">
        <f>IF(Dashboard!$D$3&gt;'Staging Data'!V35,'Staging Data'!V35,Dashboard!D$3)</f>
        <v>0.157</v>
      </c>
      <c r="AK35" s="19">
        <f>(100%+Dashboard!$D$4)*'Staging Data'!S35</f>
        <v>1229.7285000000002</v>
      </c>
      <c r="AL35">
        <f>(100%+Dashboard!$D$5)*'Staging Data'!W35</f>
        <v>12.649999999999999</v>
      </c>
    </row>
    <row r="36" spans="1:38" x14ac:dyDescent="0.35">
      <c r="A36" s="6" t="s">
        <v>265</v>
      </c>
      <c r="B36" s="4">
        <v>44989</v>
      </c>
      <c r="C36" s="4">
        <v>45009</v>
      </c>
      <c r="D36" s="4">
        <f>IF(Table1[[#This Row],[RequiredDate]]&lt;Table1[[#This Row],[OrderDate]],Table1[[#This Row],[RequiredDate]],Table1[[#This Row],[OrderDate]])</f>
        <v>44989</v>
      </c>
      <c r="E36" s="4">
        <f>IF(Table1[[#This Row],[RequiredDate]]&gt;Table1[[#This Row],[OrderDate]],Table1[[#This Row],[RequiredDate]],Table1[[#This Row],[OrderDate]])</f>
        <v>45009</v>
      </c>
      <c r="F36" s="21">
        <f>Table1[[#This Row],[New RD]]-Table1[[#This Row],[new   od]]</f>
        <v>20</v>
      </c>
      <c r="G36" s="4">
        <f>IF(Table1[[#This Row],[RequiredDate]]&lt;Table1[[#This Row],[OrderDate]], Table1[[#This Row],[OrderDate]]+7, Table1[[#This Row],[RequiredDate]])</f>
        <v>45009</v>
      </c>
      <c r="H36" s="21">
        <f t="shared" si="0"/>
        <v>20</v>
      </c>
      <c r="I36" s="6" t="str">
        <f>IF(Table1[[#This Row],[New LTD]]&lt;=7,"Yes","No")</f>
        <v>No</v>
      </c>
      <c r="J36" s="6" t="str">
        <f t="shared" si="10"/>
        <v>Yes</v>
      </c>
      <c r="K36" t="s">
        <v>648</v>
      </c>
      <c r="L36" t="s">
        <v>653</v>
      </c>
      <c r="M36" t="s">
        <v>681</v>
      </c>
      <c r="N36" t="s">
        <v>704</v>
      </c>
      <c r="O36" t="s">
        <v>710</v>
      </c>
      <c r="P36" t="s">
        <v>714</v>
      </c>
      <c r="Q36" t="s">
        <v>731</v>
      </c>
      <c r="R36" t="s">
        <v>985</v>
      </c>
      <c r="S36" s="6">
        <v>481.71</v>
      </c>
      <c r="T36" s="6">
        <v>912.45</v>
      </c>
      <c r="U36" s="6">
        <f t="shared" si="1"/>
        <v>912.45</v>
      </c>
      <c r="V36" s="8">
        <v>0.20300000000000001</v>
      </c>
      <c r="W36" s="6">
        <v>24</v>
      </c>
      <c r="X36" s="6">
        <f t="shared" si="2"/>
        <v>17453.3436</v>
      </c>
      <c r="Y36">
        <f t="shared" si="3"/>
        <v>11561.039999999999</v>
      </c>
      <c r="Z36" s="6">
        <f t="shared" si="4"/>
        <v>5892.3036000000011</v>
      </c>
      <c r="AA36">
        <f t="shared" si="5"/>
        <v>0.33760313983619739</v>
      </c>
      <c r="AB36" t="str">
        <f t="shared" si="6"/>
        <v>3-2023</v>
      </c>
      <c r="AC36" t="str">
        <f t="shared" si="7"/>
        <v>Q1-2023</v>
      </c>
      <c r="AD36" t="str">
        <f t="shared" si="8"/>
        <v>Americas →Canada →Montreal</v>
      </c>
      <c r="AE36" t="str">
        <f t="shared" si="9"/>
        <v>Medium</v>
      </c>
      <c r="AF36" t="str">
        <f>TEXT(Table1[[#This Row],[OrderDate]],"MMM")</f>
        <v>Mar</v>
      </c>
      <c r="AG36" t="str">
        <f>TEXT(Table1[[#This Row],[OrderDate]],"YYYY")</f>
        <v>2023</v>
      </c>
      <c r="AI36" s="4">
        <f>IF(Table1[[#This Row],[RequiredDate]]&lt;Table1[[#This Row],[OrderDate]], Table1[[#This Row],[OrderDate]]+7, Table1[[#This Row],[RequiredDate]])</f>
        <v>45009</v>
      </c>
      <c r="AJ36">
        <f>IF(Dashboard!$D$3&gt;'Staging Data'!V36,'Staging Data'!V36,Dashboard!D$3)</f>
        <v>0.2</v>
      </c>
      <c r="AK36" s="19">
        <f>(100%+Dashboard!$D$4)*'Staging Data'!S36</f>
        <v>505.7955</v>
      </c>
      <c r="AL36">
        <f>(100%+Dashboard!$D$5)*'Staging Data'!W36</f>
        <v>27.599999999999998</v>
      </c>
    </row>
    <row r="37" spans="1:38" x14ac:dyDescent="0.35">
      <c r="A37" s="6" t="s">
        <v>419</v>
      </c>
      <c r="B37" s="4">
        <v>44991</v>
      </c>
      <c r="C37" s="4">
        <v>45020</v>
      </c>
      <c r="D37" s="4">
        <f>IF(Table1[[#This Row],[RequiredDate]]&lt;Table1[[#This Row],[OrderDate]],Table1[[#This Row],[RequiredDate]],Table1[[#This Row],[OrderDate]])</f>
        <v>44991</v>
      </c>
      <c r="E37" s="4">
        <f>IF(Table1[[#This Row],[RequiredDate]]&gt;Table1[[#This Row],[OrderDate]],Table1[[#This Row],[RequiredDate]],Table1[[#This Row],[OrderDate]])</f>
        <v>45020</v>
      </c>
      <c r="F37" s="21">
        <f>Table1[[#This Row],[New RD]]-Table1[[#This Row],[new   od]]</f>
        <v>29</v>
      </c>
      <c r="G37" s="4">
        <f>IF(Table1[[#This Row],[RequiredDate]]&lt;Table1[[#This Row],[OrderDate]], Table1[[#This Row],[OrderDate]]+7, Table1[[#This Row],[RequiredDate]])</f>
        <v>45020</v>
      </c>
      <c r="H37" s="21">
        <f t="shared" si="0"/>
        <v>29</v>
      </c>
      <c r="I37" s="6" t="str">
        <f>IF(Table1[[#This Row],[New LTD]]&lt;=7,"Yes","No")</f>
        <v>No</v>
      </c>
      <c r="J37" s="6" t="str">
        <f t="shared" si="10"/>
        <v>No</v>
      </c>
      <c r="K37" t="s">
        <v>647</v>
      </c>
      <c r="L37" t="s">
        <v>659</v>
      </c>
      <c r="M37" t="s">
        <v>699</v>
      </c>
      <c r="N37" t="s">
        <v>705</v>
      </c>
      <c r="O37" t="s">
        <v>711</v>
      </c>
      <c r="P37" t="s">
        <v>712</v>
      </c>
      <c r="Q37" t="s">
        <v>732</v>
      </c>
      <c r="R37" t="s">
        <v>1138</v>
      </c>
      <c r="S37" s="6">
        <v>1126.29</v>
      </c>
      <c r="T37" s="6">
        <v>2050.87</v>
      </c>
      <c r="U37" s="6">
        <f t="shared" si="1"/>
        <v>2050.87</v>
      </c>
      <c r="V37" s="8">
        <v>6.4000000000000001E-2</v>
      </c>
      <c r="W37" s="6">
        <v>7</v>
      </c>
      <c r="X37" s="6">
        <f t="shared" si="2"/>
        <v>13437.300239999999</v>
      </c>
      <c r="Y37">
        <f t="shared" si="3"/>
        <v>7884.03</v>
      </c>
      <c r="Z37" s="6">
        <f t="shared" si="4"/>
        <v>5553.2702399999989</v>
      </c>
      <c r="AA37">
        <f t="shared" si="5"/>
        <v>0.41327276616690373</v>
      </c>
      <c r="AB37" t="str">
        <f t="shared" si="6"/>
        <v>3-2023</v>
      </c>
      <c r="AC37" t="str">
        <f t="shared" si="7"/>
        <v>Q1-2023</v>
      </c>
      <c r="AD37" t="str">
        <f t="shared" si="8"/>
        <v>Asia →China →Beijing</v>
      </c>
      <c r="AE37" t="str">
        <f t="shared" si="9"/>
        <v>High</v>
      </c>
      <c r="AF37" t="str">
        <f>TEXT(Table1[[#This Row],[OrderDate]],"MMM")</f>
        <v>Mar</v>
      </c>
      <c r="AG37" t="str">
        <f>TEXT(Table1[[#This Row],[OrderDate]],"YYYY")</f>
        <v>2023</v>
      </c>
      <c r="AI37" s="4">
        <f>IF(Table1[[#This Row],[RequiredDate]]&lt;Table1[[#This Row],[OrderDate]], Table1[[#This Row],[OrderDate]]+7, Table1[[#This Row],[RequiredDate]])</f>
        <v>45020</v>
      </c>
      <c r="AJ37">
        <f>IF(Dashboard!$D$3&gt;'Staging Data'!V37,'Staging Data'!V37,Dashboard!D$3)</f>
        <v>6.4000000000000001E-2</v>
      </c>
      <c r="AK37" s="19">
        <f>(100%+Dashboard!$D$4)*'Staging Data'!S37</f>
        <v>1182.6044999999999</v>
      </c>
      <c r="AL37">
        <f>(100%+Dashboard!$D$5)*'Staging Data'!W37</f>
        <v>8.0499999999999989</v>
      </c>
    </row>
    <row r="38" spans="1:38" x14ac:dyDescent="0.35">
      <c r="A38" s="6" t="s">
        <v>243</v>
      </c>
      <c r="B38" s="4">
        <v>44992</v>
      </c>
      <c r="C38" s="4">
        <v>45017</v>
      </c>
      <c r="D38" s="4">
        <f>IF(Table1[[#This Row],[RequiredDate]]&lt;Table1[[#This Row],[OrderDate]],Table1[[#This Row],[RequiredDate]],Table1[[#This Row],[OrderDate]])</f>
        <v>44992</v>
      </c>
      <c r="E38" s="4">
        <f>IF(Table1[[#This Row],[RequiredDate]]&gt;Table1[[#This Row],[OrderDate]],Table1[[#This Row],[RequiredDate]],Table1[[#This Row],[OrderDate]])</f>
        <v>45017</v>
      </c>
      <c r="F38" s="21">
        <f>Table1[[#This Row],[New RD]]-Table1[[#This Row],[new   od]]</f>
        <v>25</v>
      </c>
      <c r="G38" s="4">
        <f>IF(Table1[[#This Row],[RequiredDate]]&lt;Table1[[#This Row],[OrderDate]], Table1[[#This Row],[OrderDate]]+7, Table1[[#This Row],[RequiredDate]])</f>
        <v>45017</v>
      </c>
      <c r="H38" s="21">
        <f t="shared" si="0"/>
        <v>25</v>
      </c>
      <c r="I38" s="6" t="str">
        <f>IF(Table1[[#This Row],[New LTD]]&lt;=7,"Yes","No")</f>
        <v>No</v>
      </c>
      <c r="J38" s="6" t="str">
        <f t="shared" si="10"/>
        <v>No</v>
      </c>
      <c r="K38" t="s">
        <v>646</v>
      </c>
      <c r="L38" t="s">
        <v>650</v>
      </c>
      <c r="M38" t="s">
        <v>664</v>
      </c>
      <c r="N38" t="s">
        <v>704</v>
      </c>
      <c r="O38" t="s">
        <v>709</v>
      </c>
      <c r="P38" t="s">
        <v>726</v>
      </c>
      <c r="Q38" t="s">
        <v>728</v>
      </c>
      <c r="R38" t="s">
        <v>963</v>
      </c>
      <c r="S38" s="6">
        <v>1024.0999999999999</v>
      </c>
      <c r="T38" s="6">
        <v>918.19</v>
      </c>
      <c r="U38" s="6">
        <f t="shared" si="1"/>
        <v>918.19</v>
      </c>
      <c r="V38" s="8">
        <v>0.189</v>
      </c>
      <c r="W38" s="6">
        <v>10</v>
      </c>
      <c r="X38" s="6">
        <f t="shared" si="2"/>
        <v>7446.5209000000004</v>
      </c>
      <c r="Y38">
        <f t="shared" si="3"/>
        <v>10241</v>
      </c>
      <c r="Z38" s="6">
        <f t="shared" si="4"/>
        <v>-2794.4790999999996</v>
      </c>
      <c r="AA38">
        <f t="shared" si="5"/>
        <v>-0.37527311579827827</v>
      </c>
      <c r="AB38" t="str">
        <f t="shared" si="6"/>
        <v>3-2023</v>
      </c>
      <c r="AC38" t="str">
        <f t="shared" si="7"/>
        <v>Q1-2023</v>
      </c>
      <c r="AD38" t="str">
        <f t="shared" si="8"/>
        <v>Africa →Kenya →Nairobi</v>
      </c>
      <c r="AE38" t="str">
        <f t="shared" si="9"/>
        <v>Medium</v>
      </c>
      <c r="AF38" t="str">
        <f>TEXT(Table1[[#This Row],[OrderDate]],"MMM")</f>
        <v>Mar</v>
      </c>
      <c r="AG38" t="str">
        <f>TEXT(Table1[[#This Row],[OrderDate]],"YYYY")</f>
        <v>2023</v>
      </c>
      <c r="AI38" s="4">
        <f>IF(Table1[[#This Row],[RequiredDate]]&lt;Table1[[#This Row],[OrderDate]], Table1[[#This Row],[OrderDate]]+7, Table1[[#This Row],[RequiredDate]])</f>
        <v>45017</v>
      </c>
      <c r="AJ38">
        <f>IF(Dashboard!$D$3&gt;'Staging Data'!V38,'Staging Data'!V38,Dashboard!D$3)</f>
        <v>0.189</v>
      </c>
      <c r="AK38" s="19">
        <f>(100%+Dashboard!$D$4)*'Staging Data'!S38</f>
        <v>1075.3049999999998</v>
      </c>
      <c r="AL38">
        <f>(100%+Dashboard!$D$5)*'Staging Data'!W38</f>
        <v>11.5</v>
      </c>
    </row>
    <row r="39" spans="1:38" x14ac:dyDescent="0.35">
      <c r="A39" s="6" t="s">
        <v>391</v>
      </c>
      <c r="B39" s="4">
        <v>44998</v>
      </c>
      <c r="C39" s="4">
        <v>45020</v>
      </c>
      <c r="D39" s="4">
        <f>IF(Table1[[#This Row],[RequiredDate]]&lt;Table1[[#This Row],[OrderDate]],Table1[[#This Row],[RequiredDate]],Table1[[#This Row],[OrderDate]])</f>
        <v>44998</v>
      </c>
      <c r="E39" s="4">
        <f>IF(Table1[[#This Row],[RequiredDate]]&gt;Table1[[#This Row],[OrderDate]],Table1[[#This Row],[RequiredDate]],Table1[[#This Row],[OrderDate]])</f>
        <v>45020</v>
      </c>
      <c r="F39" s="21">
        <f>Table1[[#This Row],[New RD]]-Table1[[#This Row],[new   od]]</f>
        <v>22</v>
      </c>
      <c r="G39" s="4">
        <f>IF(Table1[[#This Row],[RequiredDate]]&lt;Table1[[#This Row],[OrderDate]], Table1[[#This Row],[OrderDate]]+7, Table1[[#This Row],[RequiredDate]])</f>
        <v>45020</v>
      </c>
      <c r="H39" s="21">
        <f t="shared" si="0"/>
        <v>22</v>
      </c>
      <c r="I39" s="6" t="str">
        <f>IF(Table1[[#This Row],[New LTD]]&lt;=7,"Yes","No")</f>
        <v>No</v>
      </c>
      <c r="J39" s="6" t="str">
        <f t="shared" si="10"/>
        <v>No</v>
      </c>
      <c r="K39" t="s">
        <v>646</v>
      </c>
      <c r="L39" t="s">
        <v>661</v>
      </c>
      <c r="M39" t="s">
        <v>687</v>
      </c>
      <c r="N39" t="s">
        <v>705</v>
      </c>
      <c r="O39" t="s">
        <v>707</v>
      </c>
      <c r="P39" t="s">
        <v>720</v>
      </c>
      <c r="Q39" t="s">
        <v>727</v>
      </c>
      <c r="R39" t="s">
        <v>1111</v>
      </c>
      <c r="S39" s="6">
        <v>1113.7</v>
      </c>
      <c r="T39" s="6">
        <v>1620.6</v>
      </c>
      <c r="U39" s="6">
        <f t="shared" si="1"/>
        <v>1620.6</v>
      </c>
      <c r="V39" s="8">
        <v>0.13900000000000001</v>
      </c>
      <c r="W39" s="6">
        <v>11</v>
      </c>
      <c r="X39" s="6">
        <f t="shared" si="2"/>
        <v>15348.702599999999</v>
      </c>
      <c r="Y39">
        <f t="shared" si="3"/>
        <v>12250.7</v>
      </c>
      <c r="Z39" s="6">
        <f t="shared" si="4"/>
        <v>3098.002599999998</v>
      </c>
      <c r="AA39">
        <f t="shared" si="5"/>
        <v>0.20184133348182787</v>
      </c>
      <c r="AB39" t="str">
        <f t="shared" si="6"/>
        <v>3-2023</v>
      </c>
      <c r="AC39" t="str">
        <f t="shared" si="7"/>
        <v>Q1-2023</v>
      </c>
      <c r="AD39" t="str">
        <f t="shared" si="8"/>
        <v>Africa →South Africa →Durban</v>
      </c>
      <c r="AE39" t="str">
        <f t="shared" si="9"/>
        <v>High</v>
      </c>
      <c r="AF39" t="str">
        <f>TEXT(Table1[[#This Row],[OrderDate]],"MMM")</f>
        <v>Mar</v>
      </c>
      <c r="AG39" t="str">
        <f>TEXT(Table1[[#This Row],[OrderDate]],"YYYY")</f>
        <v>2023</v>
      </c>
      <c r="AI39" s="4">
        <f>IF(Table1[[#This Row],[RequiredDate]]&lt;Table1[[#This Row],[OrderDate]], Table1[[#This Row],[OrderDate]]+7, Table1[[#This Row],[RequiredDate]])</f>
        <v>45020</v>
      </c>
      <c r="AJ39">
        <f>IF(Dashboard!$D$3&gt;'Staging Data'!V39,'Staging Data'!V39,Dashboard!D$3)</f>
        <v>0.13900000000000001</v>
      </c>
      <c r="AK39" s="19">
        <f>(100%+Dashboard!$D$4)*'Staging Data'!S39</f>
        <v>1169.385</v>
      </c>
      <c r="AL39">
        <f>(100%+Dashboard!$D$5)*'Staging Data'!W39</f>
        <v>12.649999999999999</v>
      </c>
    </row>
    <row r="40" spans="1:38" x14ac:dyDescent="0.35">
      <c r="A40" s="6" t="s">
        <v>248</v>
      </c>
      <c r="B40" s="4">
        <v>44999</v>
      </c>
      <c r="C40" s="4">
        <v>45015</v>
      </c>
      <c r="D40" s="4">
        <f>IF(Table1[[#This Row],[RequiredDate]]&lt;Table1[[#This Row],[OrderDate]],Table1[[#This Row],[RequiredDate]],Table1[[#This Row],[OrderDate]])</f>
        <v>44999</v>
      </c>
      <c r="E40" s="4">
        <f>IF(Table1[[#This Row],[RequiredDate]]&gt;Table1[[#This Row],[OrderDate]],Table1[[#This Row],[RequiredDate]],Table1[[#This Row],[OrderDate]])</f>
        <v>45015</v>
      </c>
      <c r="F40" s="21">
        <f>Table1[[#This Row],[New RD]]-Table1[[#This Row],[new   od]]</f>
        <v>16</v>
      </c>
      <c r="G40" s="4">
        <f>IF(Table1[[#This Row],[RequiredDate]]&lt;Table1[[#This Row],[OrderDate]], Table1[[#This Row],[OrderDate]]+7, Table1[[#This Row],[RequiredDate]])</f>
        <v>45015</v>
      </c>
      <c r="H40" s="21">
        <f t="shared" si="0"/>
        <v>16</v>
      </c>
      <c r="I40" s="6" t="str">
        <f>IF(Table1[[#This Row],[New LTD]]&lt;=7,"Yes","No")</f>
        <v>No</v>
      </c>
      <c r="J40" s="6" t="str">
        <f t="shared" si="10"/>
        <v>No</v>
      </c>
      <c r="K40" t="s">
        <v>646</v>
      </c>
      <c r="L40" t="s">
        <v>661</v>
      </c>
      <c r="M40" t="s">
        <v>695</v>
      </c>
      <c r="N40" t="s">
        <v>704</v>
      </c>
      <c r="O40" t="s">
        <v>710</v>
      </c>
      <c r="P40" t="s">
        <v>723</v>
      </c>
      <c r="Q40" t="s">
        <v>727</v>
      </c>
      <c r="R40" t="s">
        <v>968</v>
      </c>
      <c r="S40" s="6">
        <v>1309.77</v>
      </c>
      <c r="T40" s="6">
        <v>1589.07</v>
      </c>
      <c r="U40" s="6">
        <f t="shared" si="1"/>
        <v>1589.07</v>
      </c>
      <c r="V40" s="8">
        <v>0.10199999999999999</v>
      </c>
      <c r="W40" s="6">
        <v>10</v>
      </c>
      <c r="X40" s="6">
        <f t="shared" si="2"/>
        <v>14269.848599999999</v>
      </c>
      <c r="Y40">
        <f t="shared" si="3"/>
        <v>13097.7</v>
      </c>
      <c r="Z40" s="6">
        <f t="shared" si="4"/>
        <v>1172.1485999999986</v>
      </c>
      <c r="AA40">
        <f t="shared" si="5"/>
        <v>8.2141628328137886E-2</v>
      </c>
      <c r="AB40" t="str">
        <f t="shared" si="6"/>
        <v>3-2023</v>
      </c>
      <c r="AC40" t="str">
        <f t="shared" si="7"/>
        <v>Q1-2023</v>
      </c>
      <c r="AD40" t="str">
        <f t="shared" si="8"/>
        <v>Africa →South Africa →Cape Town</v>
      </c>
      <c r="AE40" t="str">
        <f t="shared" si="9"/>
        <v>Medium</v>
      </c>
      <c r="AF40" t="str">
        <f>TEXT(Table1[[#This Row],[OrderDate]],"MMM")</f>
        <v>Mar</v>
      </c>
      <c r="AG40" t="str">
        <f>TEXT(Table1[[#This Row],[OrderDate]],"YYYY")</f>
        <v>2023</v>
      </c>
      <c r="AI40" s="4">
        <f>IF(Table1[[#This Row],[RequiredDate]]&lt;Table1[[#This Row],[OrderDate]], Table1[[#This Row],[OrderDate]]+7, Table1[[#This Row],[RequiredDate]])</f>
        <v>45015</v>
      </c>
      <c r="AJ40">
        <f>IF(Dashboard!$D$3&gt;'Staging Data'!V40,'Staging Data'!V40,Dashboard!D$3)</f>
        <v>0.10199999999999999</v>
      </c>
      <c r="AK40" s="19">
        <f>(100%+Dashboard!$D$4)*'Staging Data'!S40</f>
        <v>1375.2585000000001</v>
      </c>
      <c r="AL40">
        <f>(100%+Dashboard!$D$5)*'Staging Data'!W40</f>
        <v>11.5</v>
      </c>
    </row>
    <row r="41" spans="1:38" x14ac:dyDescent="0.35">
      <c r="A41" s="6" t="s">
        <v>491</v>
      </c>
      <c r="B41" s="4">
        <v>44999</v>
      </c>
      <c r="C41" s="4">
        <v>45003</v>
      </c>
      <c r="D41" s="4">
        <f>IF(Table1[[#This Row],[RequiredDate]]&lt;Table1[[#This Row],[OrderDate]],Table1[[#This Row],[RequiredDate]],Table1[[#This Row],[OrderDate]])</f>
        <v>44999</v>
      </c>
      <c r="E41" s="4">
        <f>IF(Table1[[#This Row],[RequiredDate]]&gt;Table1[[#This Row],[OrderDate]],Table1[[#This Row],[RequiredDate]],Table1[[#This Row],[OrderDate]])</f>
        <v>45003</v>
      </c>
      <c r="F41" s="21">
        <f>Table1[[#This Row],[New RD]]-Table1[[#This Row],[new   od]]</f>
        <v>4</v>
      </c>
      <c r="G41" s="4">
        <f>IF(Table1[[#This Row],[RequiredDate]]&lt;Table1[[#This Row],[OrderDate]], Table1[[#This Row],[OrderDate]]+7, Table1[[#This Row],[RequiredDate]])</f>
        <v>45003</v>
      </c>
      <c r="H41" s="21">
        <f t="shared" si="0"/>
        <v>4</v>
      </c>
      <c r="I41" s="6" t="str">
        <f>IF(Table1[[#This Row],[New LTD]]&lt;=7,"Yes","No")</f>
        <v>Yes</v>
      </c>
      <c r="J41" s="6" t="str">
        <f t="shared" si="10"/>
        <v>No</v>
      </c>
      <c r="K41" t="s">
        <v>649</v>
      </c>
      <c r="L41" t="s">
        <v>656</v>
      </c>
      <c r="M41" t="s">
        <v>698</v>
      </c>
      <c r="N41" t="s">
        <v>706</v>
      </c>
      <c r="O41" t="s">
        <v>711</v>
      </c>
      <c r="P41" t="s">
        <v>720</v>
      </c>
      <c r="Q41" t="s">
        <v>727</v>
      </c>
      <c r="R41" t="s">
        <v>1210</v>
      </c>
      <c r="S41" s="6">
        <v>472.33</v>
      </c>
      <c r="T41" s="6">
        <v>360.34</v>
      </c>
      <c r="U41" s="6">
        <f t="shared" si="1"/>
        <v>360.34</v>
      </c>
      <c r="V41" s="8">
        <v>0.16500000000000001</v>
      </c>
      <c r="W41" s="6">
        <v>14</v>
      </c>
      <c r="X41" s="6">
        <f t="shared" si="2"/>
        <v>4212.3745999999992</v>
      </c>
      <c r="Y41">
        <f t="shared" si="3"/>
        <v>6612.62</v>
      </c>
      <c r="Z41" s="6">
        <f t="shared" si="4"/>
        <v>-2400.2454000000007</v>
      </c>
      <c r="AA41">
        <f t="shared" si="5"/>
        <v>-0.56980815523861561</v>
      </c>
      <c r="AB41" t="str">
        <f t="shared" si="6"/>
        <v>3-2023</v>
      </c>
      <c r="AC41" t="str">
        <f t="shared" si="7"/>
        <v>Q1-2023</v>
      </c>
      <c r="AD41" t="str">
        <f t="shared" si="8"/>
        <v>Europe →Germany →Frankfurt</v>
      </c>
      <c r="AE41" t="str">
        <f t="shared" si="9"/>
        <v>Low</v>
      </c>
      <c r="AF41" t="str">
        <f>TEXT(Table1[[#This Row],[OrderDate]],"MMM")</f>
        <v>Mar</v>
      </c>
      <c r="AG41" t="str">
        <f>TEXT(Table1[[#This Row],[OrderDate]],"YYYY")</f>
        <v>2023</v>
      </c>
      <c r="AI41" s="4">
        <f>IF(Table1[[#This Row],[RequiredDate]]&lt;Table1[[#This Row],[OrderDate]], Table1[[#This Row],[OrderDate]]+7, Table1[[#This Row],[RequiredDate]])</f>
        <v>45003</v>
      </c>
      <c r="AJ41">
        <f>IF(Dashboard!$D$3&gt;'Staging Data'!V41,'Staging Data'!V41,Dashboard!D$3)</f>
        <v>0.16500000000000001</v>
      </c>
      <c r="AK41" s="19">
        <f>(100%+Dashboard!$D$4)*'Staging Data'!S41</f>
        <v>495.94650000000001</v>
      </c>
      <c r="AL41">
        <f>(100%+Dashboard!$D$5)*'Staging Data'!W41</f>
        <v>16.099999999999998</v>
      </c>
    </row>
    <row r="42" spans="1:38" x14ac:dyDescent="0.35">
      <c r="A42" s="6" t="s">
        <v>426</v>
      </c>
      <c r="B42" s="4">
        <v>45002</v>
      </c>
      <c r="C42" s="4">
        <v>45022</v>
      </c>
      <c r="D42" s="4">
        <f>IF(Table1[[#This Row],[RequiredDate]]&lt;Table1[[#This Row],[OrderDate]],Table1[[#This Row],[RequiredDate]],Table1[[#This Row],[OrderDate]])</f>
        <v>45002</v>
      </c>
      <c r="E42" s="4">
        <f>IF(Table1[[#This Row],[RequiredDate]]&gt;Table1[[#This Row],[OrderDate]],Table1[[#This Row],[RequiredDate]],Table1[[#This Row],[OrderDate]])</f>
        <v>45022</v>
      </c>
      <c r="F42" s="21">
        <f>Table1[[#This Row],[New RD]]-Table1[[#This Row],[new   od]]</f>
        <v>20</v>
      </c>
      <c r="G42" s="4">
        <f>IF(Table1[[#This Row],[RequiredDate]]&lt;Table1[[#This Row],[OrderDate]], Table1[[#This Row],[OrderDate]]+7, Table1[[#This Row],[RequiredDate]])</f>
        <v>45022</v>
      </c>
      <c r="H42" s="21">
        <f t="shared" si="0"/>
        <v>20</v>
      </c>
      <c r="I42" s="6" t="str">
        <f>IF(Table1[[#This Row],[New LTD]]&lt;=7,"Yes","No")</f>
        <v>No</v>
      </c>
      <c r="J42" s="6" t="str">
        <f t="shared" si="10"/>
        <v>No</v>
      </c>
      <c r="K42" t="s">
        <v>649</v>
      </c>
      <c r="L42" t="s">
        <v>656</v>
      </c>
      <c r="M42" t="s">
        <v>684</v>
      </c>
      <c r="N42" t="s">
        <v>704</v>
      </c>
      <c r="O42" t="s">
        <v>707</v>
      </c>
      <c r="P42" t="s">
        <v>719</v>
      </c>
      <c r="Q42" t="s">
        <v>730</v>
      </c>
      <c r="R42" t="s">
        <v>1145</v>
      </c>
      <c r="S42" s="6">
        <v>692.18</v>
      </c>
      <c r="T42" s="6">
        <v>1159.3499999999999</v>
      </c>
      <c r="U42" s="6">
        <f t="shared" si="1"/>
        <v>1159.3499999999999</v>
      </c>
      <c r="V42" s="8">
        <v>0.112</v>
      </c>
      <c r="W42" s="6">
        <v>2</v>
      </c>
      <c r="X42" s="6">
        <f t="shared" si="2"/>
        <v>2059.0056</v>
      </c>
      <c r="Y42">
        <f t="shared" si="3"/>
        <v>1384.36</v>
      </c>
      <c r="Z42" s="6">
        <f t="shared" si="4"/>
        <v>674.64560000000006</v>
      </c>
      <c r="AA42">
        <f t="shared" si="5"/>
        <v>0.32765602968734037</v>
      </c>
      <c r="AB42" t="str">
        <f t="shared" si="6"/>
        <v>3-2023</v>
      </c>
      <c r="AC42" t="str">
        <f t="shared" si="7"/>
        <v>Q1-2023</v>
      </c>
      <c r="AD42" t="str">
        <f t="shared" si="8"/>
        <v>Europe →Germany →Munich</v>
      </c>
      <c r="AE42" t="str">
        <f t="shared" si="9"/>
        <v>Medium</v>
      </c>
      <c r="AF42" t="str">
        <f>TEXT(Table1[[#This Row],[OrderDate]],"MMM")</f>
        <v>Mar</v>
      </c>
      <c r="AG42" t="str">
        <f>TEXT(Table1[[#This Row],[OrderDate]],"YYYY")</f>
        <v>2023</v>
      </c>
      <c r="AI42" s="4">
        <f>IF(Table1[[#This Row],[RequiredDate]]&lt;Table1[[#This Row],[OrderDate]], Table1[[#This Row],[OrderDate]]+7, Table1[[#This Row],[RequiredDate]])</f>
        <v>45022</v>
      </c>
      <c r="AJ42">
        <f>IF(Dashboard!$D$3&gt;'Staging Data'!V42,'Staging Data'!V42,Dashboard!D$3)</f>
        <v>0.112</v>
      </c>
      <c r="AK42" s="19">
        <f>(100%+Dashboard!$D$4)*'Staging Data'!S42</f>
        <v>726.78899999999999</v>
      </c>
      <c r="AL42">
        <f>(100%+Dashboard!$D$5)*'Staging Data'!W42</f>
        <v>2.2999999999999998</v>
      </c>
    </row>
    <row r="43" spans="1:38" x14ac:dyDescent="0.35">
      <c r="A43" s="6" t="s">
        <v>81</v>
      </c>
      <c r="B43" s="4">
        <v>45004</v>
      </c>
      <c r="C43" s="4">
        <v>45025</v>
      </c>
      <c r="D43" s="4">
        <f>IF(Table1[[#This Row],[RequiredDate]]&lt;Table1[[#This Row],[OrderDate]],Table1[[#This Row],[RequiredDate]],Table1[[#This Row],[OrderDate]])</f>
        <v>45004</v>
      </c>
      <c r="E43" s="4">
        <f>IF(Table1[[#This Row],[RequiredDate]]&gt;Table1[[#This Row],[OrderDate]],Table1[[#This Row],[RequiredDate]],Table1[[#This Row],[OrderDate]])</f>
        <v>45025</v>
      </c>
      <c r="F43" s="21">
        <f>Table1[[#This Row],[New RD]]-Table1[[#This Row],[new   od]]</f>
        <v>21</v>
      </c>
      <c r="G43" s="4">
        <f>IF(Table1[[#This Row],[RequiredDate]]&lt;Table1[[#This Row],[OrderDate]], Table1[[#This Row],[OrderDate]]+7, Table1[[#This Row],[RequiredDate]])</f>
        <v>45025</v>
      </c>
      <c r="H43" s="21">
        <f t="shared" si="0"/>
        <v>21</v>
      </c>
      <c r="I43" s="6" t="str">
        <f>IF(Table1[[#This Row],[New LTD]]&lt;=7,"Yes","No")</f>
        <v>No</v>
      </c>
      <c r="J43" s="6" t="str">
        <f t="shared" si="10"/>
        <v>No</v>
      </c>
      <c r="K43" t="s">
        <v>649</v>
      </c>
      <c r="L43" t="s">
        <v>658</v>
      </c>
      <c r="M43" t="s">
        <v>693</v>
      </c>
      <c r="N43" t="s">
        <v>704</v>
      </c>
      <c r="O43" t="s">
        <v>707</v>
      </c>
      <c r="P43" t="s">
        <v>716</v>
      </c>
      <c r="Q43" t="s">
        <v>733</v>
      </c>
      <c r="R43" t="s">
        <v>800</v>
      </c>
      <c r="S43" s="6">
        <v>1082.17</v>
      </c>
      <c r="T43" s="6">
        <v>1234.0999999999999</v>
      </c>
      <c r="U43" s="6">
        <f t="shared" si="1"/>
        <v>1234.0999999999999</v>
      </c>
      <c r="V43" s="8">
        <v>0.189</v>
      </c>
      <c r="W43" s="6">
        <v>16</v>
      </c>
      <c r="X43" s="6">
        <f t="shared" si="2"/>
        <v>16013.681599999998</v>
      </c>
      <c r="Y43">
        <f t="shared" si="3"/>
        <v>17314.72</v>
      </c>
      <c r="Z43" s="6">
        <f t="shared" si="4"/>
        <v>-1301.0384000000031</v>
      </c>
      <c r="AA43">
        <f t="shared" si="5"/>
        <v>-8.124542703534228E-2</v>
      </c>
      <c r="AB43" t="str">
        <f t="shared" si="6"/>
        <v>3-2023</v>
      </c>
      <c r="AC43" t="str">
        <f t="shared" si="7"/>
        <v>Q1-2023</v>
      </c>
      <c r="AD43" t="str">
        <f t="shared" si="8"/>
        <v>Europe →United Kingdom →Manchester</v>
      </c>
      <c r="AE43" t="str">
        <f t="shared" si="9"/>
        <v>Medium</v>
      </c>
      <c r="AF43" t="str">
        <f>TEXT(Table1[[#This Row],[OrderDate]],"MMM")</f>
        <v>Mar</v>
      </c>
      <c r="AG43" t="str">
        <f>TEXT(Table1[[#This Row],[OrderDate]],"YYYY")</f>
        <v>2023</v>
      </c>
      <c r="AI43" s="4">
        <f>IF(Table1[[#This Row],[RequiredDate]]&lt;Table1[[#This Row],[OrderDate]], Table1[[#This Row],[OrderDate]]+7, Table1[[#This Row],[RequiredDate]])</f>
        <v>45025</v>
      </c>
      <c r="AJ43">
        <f>IF(Dashboard!$D$3&gt;'Staging Data'!V43,'Staging Data'!V43,Dashboard!D$3)</f>
        <v>0.189</v>
      </c>
      <c r="AK43" s="19">
        <f>(100%+Dashboard!$D$4)*'Staging Data'!S43</f>
        <v>1136.2785000000001</v>
      </c>
      <c r="AL43">
        <f>(100%+Dashboard!$D$5)*'Staging Data'!W43</f>
        <v>18.399999999999999</v>
      </c>
    </row>
    <row r="44" spans="1:38" x14ac:dyDescent="0.35">
      <c r="A44" s="6" t="s">
        <v>333</v>
      </c>
      <c r="B44" s="4">
        <v>45008</v>
      </c>
      <c r="C44" s="4">
        <v>45031</v>
      </c>
      <c r="D44" s="4">
        <f>IF(Table1[[#This Row],[RequiredDate]]&lt;Table1[[#This Row],[OrderDate]],Table1[[#This Row],[RequiredDate]],Table1[[#This Row],[OrderDate]])</f>
        <v>45008</v>
      </c>
      <c r="E44" s="4">
        <f>IF(Table1[[#This Row],[RequiredDate]]&gt;Table1[[#This Row],[OrderDate]],Table1[[#This Row],[RequiredDate]],Table1[[#This Row],[OrderDate]])</f>
        <v>45031</v>
      </c>
      <c r="F44" s="21">
        <f>Table1[[#This Row],[New RD]]-Table1[[#This Row],[new   od]]</f>
        <v>23</v>
      </c>
      <c r="G44" s="4">
        <f>IF(Table1[[#This Row],[RequiredDate]]&lt;Table1[[#This Row],[OrderDate]], Table1[[#This Row],[OrderDate]]+7, Table1[[#This Row],[RequiredDate]])</f>
        <v>45031</v>
      </c>
      <c r="H44" s="21">
        <f t="shared" si="0"/>
        <v>23</v>
      </c>
      <c r="I44" s="6" t="str">
        <f>IF(Table1[[#This Row],[New LTD]]&lt;=7,"Yes","No")</f>
        <v>No</v>
      </c>
      <c r="J44" s="6" t="str">
        <f t="shared" si="10"/>
        <v>No</v>
      </c>
      <c r="K44" t="s">
        <v>646</v>
      </c>
      <c r="L44" t="s">
        <v>650</v>
      </c>
      <c r="M44" t="s">
        <v>675</v>
      </c>
      <c r="N44" t="s">
        <v>705</v>
      </c>
      <c r="O44" t="s">
        <v>707</v>
      </c>
      <c r="P44" t="s">
        <v>712</v>
      </c>
      <c r="Q44" t="s">
        <v>733</v>
      </c>
      <c r="R44" t="s">
        <v>1053</v>
      </c>
      <c r="S44" s="6">
        <v>875.36</v>
      </c>
      <c r="T44" s="6">
        <v>1178.6199999999999</v>
      </c>
      <c r="U44" s="6">
        <f t="shared" si="1"/>
        <v>1178.6199999999999</v>
      </c>
      <c r="V44" s="8">
        <v>0.151</v>
      </c>
      <c r="W44" s="6">
        <v>53</v>
      </c>
      <c r="X44" s="6">
        <f t="shared" si="2"/>
        <v>53034.364139999991</v>
      </c>
      <c r="Y44">
        <f t="shared" si="3"/>
        <v>46394.080000000002</v>
      </c>
      <c r="Z44" s="6">
        <f t="shared" si="4"/>
        <v>6640.2841399999888</v>
      </c>
      <c r="AA44">
        <f t="shared" si="5"/>
        <v>0.12520719815685888</v>
      </c>
      <c r="AB44" t="str">
        <f t="shared" si="6"/>
        <v>3-2023</v>
      </c>
      <c r="AC44" t="str">
        <f t="shared" si="7"/>
        <v>Q1-2023</v>
      </c>
      <c r="AD44" t="str">
        <f t="shared" si="8"/>
        <v>Africa →Kenya →Mombasa</v>
      </c>
      <c r="AE44" t="str">
        <f t="shared" si="9"/>
        <v>Medium</v>
      </c>
      <c r="AF44" t="str">
        <f>TEXT(Table1[[#This Row],[OrderDate]],"MMM")</f>
        <v>Mar</v>
      </c>
      <c r="AG44" t="str">
        <f>TEXT(Table1[[#This Row],[OrderDate]],"YYYY")</f>
        <v>2023</v>
      </c>
      <c r="AI44" s="4">
        <f>IF(Table1[[#This Row],[RequiredDate]]&lt;Table1[[#This Row],[OrderDate]], Table1[[#This Row],[OrderDate]]+7, Table1[[#This Row],[RequiredDate]])</f>
        <v>45031</v>
      </c>
      <c r="AJ44">
        <f>IF(Dashboard!$D$3&gt;'Staging Data'!V44,'Staging Data'!V44,Dashboard!D$3)</f>
        <v>0.151</v>
      </c>
      <c r="AK44" s="19">
        <f>(100%+Dashboard!$D$4)*'Staging Data'!S44</f>
        <v>919.12800000000004</v>
      </c>
      <c r="AL44">
        <f>(100%+Dashboard!$D$5)*'Staging Data'!W44</f>
        <v>60.949999999999996</v>
      </c>
    </row>
    <row r="45" spans="1:38" x14ac:dyDescent="0.35">
      <c r="A45" s="6" t="s">
        <v>178</v>
      </c>
      <c r="B45" s="4">
        <v>45010</v>
      </c>
      <c r="C45" s="4">
        <v>45011</v>
      </c>
      <c r="D45" s="4">
        <f>IF(Table1[[#This Row],[RequiredDate]]&lt;Table1[[#This Row],[OrderDate]],Table1[[#This Row],[RequiredDate]],Table1[[#This Row],[OrderDate]])</f>
        <v>45010</v>
      </c>
      <c r="E45" s="4">
        <f>IF(Table1[[#This Row],[RequiredDate]]&gt;Table1[[#This Row],[OrderDate]],Table1[[#This Row],[RequiredDate]],Table1[[#This Row],[OrderDate]])</f>
        <v>45011</v>
      </c>
      <c r="F45" s="21">
        <f>Table1[[#This Row],[New RD]]-Table1[[#This Row],[new   od]]</f>
        <v>1</v>
      </c>
      <c r="G45" s="4">
        <f>IF(Table1[[#This Row],[RequiredDate]]&lt;Table1[[#This Row],[OrderDate]], Table1[[#This Row],[OrderDate]]+7, Table1[[#This Row],[RequiredDate]])</f>
        <v>45011</v>
      </c>
      <c r="H45" s="21">
        <f t="shared" si="0"/>
        <v>1</v>
      </c>
      <c r="I45" s="6" t="str">
        <f>IF(Table1[[#This Row],[New LTD]]&lt;=7,"Yes","No")</f>
        <v>Yes</v>
      </c>
      <c r="J45" s="6" t="str">
        <f t="shared" si="10"/>
        <v>No</v>
      </c>
      <c r="K45" t="s">
        <v>647</v>
      </c>
      <c r="L45" t="s">
        <v>652</v>
      </c>
      <c r="M45" t="s">
        <v>666</v>
      </c>
      <c r="N45" t="s">
        <v>705</v>
      </c>
      <c r="O45" t="s">
        <v>710</v>
      </c>
      <c r="P45" t="s">
        <v>714</v>
      </c>
      <c r="Q45" t="s">
        <v>732</v>
      </c>
      <c r="R45" t="s">
        <v>897</v>
      </c>
      <c r="S45" s="6">
        <v>135.12</v>
      </c>
      <c r="T45" s="6">
        <v>301.7</v>
      </c>
      <c r="U45" s="6">
        <f t="shared" si="1"/>
        <v>301.7</v>
      </c>
      <c r="V45" s="8">
        <v>0.14000000000000001</v>
      </c>
      <c r="W45" s="6">
        <v>47</v>
      </c>
      <c r="X45" s="6">
        <f t="shared" si="2"/>
        <v>12194.714</v>
      </c>
      <c r="Y45">
        <f t="shared" si="3"/>
        <v>6350.64</v>
      </c>
      <c r="Z45" s="6">
        <f t="shared" si="4"/>
        <v>5844.0739999999996</v>
      </c>
      <c r="AA45">
        <f t="shared" si="5"/>
        <v>0.47923009920527859</v>
      </c>
      <c r="AB45" t="str">
        <f t="shared" si="6"/>
        <v>3-2023</v>
      </c>
      <c r="AC45" t="str">
        <f t="shared" si="7"/>
        <v>Q1-2023</v>
      </c>
      <c r="AD45" t="str">
        <f t="shared" si="8"/>
        <v>Asia →Japan →Osaka</v>
      </c>
      <c r="AE45" t="str">
        <f t="shared" si="9"/>
        <v>Low</v>
      </c>
      <c r="AF45" t="str">
        <f>TEXT(Table1[[#This Row],[OrderDate]],"MMM")</f>
        <v>Mar</v>
      </c>
      <c r="AG45" t="str">
        <f>TEXT(Table1[[#This Row],[OrderDate]],"YYYY")</f>
        <v>2023</v>
      </c>
      <c r="AI45" s="4">
        <f>IF(Table1[[#This Row],[RequiredDate]]&lt;Table1[[#This Row],[OrderDate]], Table1[[#This Row],[OrderDate]]+7, Table1[[#This Row],[RequiredDate]])</f>
        <v>45011</v>
      </c>
      <c r="AJ45">
        <f>IF(Dashboard!$D$3&gt;'Staging Data'!V45,'Staging Data'!V45,Dashboard!D$3)</f>
        <v>0.14000000000000001</v>
      </c>
      <c r="AK45" s="19">
        <f>(100%+Dashboard!$D$4)*'Staging Data'!S45</f>
        <v>141.876</v>
      </c>
      <c r="AL45">
        <f>(100%+Dashboard!$D$5)*'Staging Data'!W45</f>
        <v>54.05</v>
      </c>
    </row>
    <row r="46" spans="1:38" x14ac:dyDescent="0.35">
      <c r="A46" s="6" t="s">
        <v>50</v>
      </c>
      <c r="B46" s="4">
        <v>45012</v>
      </c>
      <c r="C46" s="4">
        <v>45038</v>
      </c>
      <c r="D46" s="4">
        <f>IF(Table1[[#This Row],[RequiredDate]]&lt;Table1[[#This Row],[OrderDate]],Table1[[#This Row],[RequiredDate]],Table1[[#This Row],[OrderDate]])</f>
        <v>45012</v>
      </c>
      <c r="E46" s="4">
        <f>IF(Table1[[#This Row],[RequiredDate]]&gt;Table1[[#This Row],[OrderDate]],Table1[[#This Row],[RequiredDate]],Table1[[#This Row],[OrderDate]])</f>
        <v>45038</v>
      </c>
      <c r="F46" s="21">
        <f>Table1[[#This Row],[New RD]]-Table1[[#This Row],[new   od]]</f>
        <v>26</v>
      </c>
      <c r="G46" s="4">
        <f>IF(Table1[[#This Row],[RequiredDate]]&lt;Table1[[#This Row],[OrderDate]], Table1[[#This Row],[OrderDate]]+7, Table1[[#This Row],[RequiredDate]])</f>
        <v>45038</v>
      </c>
      <c r="H46" s="21">
        <f t="shared" si="0"/>
        <v>26</v>
      </c>
      <c r="I46" s="6" t="str">
        <f>IF(Table1[[#This Row],[New LTD]]&lt;=7,"Yes","No")</f>
        <v>No</v>
      </c>
      <c r="J46" s="6" t="str">
        <f t="shared" si="10"/>
        <v>No</v>
      </c>
      <c r="K46" t="s">
        <v>647</v>
      </c>
      <c r="L46" t="s">
        <v>654</v>
      </c>
      <c r="M46" t="s">
        <v>680</v>
      </c>
      <c r="N46" t="s">
        <v>703</v>
      </c>
      <c r="O46" t="s">
        <v>709</v>
      </c>
      <c r="P46" t="s">
        <v>713</v>
      </c>
      <c r="Q46" t="s">
        <v>728</v>
      </c>
      <c r="R46" t="s">
        <v>769</v>
      </c>
      <c r="S46" s="6">
        <v>178.53</v>
      </c>
      <c r="T46" s="6">
        <v>199.37</v>
      </c>
      <c r="U46" s="6">
        <f t="shared" si="1"/>
        <v>199.37</v>
      </c>
      <c r="V46" s="8">
        <v>0.10100000000000001</v>
      </c>
      <c r="W46" s="6">
        <v>37</v>
      </c>
      <c r="X46" s="6">
        <f t="shared" si="2"/>
        <v>6631.6443100000006</v>
      </c>
      <c r="Y46">
        <f t="shared" si="3"/>
        <v>6605.61</v>
      </c>
      <c r="Z46" s="6">
        <f t="shared" si="4"/>
        <v>26.034310000000914</v>
      </c>
      <c r="AA46">
        <f t="shared" si="5"/>
        <v>3.9257699573457538E-3</v>
      </c>
      <c r="AB46" t="str">
        <f t="shared" si="6"/>
        <v>3-2023</v>
      </c>
      <c r="AC46" t="str">
        <f t="shared" si="7"/>
        <v>Q1-2023</v>
      </c>
      <c r="AD46" t="str">
        <f t="shared" si="8"/>
        <v>Asia →India →Delhi</v>
      </c>
      <c r="AE46" t="str">
        <f t="shared" si="9"/>
        <v>Low</v>
      </c>
      <c r="AF46" t="str">
        <f>TEXT(Table1[[#This Row],[OrderDate]],"MMM")</f>
        <v>Mar</v>
      </c>
      <c r="AG46" t="str">
        <f>TEXT(Table1[[#This Row],[OrderDate]],"YYYY")</f>
        <v>2023</v>
      </c>
      <c r="AI46" s="4">
        <f>IF(Table1[[#This Row],[RequiredDate]]&lt;Table1[[#This Row],[OrderDate]], Table1[[#This Row],[OrderDate]]+7, Table1[[#This Row],[RequiredDate]])</f>
        <v>45038</v>
      </c>
      <c r="AJ46">
        <f>IF(Dashboard!$D$3&gt;'Staging Data'!V46,'Staging Data'!V46,Dashboard!D$3)</f>
        <v>0.10100000000000001</v>
      </c>
      <c r="AK46" s="19">
        <f>(100%+Dashboard!$D$4)*'Staging Data'!S46</f>
        <v>187.45650000000001</v>
      </c>
      <c r="AL46">
        <f>(100%+Dashboard!$D$5)*'Staging Data'!W46</f>
        <v>42.55</v>
      </c>
    </row>
    <row r="47" spans="1:38" x14ac:dyDescent="0.35">
      <c r="A47" s="6" t="s">
        <v>67</v>
      </c>
      <c r="B47" s="4">
        <v>45016</v>
      </c>
      <c r="C47" s="4">
        <v>45021</v>
      </c>
      <c r="D47" s="4">
        <f>IF(Table1[[#This Row],[RequiredDate]]&lt;Table1[[#This Row],[OrderDate]],Table1[[#This Row],[RequiredDate]],Table1[[#This Row],[OrderDate]])</f>
        <v>45016</v>
      </c>
      <c r="E47" s="4">
        <f>IF(Table1[[#This Row],[RequiredDate]]&gt;Table1[[#This Row],[OrderDate]],Table1[[#This Row],[RequiredDate]],Table1[[#This Row],[OrderDate]])</f>
        <v>45021</v>
      </c>
      <c r="F47" s="21">
        <f>Table1[[#This Row],[New RD]]-Table1[[#This Row],[new   od]]</f>
        <v>5</v>
      </c>
      <c r="G47" s="4">
        <f>IF(Table1[[#This Row],[RequiredDate]]&lt;Table1[[#This Row],[OrderDate]], Table1[[#This Row],[OrderDate]]+7, Table1[[#This Row],[RequiredDate]])</f>
        <v>45021</v>
      </c>
      <c r="H47" s="21">
        <f t="shared" si="0"/>
        <v>5</v>
      </c>
      <c r="I47" s="6" t="str">
        <f>IF(Table1[[#This Row],[New LTD]]&lt;=7,"Yes","No")</f>
        <v>Yes</v>
      </c>
      <c r="J47" s="6" t="str">
        <f t="shared" si="10"/>
        <v>No</v>
      </c>
      <c r="K47" t="s">
        <v>646</v>
      </c>
      <c r="L47" t="s">
        <v>650</v>
      </c>
      <c r="M47" t="s">
        <v>678</v>
      </c>
      <c r="N47" t="s">
        <v>702</v>
      </c>
      <c r="O47" t="s">
        <v>709</v>
      </c>
      <c r="P47" t="s">
        <v>717</v>
      </c>
      <c r="Q47" t="s">
        <v>731</v>
      </c>
      <c r="R47" t="s">
        <v>786</v>
      </c>
      <c r="S47" s="6">
        <v>533.26</v>
      </c>
      <c r="T47" s="6">
        <v>385.72</v>
      </c>
      <c r="U47" s="6">
        <f t="shared" si="1"/>
        <v>385.72</v>
      </c>
      <c r="V47" s="8">
        <v>0</v>
      </c>
      <c r="W47" s="6">
        <v>15</v>
      </c>
      <c r="X47" s="6">
        <f t="shared" si="2"/>
        <v>5785.8</v>
      </c>
      <c r="Y47">
        <f t="shared" si="3"/>
        <v>7998.9</v>
      </c>
      <c r="Z47" s="6">
        <f t="shared" si="4"/>
        <v>-2213.0999999999995</v>
      </c>
      <c r="AA47">
        <f t="shared" si="5"/>
        <v>-0.38250544436378708</v>
      </c>
      <c r="AB47" t="str">
        <f t="shared" si="6"/>
        <v>3-2023</v>
      </c>
      <c r="AC47" t="str">
        <f t="shared" si="7"/>
        <v>Q1-2023</v>
      </c>
      <c r="AD47" t="str">
        <f t="shared" si="8"/>
        <v>Africa →Kenya →Nakuru</v>
      </c>
      <c r="AE47" t="str">
        <f t="shared" si="9"/>
        <v>Low</v>
      </c>
      <c r="AF47" t="str">
        <f>TEXT(Table1[[#This Row],[OrderDate]],"MMM")</f>
        <v>Mar</v>
      </c>
      <c r="AG47" t="str">
        <f>TEXT(Table1[[#This Row],[OrderDate]],"YYYY")</f>
        <v>2023</v>
      </c>
      <c r="AI47" s="4">
        <f>IF(Table1[[#This Row],[RequiredDate]]&lt;Table1[[#This Row],[OrderDate]], Table1[[#This Row],[OrderDate]]+7, Table1[[#This Row],[RequiredDate]])</f>
        <v>45021</v>
      </c>
      <c r="AJ47">
        <f>IF(Dashboard!$D$3&gt;'Staging Data'!V47,'Staging Data'!V47,Dashboard!D$3)</f>
        <v>0</v>
      </c>
      <c r="AK47" s="19">
        <f>(100%+Dashboard!$D$4)*'Staging Data'!S47</f>
        <v>559.923</v>
      </c>
      <c r="AL47">
        <f>(100%+Dashboard!$D$5)*'Staging Data'!W47</f>
        <v>17.25</v>
      </c>
    </row>
    <row r="48" spans="1:38" x14ac:dyDescent="0.35">
      <c r="A48" s="6" t="s">
        <v>152</v>
      </c>
      <c r="B48" s="4">
        <v>45016</v>
      </c>
      <c r="C48" s="4">
        <v>45028</v>
      </c>
      <c r="D48" s="4">
        <f>IF(Table1[[#This Row],[RequiredDate]]&lt;Table1[[#This Row],[OrderDate]],Table1[[#This Row],[RequiredDate]],Table1[[#This Row],[OrderDate]])</f>
        <v>45016</v>
      </c>
      <c r="E48" s="4">
        <f>IF(Table1[[#This Row],[RequiredDate]]&gt;Table1[[#This Row],[OrderDate]],Table1[[#This Row],[RequiredDate]],Table1[[#This Row],[OrderDate]])</f>
        <v>45028</v>
      </c>
      <c r="F48" s="21">
        <f>Table1[[#This Row],[New RD]]-Table1[[#This Row],[new   od]]</f>
        <v>12</v>
      </c>
      <c r="G48" s="4">
        <f>IF(Table1[[#This Row],[RequiredDate]]&lt;Table1[[#This Row],[OrderDate]], Table1[[#This Row],[OrderDate]]+7, Table1[[#This Row],[RequiredDate]])</f>
        <v>45028</v>
      </c>
      <c r="H48" s="21">
        <f t="shared" si="0"/>
        <v>12</v>
      </c>
      <c r="I48" s="6" t="str">
        <f>IF(Table1[[#This Row],[New LTD]]&lt;=7,"Yes","No")</f>
        <v>No</v>
      </c>
      <c r="J48" s="6" t="str">
        <f t="shared" si="10"/>
        <v>Yes</v>
      </c>
      <c r="K48" t="s">
        <v>646</v>
      </c>
      <c r="L48" t="s">
        <v>650</v>
      </c>
      <c r="M48" t="s">
        <v>675</v>
      </c>
      <c r="N48" t="s">
        <v>705</v>
      </c>
      <c r="O48" t="s">
        <v>708</v>
      </c>
      <c r="P48" t="s">
        <v>712</v>
      </c>
      <c r="Q48" t="s">
        <v>730</v>
      </c>
      <c r="R48" t="s">
        <v>871</v>
      </c>
      <c r="S48" s="6">
        <v>304.22000000000003</v>
      </c>
      <c r="T48" s="6">
        <v>393.31</v>
      </c>
      <c r="U48" s="6">
        <f t="shared" si="1"/>
        <v>393.31</v>
      </c>
      <c r="V48" s="8">
        <v>0.26500000000000001</v>
      </c>
      <c r="W48" s="6">
        <v>15</v>
      </c>
      <c r="X48" s="6">
        <f t="shared" si="2"/>
        <v>4336.2427499999994</v>
      </c>
      <c r="Y48">
        <f t="shared" si="3"/>
        <v>4563.3</v>
      </c>
      <c r="Z48" s="6">
        <f t="shared" si="4"/>
        <v>-227.05725000000075</v>
      </c>
      <c r="AA48">
        <f t="shared" si="5"/>
        <v>-5.2362670424759034E-2</v>
      </c>
      <c r="AB48" t="str">
        <f t="shared" si="6"/>
        <v>3-2023</v>
      </c>
      <c r="AC48" t="str">
        <f t="shared" si="7"/>
        <v>Q1-2023</v>
      </c>
      <c r="AD48" t="str">
        <f t="shared" si="8"/>
        <v>Africa →Kenya →Mombasa</v>
      </c>
      <c r="AE48" t="str">
        <f t="shared" si="9"/>
        <v>Low</v>
      </c>
      <c r="AF48" t="str">
        <f>TEXT(Table1[[#This Row],[OrderDate]],"MMM")</f>
        <v>Mar</v>
      </c>
      <c r="AG48" t="str">
        <f>TEXT(Table1[[#This Row],[OrderDate]],"YYYY")</f>
        <v>2023</v>
      </c>
      <c r="AI48" s="4">
        <f>IF(Table1[[#This Row],[RequiredDate]]&lt;Table1[[#This Row],[OrderDate]], Table1[[#This Row],[OrderDate]]+7, Table1[[#This Row],[RequiredDate]])</f>
        <v>45028</v>
      </c>
      <c r="AJ48">
        <f>IF(Dashboard!$D$3&gt;'Staging Data'!V48,'Staging Data'!V48,Dashboard!D$3)</f>
        <v>0.2</v>
      </c>
      <c r="AK48" s="19">
        <f>(100%+Dashboard!$D$4)*'Staging Data'!S48</f>
        <v>319.43100000000004</v>
      </c>
      <c r="AL48">
        <f>(100%+Dashboard!$D$5)*'Staging Data'!W48</f>
        <v>17.25</v>
      </c>
    </row>
    <row r="49" spans="1:38" x14ac:dyDescent="0.35">
      <c r="A49" s="6" t="s">
        <v>604</v>
      </c>
      <c r="B49" s="4">
        <v>45019</v>
      </c>
      <c r="C49" s="4">
        <v>45032</v>
      </c>
      <c r="D49" s="4">
        <f>IF(Table1[[#This Row],[RequiredDate]]&lt;Table1[[#This Row],[OrderDate]],Table1[[#This Row],[RequiredDate]],Table1[[#This Row],[OrderDate]])</f>
        <v>45019</v>
      </c>
      <c r="E49" s="4">
        <f>IF(Table1[[#This Row],[RequiredDate]]&gt;Table1[[#This Row],[OrderDate]],Table1[[#This Row],[RequiredDate]],Table1[[#This Row],[OrderDate]])</f>
        <v>45032</v>
      </c>
      <c r="F49" s="21">
        <f>Table1[[#This Row],[New RD]]-Table1[[#This Row],[new   od]]</f>
        <v>13</v>
      </c>
      <c r="G49" s="4">
        <f>IF(Table1[[#This Row],[RequiredDate]]&lt;Table1[[#This Row],[OrderDate]], Table1[[#This Row],[OrderDate]]+7, Table1[[#This Row],[RequiredDate]])</f>
        <v>45032</v>
      </c>
      <c r="H49" s="21">
        <f t="shared" si="0"/>
        <v>13</v>
      </c>
      <c r="I49" s="6" t="str">
        <f>IF(Table1[[#This Row],[New LTD]]&lt;=7,"Yes","No")</f>
        <v>No</v>
      </c>
      <c r="J49" s="6" t="str">
        <f t="shared" si="10"/>
        <v>No</v>
      </c>
      <c r="K49" t="s">
        <v>649</v>
      </c>
      <c r="L49" t="s">
        <v>657</v>
      </c>
      <c r="M49" t="s">
        <v>673</v>
      </c>
      <c r="N49" t="s">
        <v>703</v>
      </c>
      <c r="O49" t="s">
        <v>709</v>
      </c>
      <c r="P49" t="s">
        <v>724</v>
      </c>
      <c r="Q49" t="s">
        <v>733</v>
      </c>
      <c r="R49" t="s">
        <v>1322</v>
      </c>
      <c r="S49" s="6">
        <v>790.54</v>
      </c>
      <c r="T49" s="6">
        <v>601.49</v>
      </c>
      <c r="U49" s="6">
        <f t="shared" si="1"/>
        <v>601.49</v>
      </c>
      <c r="V49" s="8">
        <v>0</v>
      </c>
      <c r="W49" s="6">
        <v>15</v>
      </c>
      <c r="X49" s="6">
        <f t="shared" si="2"/>
        <v>9022.35</v>
      </c>
      <c r="Y49">
        <f t="shared" si="3"/>
        <v>11858.099999999999</v>
      </c>
      <c r="Z49" s="6">
        <f t="shared" si="4"/>
        <v>-2835.7499999999982</v>
      </c>
      <c r="AA49">
        <f t="shared" si="5"/>
        <v>-0.31430281467688553</v>
      </c>
      <c r="AB49" t="str">
        <f t="shared" si="6"/>
        <v>4-2023</v>
      </c>
      <c r="AC49" t="str">
        <f t="shared" si="7"/>
        <v>Q2-2023</v>
      </c>
      <c r="AD49" t="str">
        <f t="shared" si="8"/>
        <v>Europe →France →Marseille</v>
      </c>
      <c r="AE49" t="str">
        <f t="shared" si="9"/>
        <v>Low</v>
      </c>
      <c r="AF49" t="str">
        <f>TEXT(Table1[[#This Row],[OrderDate]],"MMM")</f>
        <v>Apr</v>
      </c>
      <c r="AG49" t="str">
        <f>TEXT(Table1[[#This Row],[OrderDate]],"YYYY")</f>
        <v>2023</v>
      </c>
      <c r="AI49" s="4">
        <f>IF(Table1[[#This Row],[RequiredDate]]&lt;Table1[[#This Row],[OrderDate]], Table1[[#This Row],[OrderDate]]+7, Table1[[#This Row],[RequiredDate]])</f>
        <v>45032</v>
      </c>
      <c r="AJ49">
        <f>IF(Dashboard!$D$3&gt;'Staging Data'!V49,'Staging Data'!V49,Dashboard!D$3)</f>
        <v>0</v>
      </c>
      <c r="AK49" s="19">
        <f>(100%+Dashboard!$D$4)*'Staging Data'!S49</f>
        <v>830.06700000000001</v>
      </c>
      <c r="AL49">
        <f>(100%+Dashboard!$D$5)*'Staging Data'!W49</f>
        <v>17.25</v>
      </c>
    </row>
    <row r="50" spans="1:38" x14ac:dyDescent="0.35">
      <c r="A50" s="6" t="s">
        <v>193</v>
      </c>
      <c r="B50" s="4">
        <v>45021</v>
      </c>
      <c r="C50" s="4">
        <v>45032</v>
      </c>
      <c r="D50" s="4">
        <f>IF(Table1[[#This Row],[RequiredDate]]&lt;Table1[[#This Row],[OrderDate]],Table1[[#This Row],[RequiredDate]],Table1[[#This Row],[OrderDate]])</f>
        <v>45021</v>
      </c>
      <c r="E50" s="4">
        <f>IF(Table1[[#This Row],[RequiredDate]]&gt;Table1[[#This Row],[OrderDate]],Table1[[#This Row],[RequiredDate]],Table1[[#This Row],[OrderDate]])</f>
        <v>45032</v>
      </c>
      <c r="F50" s="21">
        <f>Table1[[#This Row],[New RD]]-Table1[[#This Row],[new   od]]</f>
        <v>11</v>
      </c>
      <c r="G50" s="4">
        <f>IF(Table1[[#This Row],[RequiredDate]]&lt;Table1[[#This Row],[OrderDate]], Table1[[#This Row],[OrderDate]]+7, Table1[[#This Row],[RequiredDate]])</f>
        <v>45032</v>
      </c>
      <c r="H50" s="21">
        <f t="shared" si="0"/>
        <v>11</v>
      </c>
      <c r="I50" s="6" t="str">
        <f>IF(Table1[[#This Row],[New LTD]]&lt;=7,"Yes","No")</f>
        <v>No</v>
      </c>
      <c r="J50" s="6" t="str">
        <f t="shared" si="10"/>
        <v>No</v>
      </c>
      <c r="K50" t="s">
        <v>648</v>
      </c>
      <c r="L50" t="s">
        <v>653</v>
      </c>
      <c r="M50" t="s">
        <v>688</v>
      </c>
      <c r="N50" t="s">
        <v>703</v>
      </c>
      <c r="O50" t="s">
        <v>708</v>
      </c>
      <c r="P50" t="s">
        <v>719</v>
      </c>
      <c r="Q50" t="s">
        <v>732</v>
      </c>
      <c r="R50" t="s">
        <v>912</v>
      </c>
      <c r="S50" s="6">
        <v>213.1</v>
      </c>
      <c r="T50" s="6">
        <v>501.31</v>
      </c>
      <c r="U50" s="6">
        <f t="shared" si="1"/>
        <v>501.31</v>
      </c>
      <c r="V50" s="8">
        <v>5.6000000000000001E-2</v>
      </c>
      <c r="W50" s="6">
        <v>15</v>
      </c>
      <c r="X50" s="6">
        <f t="shared" si="2"/>
        <v>7098.5495999999994</v>
      </c>
      <c r="Y50">
        <f t="shared" si="3"/>
        <v>3196.5</v>
      </c>
      <c r="Z50" s="6">
        <f t="shared" si="4"/>
        <v>3902.0495999999994</v>
      </c>
      <c r="AA50">
        <f t="shared" si="5"/>
        <v>0.54969674368409005</v>
      </c>
      <c r="AB50" t="str">
        <f t="shared" si="6"/>
        <v>4-2023</v>
      </c>
      <c r="AC50" t="str">
        <f t="shared" si="7"/>
        <v>Q2-2023</v>
      </c>
      <c r="AD50" t="str">
        <f t="shared" si="8"/>
        <v>Americas →Canada →Vancouver</v>
      </c>
      <c r="AE50" t="str">
        <f t="shared" si="9"/>
        <v>Low</v>
      </c>
      <c r="AF50" t="str">
        <f>TEXT(Table1[[#This Row],[OrderDate]],"MMM")</f>
        <v>Apr</v>
      </c>
      <c r="AG50" t="str">
        <f>TEXT(Table1[[#This Row],[OrderDate]],"YYYY")</f>
        <v>2023</v>
      </c>
      <c r="AI50" s="4">
        <f>IF(Table1[[#This Row],[RequiredDate]]&lt;Table1[[#This Row],[OrderDate]], Table1[[#This Row],[OrderDate]]+7, Table1[[#This Row],[RequiredDate]])</f>
        <v>45032</v>
      </c>
      <c r="AJ50">
        <f>IF(Dashboard!$D$3&gt;'Staging Data'!V50,'Staging Data'!V50,Dashboard!D$3)</f>
        <v>5.6000000000000001E-2</v>
      </c>
      <c r="AK50" s="19">
        <f>(100%+Dashboard!$D$4)*'Staging Data'!S50</f>
        <v>223.755</v>
      </c>
      <c r="AL50">
        <f>(100%+Dashboard!$D$5)*'Staging Data'!W50</f>
        <v>17.25</v>
      </c>
    </row>
    <row r="51" spans="1:38" x14ac:dyDescent="0.35">
      <c r="A51" s="6" t="s">
        <v>110</v>
      </c>
      <c r="B51" s="4">
        <v>45022</v>
      </c>
      <c r="C51" s="4">
        <v>45043</v>
      </c>
      <c r="D51" s="4">
        <f>IF(Table1[[#This Row],[RequiredDate]]&lt;Table1[[#This Row],[OrderDate]],Table1[[#This Row],[RequiredDate]],Table1[[#This Row],[OrderDate]])</f>
        <v>45022</v>
      </c>
      <c r="E51" s="4">
        <f>IF(Table1[[#This Row],[RequiredDate]]&gt;Table1[[#This Row],[OrderDate]],Table1[[#This Row],[RequiredDate]],Table1[[#This Row],[OrderDate]])</f>
        <v>45043</v>
      </c>
      <c r="F51" s="21">
        <f>Table1[[#This Row],[New RD]]-Table1[[#This Row],[new   od]]</f>
        <v>21</v>
      </c>
      <c r="G51" s="4">
        <f>IF(Table1[[#This Row],[RequiredDate]]&lt;Table1[[#This Row],[OrderDate]], Table1[[#This Row],[OrderDate]]+7, Table1[[#This Row],[RequiredDate]])</f>
        <v>45043</v>
      </c>
      <c r="H51" s="21">
        <f t="shared" si="0"/>
        <v>21</v>
      </c>
      <c r="I51" s="6" t="str">
        <f>IF(Table1[[#This Row],[New LTD]]&lt;=7,"Yes","No")</f>
        <v>No</v>
      </c>
      <c r="J51" s="6" t="str">
        <f t="shared" si="10"/>
        <v>No</v>
      </c>
      <c r="K51" t="s">
        <v>649</v>
      </c>
      <c r="L51" t="s">
        <v>658</v>
      </c>
      <c r="M51" t="s">
        <v>693</v>
      </c>
      <c r="N51" t="s">
        <v>706</v>
      </c>
      <c r="O51" t="s">
        <v>710</v>
      </c>
      <c r="P51" t="s">
        <v>714</v>
      </c>
      <c r="Q51" t="s">
        <v>728</v>
      </c>
      <c r="R51" t="s">
        <v>829</v>
      </c>
      <c r="S51" s="6">
        <v>1084.79</v>
      </c>
      <c r="T51" s="6">
        <v>2484.9899999999998</v>
      </c>
      <c r="U51" s="6">
        <f t="shared" si="1"/>
        <v>2484.9899999999998</v>
      </c>
      <c r="V51" s="8">
        <v>3.4000000000000002E-2</v>
      </c>
      <c r="W51" s="6">
        <v>18</v>
      </c>
      <c r="X51" s="6">
        <f t="shared" si="2"/>
        <v>43209.006119999991</v>
      </c>
      <c r="Y51">
        <f t="shared" si="3"/>
        <v>19526.22</v>
      </c>
      <c r="Z51" s="6">
        <f t="shared" si="4"/>
        <v>23682.78611999999</v>
      </c>
      <c r="AA51">
        <f t="shared" si="5"/>
        <v>0.54809837685755114</v>
      </c>
      <c r="AB51" t="str">
        <f t="shared" si="6"/>
        <v>4-2023</v>
      </c>
      <c r="AC51" t="str">
        <f t="shared" si="7"/>
        <v>Q2-2023</v>
      </c>
      <c r="AD51" t="str">
        <f t="shared" si="8"/>
        <v>Europe →United Kingdom →Manchester</v>
      </c>
      <c r="AE51" t="str">
        <f t="shared" si="9"/>
        <v>High</v>
      </c>
      <c r="AF51" t="str">
        <f>TEXT(Table1[[#This Row],[OrderDate]],"MMM")</f>
        <v>Apr</v>
      </c>
      <c r="AG51" t="str">
        <f>TEXT(Table1[[#This Row],[OrderDate]],"YYYY")</f>
        <v>2023</v>
      </c>
      <c r="AI51" s="4">
        <f>IF(Table1[[#This Row],[RequiredDate]]&lt;Table1[[#This Row],[OrderDate]], Table1[[#This Row],[OrderDate]]+7, Table1[[#This Row],[RequiredDate]])</f>
        <v>45043</v>
      </c>
      <c r="AJ51">
        <f>IF(Dashboard!$D$3&gt;'Staging Data'!V51,'Staging Data'!V51,Dashboard!D$3)</f>
        <v>3.4000000000000002E-2</v>
      </c>
      <c r="AK51" s="19">
        <f>(100%+Dashboard!$D$4)*'Staging Data'!S51</f>
        <v>1139.0295000000001</v>
      </c>
      <c r="AL51">
        <f>(100%+Dashboard!$D$5)*'Staging Data'!W51</f>
        <v>20.7</v>
      </c>
    </row>
    <row r="52" spans="1:38" x14ac:dyDescent="0.35">
      <c r="A52" s="6" t="s">
        <v>386</v>
      </c>
      <c r="B52" s="4">
        <v>45022</v>
      </c>
      <c r="C52" s="4">
        <v>45024</v>
      </c>
      <c r="D52" s="4">
        <f>IF(Table1[[#This Row],[RequiredDate]]&lt;Table1[[#This Row],[OrderDate]],Table1[[#This Row],[RequiredDate]],Table1[[#This Row],[OrderDate]])</f>
        <v>45022</v>
      </c>
      <c r="E52" s="4">
        <f>IF(Table1[[#This Row],[RequiredDate]]&gt;Table1[[#This Row],[OrderDate]],Table1[[#This Row],[RequiredDate]],Table1[[#This Row],[OrderDate]])</f>
        <v>45024</v>
      </c>
      <c r="F52" s="21">
        <f>Table1[[#This Row],[New RD]]-Table1[[#This Row],[new   od]]</f>
        <v>2</v>
      </c>
      <c r="G52" s="4">
        <f>IF(Table1[[#This Row],[RequiredDate]]&lt;Table1[[#This Row],[OrderDate]], Table1[[#This Row],[OrderDate]]+7, Table1[[#This Row],[RequiredDate]])</f>
        <v>45024</v>
      </c>
      <c r="H52" s="21">
        <f t="shared" si="0"/>
        <v>2</v>
      </c>
      <c r="I52" s="6" t="str">
        <f>IF(Table1[[#This Row],[New LTD]]&lt;=7,"Yes","No")</f>
        <v>Yes</v>
      </c>
      <c r="J52" s="6" t="str">
        <f t="shared" si="10"/>
        <v>No</v>
      </c>
      <c r="K52" t="s">
        <v>646</v>
      </c>
      <c r="L52" t="s">
        <v>651</v>
      </c>
      <c r="M52" t="s">
        <v>669</v>
      </c>
      <c r="N52" t="s">
        <v>705</v>
      </c>
      <c r="O52" t="s">
        <v>709</v>
      </c>
      <c r="P52" t="s">
        <v>723</v>
      </c>
      <c r="Q52" t="s">
        <v>732</v>
      </c>
      <c r="R52" t="s">
        <v>1106</v>
      </c>
      <c r="S52" s="6">
        <v>720.35</v>
      </c>
      <c r="T52" s="6">
        <v>1571.66</v>
      </c>
      <c r="U52" s="6">
        <f t="shared" si="1"/>
        <v>1571.66</v>
      </c>
      <c r="V52" s="8">
        <v>0.107</v>
      </c>
      <c r="W52" s="6">
        <v>23</v>
      </c>
      <c r="X52" s="6">
        <f t="shared" si="2"/>
        <v>32280.32474</v>
      </c>
      <c r="Y52">
        <f t="shared" si="3"/>
        <v>16568.05</v>
      </c>
      <c r="Z52" s="6">
        <f t="shared" si="4"/>
        <v>15712.274740000001</v>
      </c>
      <c r="AA52">
        <f t="shared" si="5"/>
        <v>0.4867446305622265</v>
      </c>
      <c r="AB52" t="str">
        <f t="shared" si="6"/>
        <v>4-2023</v>
      </c>
      <c r="AC52" t="str">
        <f t="shared" si="7"/>
        <v>Q2-2023</v>
      </c>
      <c r="AD52" t="str">
        <f t="shared" si="8"/>
        <v>Africa →Nigeria →Abuja</v>
      </c>
      <c r="AE52" t="str">
        <f t="shared" si="9"/>
        <v>Medium</v>
      </c>
      <c r="AF52" t="str">
        <f>TEXT(Table1[[#This Row],[OrderDate]],"MMM")</f>
        <v>Apr</v>
      </c>
      <c r="AG52" t="str">
        <f>TEXT(Table1[[#This Row],[OrderDate]],"YYYY")</f>
        <v>2023</v>
      </c>
      <c r="AI52" s="4">
        <f>IF(Table1[[#This Row],[RequiredDate]]&lt;Table1[[#This Row],[OrderDate]], Table1[[#This Row],[OrderDate]]+7, Table1[[#This Row],[RequiredDate]])</f>
        <v>45024</v>
      </c>
      <c r="AJ52">
        <f>IF(Dashboard!$D$3&gt;'Staging Data'!V52,'Staging Data'!V52,Dashboard!D$3)</f>
        <v>0.107</v>
      </c>
      <c r="AK52" s="19">
        <f>(100%+Dashboard!$D$4)*'Staging Data'!S52</f>
        <v>756.36750000000006</v>
      </c>
      <c r="AL52">
        <f>(100%+Dashboard!$D$5)*'Staging Data'!W52</f>
        <v>26.45</v>
      </c>
    </row>
    <row r="53" spans="1:38" x14ac:dyDescent="0.35">
      <c r="A53" s="6" t="s">
        <v>618</v>
      </c>
      <c r="B53" s="4">
        <v>45026</v>
      </c>
      <c r="C53" s="4">
        <v>45041</v>
      </c>
      <c r="D53" s="4">
        <f>IF(Table1[[#This Row],[RequiredDate]]&lt;Table1[[#This Row],[OrderDate]],Table1[[#This Row],[RequiredDate]],Table1[[#This Row],[OrderDate]])</f>
        <v>45026</v>
      </c>
      <c r="E53" s="4">
        <f>IF(Table1[[#This Row],[RequiredDate]]&gt;Table1[[#This Row],[OrderDate]],Table1[[#This Row],[RequiredDate]],Table1[[#This Row],[OrderDate]])</f>
        <v>45041</v>
      </c>
      <c r="F53" s="21">
        <f>Table1[[#This Row],[New RD]]-Table1[[#This Row],[new   od]]</f>
        <v>15</v>
      </c>
      <c r="G53" s="4">
        <f>IF(Table1[[#This Row],[RequiredDate]]&lt;Table1[[#This Row],[OrderDate]], Table1[[#This Row],[OrderDate]]+7, Table1[[#This Row],[RequiredDate]])</f>
        <v>45041</v>
      </c>
      <c r="H53" s="21">
        <f t="shared" si="0"/>
        <v>15</v>
      </c>
      <c r="I53" s="6" t="str">
        <f>IF(Table1[[#This Row],[New LTD]]&lt;=7,"Yes","No")</f>
        <v>No</v>
      </c>
      <c r="J53" s="6" t="str">
        <f t="shared" si="10"/>
        <v>No</v>
      </c>
      <c r="K53" t="s">
        <v>649</v>
      </c>
      <c r="L53" t="s">
        <v>658</v>
      </c>
      <c r="M53" t="s">
        <v>683</v>
      </c>
      <c r="N53" t="s">
        <v>705</v>
      </c>
      <c r="O53" t="s">
        <v>707</v>
      </c>
      <c r="P53" t="s">
        <v>726</v>
      </c>
      <c r="Q53" t="s">
        <v>728</v>
      </c>
      <c r="R53" t="s">
        <v>1336</v>
      </c>
      <c r="S53" s="6">
        <v>405.66</v>
      </c>
      <c r="T53" s="6">
        <v>962.51</v>
      </c>
      <c r="U53" s="6">
        <f t="shared" si="1"/>
        <v>962.51</v>
      </c>
      <c r="V53" s="8">
        <v>0.19</v>
      </c>
      <c r="W53" s="6">
        <v>7</v>
      </c>
      <c r="X53" s="6">
        <f t="shared" si="2"/>
        <v>5457.4317000000001</v>
      </c>
      <c r="Y53">
        <f t="shared" si="3"/>
        <v>2839.6200000000003</v>
      </c>
      <c r="Z53" s="6">
        <f t="shared" si="4"/>
        <v>2617.8116999999997</v>
      </c>
      <c r="AA53">
        <f t="shared" si="5"/>
        <v>0.47967832561239376</v>
      </c>
      <c r="AB53" t="str">
        <f t="shared" si="6"/>
        <v>4-2023</v>
      </c>
      <c r="AC53" t="str">
        <f t="shared" si="7"/>
        <v>Q2-2023</v>
      </c>
      <c r="AD53" t="str">
        <f t="shared" si="8"/>
        <v>Europe →United Kingdom →London</v>
      </c>
      <c r="AE53" t="str">
        <f t="shared" si="9"/>
        <v>Medium</v>
      </c>
      <c r="AF53" t="str">
        <f>TEXT(Table1[[#This Row],[OrderDate]],"MMM")</f>
        <v>Apr</v>
      </c>
      <c r="AG53" t="str">
        <f>TEXT(Table1[[#This Row],[OrderDate]],"YYYY")</f>
        <v>2023</v>
      </c>
      <c r="AI53" s="4">
        <f>IF(Table1[[#This Row],[RequiredDate]]&lt;Table1[[#This Row],[OrderDate]], Table1[[#This Row],[OrderDate]]+7, Table1[[#This Row],[RequiredDate]])</f>
        <v>45041</v>
      </c>
      <c r="AJ53">
        <f>IF(Dashboard!$D$3&gt;'Staging Data'!V53,'Staging Data'!V53,Dashboard!D$3)</f>
        <v>0.19</v>
      </c>
      <c r="AK53" s="19">
        <f>(100%+Dashboard!$D$4)*'Staging Data'!S53</f>
        <v>425.94300000000004</v>
      </c>
      <c r="AL53">
        <f>(100%+Dashboard!$D$5)*'Staging Data'!W53</f>
        <v>8.0499999999999989</v>
      </c>
    </row>
    <row r="54" spans="1:38" x14ac:dyDescent="0.35">
      <c r="A54" s="6" t="s">
        <v>150</v>
      </c>
      <c r="B54" s="4">
        <v>45028</v>
      </c>
      <c r="C54" s="4">
        <v>45033</v>
      </c>
      <c r="D54" s="4">
        <f>IF(Table1[[#This Row],[RequiredDate]]&lt;Table1[[#This Row],[OrderDate]],Table1[[#This Row],[RequiredDate]],Table1[[#This Row],[OrderDate]])</f>
        <v>45028</v>
      </c>
      <c r="E54" s="4">
        <f>IF(Table1[[#This Row],[RequiredDate]]&gt;Table1[[#This Row],[OrderDate]],Table1[[#This Row],[RequiredDate]],Table1[[#This Row],[OrderDate]])</f>
        <v>45033</v>
      </c>
      <c r="F54" s="21">
        <f>Table1[[#This Row],[New RD]]-Table1[[#This Row],[new   od]]</f>
        <v>5</v>
      </c>
      <c r="G54" s="4">
        <f>IF(Table1[[#This Row],[RequiredDate]]&lt;Table1[[#This Row],[OrderDate]], Table1[[#This Row],[OrderDate]]+7, Table1[[#This Row],[RequiredDate]])</f>
        <v>45033</v>
      </c>
      <c r="H54" s="21">
        <f t="shared" si="0"/>
        <v>5</v>
      </c>
      <c r="I54" s="6" t="str">
        <f>IF(Table1[[#This Row],[New LTD]]&lt;=7,"Yes","No")</f>
        <v>Yes</v>
      </c>
      <c r="J54" s="6" t="str">
        <f t="shared" si="10"/>
        <v>No</v>
      </c>
      <c r="K54" t="s">
        <v>649</v>
      </c>
      <c r="L54" t="s">
        <v>657</v>
      </c>
      <c r="M54" t="s">
        <v>679</v>
      </c>
      <c r="N54" t="s">
        <v>706</v>
      </c>
      <c r="O54" t="s">
        <v>711</v>
      </c>
      <c r="P54" t="s">
        <v>718</v>
      </c>
      <c r="Q54" t="s">
        <v>732</v>
      </c>
      <c r="R54" t="s">
        <v>869</v>
      </c>
      <c r="S54" s="6">
        <v>1087.81</v>
      </c>
      <c r="T54" s="6">
        <v>2323.87</v>
      </c>
      <c r="U54" s="6">
        <f t="shared" si="1"/>
        <v>2323.87</v>
      </c>
      <c r="V54" s="8">
        <v>9.4E-2</v>
      </c>
      <c r="W54" s="6">
        <v>13</v>
      </c>
      <c r="X54" s="6">
        <f t="shared" si="2"/>
        <v>27370.540859999997</v>
      </c>
      <c r="Y54">
        <f t="shared" si="3"/>
        <v>14141.529999999999</v>
      </c>
      <c r="Z54" s="6">
        <f t="shared" si="4"/>
        <v>13229.010859999999</v>
      </c>
      <c r="AA54">
        <f t="shared" si="5"/>
        <v>0.48333026839572651</v>
      </c>
      <c r="AB54" t="str">
        <f t="shared" si="6"/>
        <v>4-2023</v>
      </c>
      <c r="AC54" t="str">
        <f t="shared" si="7"/>
        <v>Q2-2023</v>
      </c>
      <c r="AD54" t="str">
        <f t="shared" si="8"/>
        <v>Europe →France →Lyon</v>
      </c>
      <c r="AE54" t="str">
        <f t="shared" si="9"/>
        <v>High</v>
      </c>
      <c r="AF54" t="str">
        <f>TEXT(Table1[[#This Row],[OrderDate]],"MMM")</f>
        <v>Apr</v>
      </c>
      <c r="AG54" t="str">
        <f>TEXT(Table1[[#This Row],[OrderDate]],"YYYY")</f>
        <v>2023</v>
      </c>
      <c r="AI54" s="4">
        <f>IF(Table1[[#This Row],[RequiredDate]]&lt;Table1[[#This Row],[OrderDate]], Table1[[#This Row],[OrderDate]]+7, Table1[[#This Row],[RequiredDate]])</f>
        <v>45033</v>
      </c>
      <c r="AJ54">
        <f>IF(Dashboard!$D$3&gt;'Staging Data'!V54,'Staging Data'!V54,Dashboard!D$3)</f>
        <v>9.4E-2</v>
      </c>
      <c r="AK54" s="19">
        <f>(100%+Dashboard!$D$4)*'Staging Data'!S54</f>
        <v>1142.2004999999999</v>
      </c>
      <c r="AL54">
        <f>(100%+Dashboard!$D$5)*'Staging Data'!W54</f>
        <v>14.95</v>
      </c>
    </row>
    <row r="55" spans="1:38" x14ac:dyDescent="0.35">
      <c r="A55" s="6" t="s">
        <v>355</v>
      </c>
      <c r="B55" s="4">
        <v>45029</v>
      </c>
      <c r="C55" s="4">
        <v>45027</v>
      </c>
      <c r="D55" s="4">
        <f>IF(Table1[[#This Row],[RequiredDate]]&lt;Table1[[#This Row],[OrderDate]],Table1[[#This Row],[RequiredDate]],Table1[[#This Row],[OrderDate]])</f>
        <v>45027</v>
      </c>
      <c r="E55" s="4">
        <f>IF(Table1[[#This Row],[RequiredDate]]&gt;Table1[[#This Row],[OrderDate]],Table1[[#This Row],[RequiredDate]],Table1[[#This Row],[OrderDate]])</f>
        <v>45029</v>
      </c>
      <c r="F55" s="21">
        <f>Table1[[#This Row],[New RD]]-Table1[[#This Row],[new   od]]</f>
        <v>2</v>
      </c>
      <c r="G55" s="4">
        <f>IF(Table1[[#This Row],[RequiredDate]]&lt;Table1[[#This Row],[OrderDate]], Table1[[#This Row],[OrderDate]]+7, Table1[[#This Row],[RequiredDate]])</f>
        <v>45036</v>
      </c>
      <c r="H55" s="21">
        <f t="shared" si="0"/>
        <v>7</v>
      </c>
      <c r="I55" s="6" t="str">
        <f>IF(Table1[[#This Row],[New LTD]]&lt;=7,"Yes","No")</f>
        <v>Yes</v>
      </c>
      <c r="J55" s="6" t="str">
        <f t="shared" si="10"/>
        <v>Yes</v>
      </c>
      <c r="K55" t="s">
        <v>648</v>
      </c>
      <c r="L55" t="s">
        <v>660</v>
      </c>
      <c r="M55" t="s">
        <v>686</v>
      </c>
      <c r="N55" t="s">
        <v>702</v>
      </c>
      <c r="O55" t="s">
        <v>709</v>
      </c>
      <c r="P55" t="s">
        <v>715</v>
      </c>
      <c r="Q55" t="s">
        <v>729</v>
      </c>
      <c r="R55" t="s">
        <v>1075</v>
      </c>
      <c r="S55" s="6">
        <v>32.1</v>
      </c>
      <c r="T55" s="6">
        <v>70.599999999999994</v>
      </c>
      <c r="U55" s="6">
        <f t="shared" si="1"/>
        <v>70.599999999999994</v>
      </c>
      <c r="V55" s="8">
        <v>0.28199999999999997</v>
      </c>
      <c r="W55" s="6">
        <v>22</v>
      </c>
      <c r="X55" s="6">
        <f t="shared" si="2"/>
        <v>1115.1975999999997</v>
      </c>
      <c r="Y55">
        <f t="shared" si="3"/>
        <v>706.2</v>
      </c>
      <c r="Z55" s="6">
        <f t="shared" si="4"/>
        <v>408.99759999999969</v>
      </c>
      <c r="AA55">
        <f t="shared" si="5"/>
        <v>0.36674899587301818</v>
      </c>
      <c r="AB55" t="str">
        <f t="shared" si="6"/>
        <v>4-2023</v>
      </c>
      <c r="AC55" t="str">
        <f t="shared" si="7"/>
        <v>Q2-2023</v>
      </c>
      <c r="AD55" t="str">
        <f t="shared" si="8"/>
        <v>Americas →USA →San Francisco</v>
      </c>
      <c r="AE55" t="str">
        <f t="shared" si="9"/>
        <v>Low</v>
      </c>
      <c r="AF55" t="str">
        <f>TEXT(Table1[[#This Row],[OrderDate]],"MMM")</f>
        <v>Apr</v>
      </c>
      <c r="AG55" t="str">
        <f>TEXT(Table1[[#This Row],[OrderDate]],"YYYY")</f>
        <v>2023</v>
      </c>
      <c r="AI55" s="4">
        <f>IF(Table1[[#This Row],[RequiredDate]]&lt;Table1[[#This Row],[OrderDate]], Table1[[#This Row],[OrderDate]]+7, Table1[[#This Row],[RequiredDate]])</f>
        <v>45036</v>
      </c>
      <c r="AJ55">
        <f>IF(Dashboard!$D$3&gt;'Staging Data'!V55,'Staging Data'!V55,Dashboard!D$3)</f>
        <v>0.2</v>
      </c>
      <c r="AK55" s="19">
        <f>(100%+Dashboard!$D$4)*'Staging Data'!S55</f>
        <v>33.705000000000005</v>
      </c>
      <c r="AL55">
        <f>(100%+Dashboard!$D$5)*'Staging Data'!W55</f>
        <v>25.299999999999997</v>
      </c>
    </row>
    <row r="56" spans="1:38" x14ac:dyDescent="0.35">
      <c r="A56" s="6" t="s">
        <v>522</v>
      </c>
      <c r="B56" s="4">
        <v>45029</v>
      </c>
      <c r="C56" s="4">
        <v>45036</v>
      </c>
      <c r="D56" s="4">
        <f>IF(Table1[[#This Row],[RequiredDate]]&lt;Table1[[#This Row],[OrderDate]],Table1[[#This Row],[RequiredDate]],Table1[[#This Row],[OrderDate]])</f>
        <v>45029</v>
      </c>
      <c r="E56" s="4">
        <f>IF(Table1[[#This Row],[RequiredDate]]&gt;Table1[[#This Row],[OrderDate]],Table1[[#This Row],[RequiredDate]],Table1[[#This Row],[OrderDate]])</f>
        <v>45036</v>
      </c>
      <c r="F56" s="21">
        <f>Table1[[#This Row],[New RD]]-Table1[[#This Row],[new   od]]</f>
        <v>7</v>
      </c>
      <c r="G56" s="4">
        <f>IF(Table1[[#This Row],[RequiredDate]]&lt;Table1[[#This Row],[OrderDate]], Table1[[#This Row],[OrderDate]]+7, Table1[[#This Row],[RequiredDate]])</f>
        <v>45036</v>
      </c>
      <c r="H56" s="21">
        <f t="shared" si="0"/>
        <v>7</v>
      </c>
      <c r="I56" s="6" t="str">
        <f>IF(Table1[[#This Row],[New LTD]]&lt;=7,"Yes","No")</f>
        <v>Yes</v>
      </c>
      <c r="J56" s="6" t="str">
        <f t="shared" si="10"/>
        <v>No</v>
      </c>
      <c r="K56" t="s">
        <v>649</v>
      </c>
      <c r="L56" t="s">
        <v>657</v>
      </c>
      <c r="M56" t="s">
        <v>679</v>
      </c>
      <c r="N56" t="s">
        <v>705</v>
      </c>
      <c r="O56" t="s">
        <v>708</v>
      </c>
      <c r="P56" t="s">
        <v>720</v>
      </c>
      <c r="Q56" t="s">
        <v>731</v>
      </c>
      <c r="R56" t="s">
        <v>1241</v>
      </c>
      <c r="S56" s="6">
        <v>227.02</v>
      </c>
      <c r="T56" s="6">
        <v>434.72</v>
      </c>
      <c r="U56" s="6">
        <f t="shared" si="1"/>
        <v>434.72</v>
      </c>
      <c r="V56" s="8">
        <v>9.8000000000000004E-2</v>
      </c>
      <c r="W56" s="6">
        <v>10</v>
      </c>
      <c r="X56" s="6">
        <f t="shared" si="2"/>
        <v>3921.1744000000008</v>
      </c>
      <c r="Y56">
        <f t="shared" si="3"/>
        <v>2270.2000000000003</v>
      </c>
      <c r="Z56" s="6">
        <f t="shared" si="4"/>
        <v>1650.9744000000005</v>
      </c>
      <c r="AA56">
        <f t="shared" si="5"/>
        <v>0.42104079838938052</v>
      </c>
      <c r="AB56" t="str">
        <f t="shared" si="6"/>
        <v>4-2023</v>
      </c>
      <c r="AC56" t="str">
        <f t="shared" si="7"/>
        <v>Q2-2023</v>
      </c>
      <c r="AD56" t="str">
        <f t="shared" si="8"/>
        <v>Europe →France →Lyon</v>
      </c>
      <c r="AE56" t="str">
        <f t="shared" si="9"/>
        <v>Low</v>
      </c>
      <c r="AF56" t="str">
        <f>TEXT(Table1[[#This Row],[OrderDate]],"MMM")</f>
        <v>Apr</v>
      </c>
      <c r="AG56" t="str">
        <f>TEXT(Table1[[#This Row],[OrderDate]],"YYYY")</f>
        <v>2023</v>
      </c>
      <c r="AI56" s="4">
        <f>IF(Table1[[#This Row],[RequiredDate]]&lt;Table1[[#This Row],[OrderDate]], Table1[[#This Row],[OrderDate]]+7, Table1[[#This Row],[RequiredDate]])</f>
        <v>45036</v>
      </c>
      <c r="AJ56">
        <f>IF(Dashboard!$D$3&gt;'Staging Data'!V56,'Staging Data'!V56,Dashboard!D$3)</f>
        <v>9.8000000000000004E-2</v>
      </c>
      <c r="AK56" s="19">
        <f>(100%+Dashboard!$D$4)*'Staging Data'!S56</f>
        <v>238.37100000000001</v>
      </c>
      <c r="AL56">
        <f>(100%+Dashboard!$D$5)*'Staging Data'!W56</f>
        <v>11.5</v>
      </c>
    </row>
    <row r="57" spans="1:38" x14ac:dyDescent="0.35">
      <c r="A57" s="6" t="s">
        <v>577</v>
      </c>
      <c r="B57" s="4">
        <v>45029</v>
      </c>
      <c r="C57" s="4">
        <v>45048</v>
      </c>
      <c r="D57" s="4">
        <f>IF(Table1[[#This Row],[RequiredDate]]&lt;Table1[[#This Row],[OrderDate]],Table1[[#This Row],[RequiredDate]],Table1[[#This Row],[OrderDate]])</f>
        <v>45029</v>
      </c>
      <c r="E57" s="4">
        <f>IF(Table1[[#This Row],[RequiredDate]]&gt;Table1[[#This Row],[OrderDate]],Table1[[#This Row],[RequiredDate]],Table1[[#This Row],[OrderDate]])</f>
        <v>45048</v>
      </c>
      <c r="F57" s="21">
        <f>Table1[[#This Row],[New RD]]-Table1[[#This Row],[new   od]]</f>
        <v>19</v>
      </c>
      <c r="G57" s="4">
        <f>IF(Table1[[#This Row],[RequiredDate]]&lt;Table1[[#This Row],[OrderDate]], Table1[[#This Row],[OrderDate]]+7, Table1[[#This Row],[RequiredDate]])</f>
        <v>45048</v>
      </c>
      <c r="H57" s="21">
        <f t="shared" si="0"/>
        <v>19</v>
      </c>
      <c r="I57" s="6" t="str">
        <f>IF(Table1[[#This Row],[New LTD]]&lt;=7,"Yes","No")</f>
        <v>No</v>
      </c>
      <c r="J57" s="6" t="str">
        <f t="shared" si="10"/>
        <v>No</v>
      </c>
      <c r="K57" t="s">
        <v>648</v>
      </c>
      <c r="L57" t="s">
        <v>653</v>
      </c>
      <c r="M57" t="s">
        <v>681</v>
      </c>
      <c r="N57" t="s">
        <v>704</v>
      </c>
      <c r="O57" t="s">
        <v>710</v>
      </c>
      <c r="P57" t="s">
        <v>718</v>
      </c>
      <c r="Q57" t="s">
        <v>732</v>
      </c>
      <c r="R57" t="s">
        <v>1295</v>
      </c>
      <c r="S57" s="6">
        <v>671.05</v>
      </c>
      <c r="T57" s="6">
        <v>1645.48</v>
      </c>
      <c r="U57" s="6">
        <f t="shared" si="1"/>
        <v>1645.48</v>
      </c>
      <c r="V57" s="8">
        <v>0.13700000000000001</v>
      </c>
      <c r="W57" s="6">
        <v>6</v>
      </c>
      <c r="X57" s="6">
        <f t="shared" si="2"/>
        <v>8520.2954399999999</v>
      </c>
      <c r="Y57">
        <f t="shared" si="3"/>
        <v>4026.2999999999997</v>
      </c>
      <c r="Z57" s="6">
        <f t="shared" si="4"/>
        <v>4493.9954400000006</v>
      </c>
      <c r="AA57">
        <f t="shared" si="5"/>
        <v>0.52744596377517172</v>
      </c>
      <c r="AB57" t="str">
        <f t="shared" si="6"/>
        <v>4-2023</v>
      </c>
      <c r="AC57" t="str">
        <f t="shared" si="7"/>
        <v>Q2-2023</v>
      </c>
      <c r="AD57" t="str">
        <f t="shared" si="8"/>
        <v>Americas →Canada →Montreal</v>
      </c>
      <c r="AE57" t="str">
        <f t="shared" si="9"/>
        <v>High</v>
      </c>
      <c r="AF57" t="str">
        <f>TEXT(Table1[[#This Row],[OrderDate]],"MMM")</f>
        <v>Apr</v>
      </c>
      <c r="AG57" t="str">
        <f>TEXT(Table1[[#This Row],[OrderDate]],"YYYY")</f>
        <v>2023</v>
      </c>
      <c r="AI57" s="4">
        <f>IF(Table1[[#This Row],[RequiredDate]]&lt;Table1[[#This Row],[OrderDate]], Table1[[#This Row],[OrderDate]]+7, Table1[[#This Row],[RequiredDate]])</f>
        <v>45048</v>
      </c>
      <c r="AJ57">
        <f>IF(Dashboard!$D$3&gt;'Staging Data'!V57,'Staging Data'!V57,Dashboard!D$3)</f>
        <v>0.13700000000000001</v>
      </c>
      <c r="AK57" s="19">
        <f>(100%+Dashboard!$D$4)*'Staging Data'!S57</f>
        <v>704.60249999999996</v>
      </c>
      <c r="AL57">
        <f>(100%+Dashboard!$D$5)*'Staging Data'!W57</f>
        <v>6.8999999999999995</v>
      </c>
    </row>
    <row r="58" spans="1:38" x14ac:dyDescent="0.35">
      <c r="A58" s="6" t="s">
        <v>43</v>
      </c>
      <c r="B58" s="4">
        <v>45030</v>
      </c>
      <c r="C58" s="4">
        <v>45060</v>
      </c>
      <c r="D58" s="4">
        <f>IF(Table1[[#This Row],[RequiredDate]]&lt;Table1[[#This Row],[OrderDate]],Table1[[#This Row],[RequiredDate]],Table1[[#This Row],[OrderDate]])</f>
        <v>45030</v>
      </c>
      <c r="E58" s="4">
        <f>IF(Table1[[#This Row],[RequiredDate]]&gt;Table1[[#This Row],[OrderDate]],Table1[[#This Row],[RequiredDate]],Table1[[#This Row],[OrderDate]])</f>
        <v>45060</v>
      </c>
      <c r="F58" s="21">
        <f>Table1[[#This Row],[New RD]]-Table1[[#This Row],[new   od]]</f>
        <v>30</v>
      </c>
      <c r="G58" s="4">
        <f>IF(Table1[[#This Row],[RequiredDate]]&lt;Table1[[#This Row],[OrderDate]], Table1[[#This Row],[OrderDate]]+7, Table1[[#This Row],[RequiredDate]])</f>
        <v>45060</v>
      </c>
      <c r="H58" s="21">
        <f t="shared" si="0"/>
        <v>30</v>
      </c>
      <c r="I58" s="6" t="str">
        <f>IF(Table1[[#This Row],[New LTD]]&lt;=7,"Yes","No")</f>
        <v>No</v>
      </c>
      <c r="J58" s="6" t="str">
        <f t="shared" si="10"/>
        <v>No</v>
      </c>
      <c r="K58" t="s">
        <v>646</v>
      </c>
      <c r="L58" t="s">
        <v>650</v>
      </c>
      <c r="M58" t="s">
        <v>678</v>
      </c>
      <c r="N58" t="s">
        <v>704</v>
      </c>
      <c r="O58" t="s">
        <v>709</v>
      </c>
      <c r="P58" t="s">
        <v>724</v>
      </c>
      <c r="Q58" t="s">
        <v>730</v>
      </c>
      <c r="R58" t="s">
        <v>762</v>
      </c>
      <c r="S58" s="6">
        <v>209.25</v>
      </c>
      <c r="T58" s="6">
        <v>434.8</v>
      </c>
      <c r="U58" s="6">
        <f t="shared" si="1"/>
        <v>434.8</v>
      </c>
      <c r="V58" s="8">
        <v>0</v>
      </c>
      <c r="W58" s="6">
        <v>9</v>
      </c>
      <c r="X58" s="6">
        <f t="shared" si="2"/>
        <v>3913.2000000000003</v>
      </c>
      <c r="Y58">
        <f t="shared" si="3"/>
        <v>1883.25</v>
      </c>
      <c r="Z58" s="6">
        <f t="shared" si="4"/>
        <v>2029.9500000000003</v>
      </c>
      <c r="AA58">
        <f t="shared" si="5"/>
        <v>0.51874425022999082</v>
      </c>
      <c r="AB58" t="str">
        <f t="shared" si="6"/>
        <v>4-2023</v>
      </c>
      <c r="AC58" t="str">
        <f t="shared" si="7"/>
        <v>Q2-2023</v>
      </c>
      <c r="AD58" t="str">
        <f t="shared" si="8"/>
        <v>Africa →Kenya →Nakuru</v>
      </c>
      <c r="AE58" t="str">
        <f t="shared" si="9"/>
        <v>Low</v>
      </c>
      <c r="AF58" t="str">
        <f>TEXT(Table1[[#This Row],[OrderDate]],"MMM")</f>
        <v>Apr</v>
      </c>
      <c r="AG58" t="str">
        <f>TEXT(Table1[[#This Row],[OrderDate]],"YYYY")</f>
        <v>2023</v>
      </c>
      <c r="AI58" s="4">
        <f>IF(Table1[[#This Row],[RequiredDate]]&lt;Table1[[#This Row],[OrderDate]], Table1[[#This Row],[OrderDate]]+7, Table1[[#This Row],[RequiredDate]])</f>
        <v>45060</v>
      </c>
      <c r="AJ58">
        <f>IF(Dashboard!$D$3&gt;'Staging Data'!V58,'Staging Data'!V58,Dashboard!D$3)</f>
        <v>0</v>
      </c>
      <c r="AK58" s="19">
        <f>(100%+Dashboard!$D$4)*'Staging Data'!S58</f>
        <v>219.71250000000001</v>
      </c>
      <c r="AL58">
        <f>(100%+Dashboard!$D$5)*'Staging Data'!W58</f>
        <v>10.35</v>
      </c>
    </row>
    <row r="59" spans="1:38" x14ac:dyDescent="0.35">
      <c r="A59" s="6" t="s">
        <v>213</v>
      </c>
      <c r="B59" s="4">
        <v>45030</v>
      </c>
      <c r="C59" s="4">
        <v>45059</v>
      </c>
      <c r="D59" s="4">
        <f>IF(Table1[[#This Row],[RequiredDate]]&lt;Table1[[#This Row],[OrderDate]],Table1[[#This Row],[RequiredDate]],Table1[[#This Row],[OrderDate]])</f>
        <v>45030</v>
      </c>
      <c r="E59" s="4">
        <f>IF(Table1[[#This Row],[RequiredDate]]&gt;Table1[[#This Row],[OrderDate]],Table1[[#This Row],[RequiredDate]],Table1[[#This Row],[OrderDate]])</f>
        <v>45059</v>
      </c>
      <c r="F59" s="21">
        <f>Table1[[#This Row],[New RD]]-Table1[[#This Row],[new   od]]</f>
        <v>29</v>
      </c>
      <c r="G59" s="4">
        <f>IF(Table1[[#This Row],[RequiredDate]]&lt;Table1[[#This Row],[OrderDate]], Table1[[#This Row],[OrderDate]]+7, Table1[[#This Row],[RequiredDate]])</f>
        <v>45059</v>
      </c>
      <c r="H59" s="21">
        <f t="shared" si="0"/>
        <v>29</v>
      </c>
      <c r="I59" s="6" t="str">
        <f>IF(Table1[[#This Row],[New LTD]]&lt;=7,"Yes","No")</f>
        <v>No</v>
      </c>
      <c r="J59" s="6" t="str">
        <f t="shared" si="10"/>
        <v>No</v>
      </c>
      <c r="K59" t="s">
        <v>649</v>
      </c>
      <c r="L59" t="s">
        <v>656</v>
      </c>
      <c r="M59" t="s">
        <v>698</v>
      </c>
      <c r="N59" t="s">
        <v>704</v>
      </c>
      <c r="O59" t="s">
        <v>711</v>
      </c>
      <c r="P59" t="s">
        <v>713</v>
      </c>
      <c r="Q59" t="s">
        <v>728</v>
      </c>
      <c r="R59" t="s">
        <v>933</v>
      </c>
      <c r="S59" s="6">
        <v>1320.33</v>
      </c>
      <c r="T59" s="6">
        <v>2645.23</v>
      </c>
      <c r="U59" s="6">
        <f t="shared" si="1"/>
        <v>2645.23</v>
      </c>
      <c r="V59" s="8">
        <v>0.155</v>
      </c>
      <c r="W59" s="6">
        <v>25</v>
      </c>
      <c r="X59" s="6">
        <f t="shared" si="2"/>
        <v>55880.483749999999</v>
      </c>
      <c r="Y59">
        <f t="shared" si="3"/>
        <v>33008.25</v>
      </c>
      <c r="Z59" s="6">
        <f t="shared" si="4"/>
        <v>22872.233749999999</v>
      </c>
      <c r="AA59">
        <f t="shared" si="5"/>
        <v>0.40930629470436536</v>
      </c>
      <c r="AB59" t="str">
        <f t="shared" si="6"/>
        <v>4-2023</v>
      </c>
      <c r="AC59" t="str">
        <f t="shared" si="7"/>
        <v>Q2-2023</v>
      </c>
      <c r="AD59" t="str">
        <f t="shared" si="8"/>
        <v>Europe →Germany →Frankfurt</v>
      </c>
      <c r="AE59" t="str">
        <f t="shared" si="9"/>
        <v>High</v>
      </c>
      <c r="AF59" t="str">
        <f>TEXT(Table1[[#This Row],[OrderDate]],"MMM")</f>
        <v>Apr</v>
      </c>
      <c r="AG59" t="str">
        <f>TEXT(Table1[[#This Row],[OrderDate]],"YYYY")</f>
        <v>2023</v>
      </c>
      <c r="AI59" s="4">
        <f>IF(Table1[[#This Row],[RequiredDate]]&lt;Table1[[#This Row],[OrderDate]], Table1[[#This Row],[OrderDate]]+7, Table1[[#This Row],[RequiredDate]])</f>
        <v>45059</v>
      </c>
      <c r="AJ59">
        <f>IF(Dashboard!$D$3&gt;'Staging Data'!V59,'Staging Data'!V59,Dashboard!D$3)</f>
        <v>0.155</v>
      </c>
      <c r="AK59" s="19">
        <f>(100%+Dashboard!$D$4)*'Staging Data'!S59</f>
        <v>1386.3464999999999</v>
      </c>
      <c r="AL59">
        <f>(100%+Dashboard!$D$5)*'Staging Data'!W59</f>
        <v>28.749999999999996</v>
      </c>
    </row>
    <row r="60" spans="1:38" x14ac:dyDescent="0.35">
      <c r="A60" s="6" t="s">
        <v>493</v>
      </c>
      <c r="B60" s="4">
        <v>45032</v>
      </c>
      <c r="C60" s="4">
        <v>45035</v>
      </c>
      <c r="D60" s="4">
        <f>IF(Table1[[#This Row],[RequiredDate]]&lt;Table1[[#This Row],[OrderDate]],Table1[[#This Row],[RequiredDate]],Table1[[#This Row],[OrderDate]])</f>
        <v>45032</v>
      </c>
      <c r="E60" s="4">
        <f>IF(Table1[[#This Row],[RequiredDate]]&gt;Table1[[#This Row],[OrderDate]],Table1[[#This Row],[RequiredDate]],Table1[[#This Row],[OrderDate]])</f>
        <v>45035</v>
      </c>
      <c r="F60" s="21">
        <f>Table1[[#This Row],[New RD]]-Table1[[#This Row],[new   od]]</f>
        <v>3</v>
      </c>
      <c r="G60" s="4">
        <f>IF(Table1[[#This Row],[RequiredDate]]&lt;Table1[[#This Row],[OrderDate]], Table1[[#This Row],[OrderDate]]+7, Table1[[#This Row],[RequiredDate]])</f>
        <v>45035</v>
      </c>
      <c r="H60" s="21">
        <f t="shared" si="0"/>
        <v>3</v>
      </c>
      <c r="I60" s="6" t="str">
        <f>IF(Table1[[#This Row],[New LTD]]&lt;=7,"Yes","No")</f>
        <v>Yes</v>
      </c>
      <c r="J60" s="6" t="str">
        <f t="shared" si="10"/>
        <v>No</v>
      </c>
      <c r="K60" t="s">
        <v>649</v>
      </c>
      <c r="L60" t="s">
        <v>656</v>
      </c>
      <c r="M60" t="s">
        <v>684</v>
      </c>
      <c r="N60" t="s">
        <v>701</v>
      </c>
      <c r="O60" t="s">
        <v>711</v>
      </c>
      <c r="P60" t="s">
        <v>717</v>
      </c>
      <c r="Q60" t="s">
        <v>733</v>
      </c>
      <c r="R60" t="s">
        <v>1212</v>
      </c>
      <c r="S60" s="6">
        <v>553.61</v>
      </c>
      <c r="T60" s="6">
        <v>699.47</v>
      </c>
      <c r="U60" s="6">
        <f t="shared" si="1"/>
        <v>699.47</v>
      </c>
      <c r="V60" s="8">
        <v>0.02</v>
      </c>
      <c r="W60" s="6">
        <v>33</v>
      </c>
      <c r="X60" s="6">
        <f t="shared" si="2"/>
        <v>22620.859800000002</v>
      </c>
      <c r="Y60">
        <f t="shared" si="3"/>
        <v>18269.13</v>
      </c>
      <c r="Z60" s="6">
        <f t="shared" si="4"/>
        <v>4351.729800000001</v>
      </c>
      <c r="AA60">
        <f t="shared" si="5"/>
        <v>0.19237685209472014</v>
      </c>
      <c r="AB60" t="str">
        <f t="shared" si="6"/>
        <v>4-2023</v>
      </c>
      <c r="AC60" t="str">
        <f t="shared" si="7"/>
        <v>Q2-2023</v>
      </c>
      <c r="AD60" t="str">
        <f t="shared" si="8"/>
        <v>Europe →Germany →Munich</v>
      </c>
      <c r="AE60" t="str">
        <f t="shared" si="9"/>
        <v>Low</v>
      </c>
      <c r="AF60" t="str">
        <f>TEXT(Table1[[#This Row],[OrderDate]],"MMM")</f>
        <v>Apr</v>
      </c>
      <c r="AG60" t="str">
        <f>TEXT(Table1[[#This Row],[OrderDate]],"YYYY")</f>
        <v>2023</v>
      </c>
      <c r="AI60" s="4">
        <f>IF(Table1[[#This Row],[RequiredDate]]&lt;Table1[[#This Row],[OrderDate]], Table1[[#This Row],[OrderDate]]+7, Table1[[#This Row],[RequiredDate]])</f>
        <v>45035</v>
      </c>
      <c r="AJ60">
        <f>IF(Dashboard!$D$3&gt;'Staging Data'!V60,'Staging Data'!V60,Dashboard!D$3)</f>
        <v>0.02</v>
      </c>
      <c r="AK60" s="19">
        <f>(100%+Dashboard!$D$4)*'Staging Data'!S60</f>
        <v>581.29050000000007</v>
      </c>
      <c r="AL60">
        <f>(100%+Dashboard!$D$5)*'Staging Data'!W60</f>
        <v>37.949999999999996</v>
      </c>
    </row>
    <row r="61" spans="1:38" x14ac:dyDescent="0.35">
      <c r="A61" s="6" t="s">
        <v>624</v>
      </c>
      <c r="B61" s="4">
        <v>45032</v>
      </c>
      <c r="C61" s="4">
        <v>45039</v>
      </c>
      <c r="D61" s="4">
        <f>IF(Table1[[#This Row],[RequiredDate]]&lt;Table1[[#This Row],[OrderDate]],Table1[[#This Row],[RequiredDate]],Table1[[#This Row],[OrderDate]])</f>
        <v>45032</v>
      </c>
      <c r="E61" s="4">
        <f>IF(Table1[[#This Row],[RequiredDate]]&gt;Table1[[#This Row],[OrderDate]],Table1[[#This Row],[RequiredDate]],Table1[[#This Row],[OrderDate]])</f>
        <v>45039</v>
      </c>
      <c r="F61" s="21">
        <f>Table1[[#This Row],[New RD]]-Table1[[#This Row],[new   od]]</f>
        <v>7</v>
      </c>
      <c r="G61" s="4">
        <f>IF(Table1[[#This Row],[RequiredDate]]&lt;Table1[[#This Row],[OrderDate]], Table1[[#This Row],[OrderDate]]+7, Table1[[#This Row],[RequiredDate]])</f>
        <v>45039</v>
      </c>
      <c r="H61" s="21">
        <f t="shared" si="0"/>
        <v>7</v>
      </c>
      <c r="I61" s="6" t="str">
        <f>IF(Table1[[#This Row],[New LTD]]&lt;=7,"Yes","No")</f>
        <v>Yes</v>
      </c>
      <c r="J61" s="6" t="str">
        <f t="shared" si="10"/>
        <v>No</v>
      </c>
      <c r="K61" t="s">
        <v>648</v>
      </c>
      <c r="L61" t="s">
        <v>660</v>
      </c>
      <c r="M61" t="s">
        <v>697</v>
      </c>
      <c r="N61" t="s">
        <v>701</v>
      </c>
      <c r="O61" t="s">
        <v>710</v>
      </c>
      <c r="P61" t="s">
        <v>719</v>
      </c>
      <c r="Q61" t="s">
        <v>728</v>
      </c>
      <c r="R61" t="s">
        <v>1342</v>
      </c>
      <c r="S61" s="6">
        <v>1099.1500000000001</v>
      </c>
      <c r="T61" s="6">
        <v>1431.37</v>
      </c>
      <c r="U61" s="6">
        <f t="shared" si="1"/>
        <v>1431.37</v>
      </c>
      <c r="V61" s="8">
        <v>0.104</v>
      </c>
      <c r="W61" s="6">
        <v>8</v>
      </c>
      <c r="X61" s="6">
        <f t="shared" si="2"/>
        <v>10260.060159999999</v>
      </c>
      <c r="Y61">
        <f t="shared" si="3"/>
        <v>8793.2000000000007</v>
      </c>
      <c r="Z61" s="6">
        <f t="shared" si="4"/>
        <v>1466.8601599999984</v>
      </c>
      <c r="AA61">
        <f t="shared" si="5"/>
        <v>0.14296798821109433</v>
      </c>
      <c r="AB61" t="str">
        <f t="shared" si="6"/>
        <v>4-2023</v>
      </c>
      <c r="AC61" t="str">
        <f t="shared" si="7"/>
        <v>Q2-2023</v>
      </c>
      <c r="AD61" t="str">
        <f t="shared" si="8"/>
        <v>Americas →USA →Austin</v>
      </c>
      <c r="AE61" t="str">
        <f t="shared" si="9"/>
        <v>Medium</v>
      </c>
      <c r="AF61" t="str">
        <f>TEXT(Table1[[#This Row],[OrderDate]],"MMM")</f>
        <v>Apr</v>
      </c>
      <c r="AG61" t="str">
        <f>TEXT(Table1[[#This Row],[OrderDate]],"YYYY")</f>
        <v>2023</v>
      </c>
      <c r="AI61" s="4">
        <f>IF(Table1[[#This Row],[RequiredDate]]&lt;Table1[[#This Row],[OrderDate]], Table1[[#This Row],[OrderDate]]+7, Table1[[#This Row],[RequiredDate]])</f>
        <v>45039</v>
      </c>
      <c r="AJ61">
        <f>IF(Dashboard!$D$3&gt;'Staging Data'!V61,'Staging Data'!V61,Dashboard!D$3)</f>
        <v>0.104</v>
      </c>
      <c r="AK61" s="19">
        <f>(100%+Dashboard!$D$4)*'Staging Data'!S61</f>
        <v>1154.1075000000001</v>
      </c>
      <c r="AL61">
        <f>(100%+Dashboard!$D$5)*'Staging Data'!W61</f>
        <v>9.1999999999999993</v>
      </c>
    </row>
    <row r="62" spans="1:38" x14ac:dyDescent="0.35">
      <c r="A62" s="6" t="s">
        <v>181</v>
      </c>
      <c r="B62" s="4">
        <v>45034</v>
      </c>
      <c r="C62" s="4">
        <v>45064</v>
      </c>
      <c r="D62" s="4">
        <f>IF(Table1[[#This Row],[RequiredDate]]&lt;Table1[[#This Row],[OrderDate]],Table1[[#This Row],[RequiredDate]],Table1[[#This Row],[OrderDate]])</f>
        <v>45034</v>
      </c>
      <c r="E62" s="4">
        <f>IF(Table1[[#This Row],[RequiredDate]]&gt;Table1[[#This Row],[OrderDate]],Table1[[#This Row],[RequiredDate]],Table1[[#This Row],[OrderDate]])</f>
        <v>45064</v>
      </c>
      <c r="F62" s="21">
        <f>Table1[[#This Row],[New RD]]-Table1[[#This Row],[new   od]]</f>
        <v>30</v>
      </c>
      <c r="G62" s="4">
        <f>IF(Table1[[#This Row],[RequiredDate]]&lt;Table1[[#This Row],[OrderDate]], Table1[[#This Row],[OrderDate]]+7, Table1[[#This Row],[RequiredDate]])</f>
        <v>45064</v>
      </c>
      <c r="H62" s="21">
        <f t="shared" si="0"/>
        <v>30</v>
      </c>
      <c r="I62" s="6" t="str">
        <f>IF(Table1[[#This Row],[New LTD]]&lt;=7,"Yes","No")</f>
        <v>No</v>
      </c>
      <c r="J62" s="6" t="str">
        <f t="shared" si="10"/>
        <v>No</v>
      </c>
      <c r="K62" t="s">
        <v>647</v>
      </c>
      <c r="L62" t="s">
        <v>659</v>
      </c>
      <c r="M62" t="s">
        <v>676</v>
      </c>
      <c r="N62" t="s">
        <v>703</v>
      </c>
      <c r="O62" t="s">
        <v>707</v>
      </c>
      <c r="P62" t="s">
        <v>722</v>
      </c>
      <c r="Q62" t="s">
        <v>731</v>
      </c>
      <c r="R62" t="s">
        <v>900</v>
      </c>
      <c r="S62" s="6">
        <v>329.03</v>
      </c>
      <c r="T62" s="6">
        <v>391.15</v>
      </c>
      <c r="U62" s="6">
        <f t="shared" si="1"/>
        <v>391.15</v>
      </c>
      <c r="V62" s="8">
        <v>0.19700000000000001</v>
      </c>
      <c r="W62" s="6">
        <v>46</v>
      </c>
      <c r="X62" s="6">
        <f t="shared" si="2"/>
        <v>14448.298699999998</v>
      </c>
      <c r="Y62">
        <f t="shared" si="3"/>
        <v>15135.38</v>
      </c>
      <c r="Z62" s="6">
        <f t="shared" si="4"/>
        <v>-687.08130000000165</v>
      </c>
      <c r="AA62">
        <f t="shared" si="5"/>
        <v>-4.7554477815440081E-2</v>
      </c>
      <c r="AB62" t="str">
        <f t="shared" si="6"/>
        <v>4-2023</v>
      </c>
      <c r="AC62" t="str">
        <f t="shared" si="7"/>
        <v>Q2-2023</v>
      </c>
      <c r="AD62" t="str">
        <f t="shared" si="8"/>
        <v>Asia →China →Shenzhen</v>
      </c>
      <c r="AE62" t="str">
        <f t="shared" si="9"/>
        <v>Low</v>
      </c>
      <c r="AF62" t="str">
        <f>TEXT(Table1[[#This Row],[OrderDate]],"MMM")</f>
        <v>Apr</v>
      </c>
      <c r="AG62" t="str">
        <f>TEXT(Table1[[#This Row],[OrderDate]],"YYYY")</f>
        <v>2023</v>
      </c>
      <c r="AI62" s="4">
        <f>IF(Table1[[#This Row],[RequiredDate]]&lt;Table1[[#This Row],[OrderDate]], Table1[[#This Row],[OrderDate]]+7, Table1[[#This Row],[RequiredDate]])</f>
        <v>45064</v>
      </c>
      <c r="AJ62">
        <f>IF(Dashboard!$D$3&gt;'Staging Data'!V62,'Staging Data'!V62,Dashboard!D$3)</f>
        <v>0.19700000000000001</v>
      </c>
      <c r="AK62" s="19">
        <f>(100%+Dashboard!$D$4)*'Staging Data'!S62</f>
        <v>345.48149999999998</v>
      </c>
      <c r="AL62">
        <f>(100%+Dashboard!$D$5)*'Staging Data'!W62</f>
        <v>52.9</v>
      </c>
    </row>
    <row r="63" spans="1:38" x14ac:dyDescent="0.35">
      <c r="A63" s="6" t="s">
        <v>60</v>
      </c>
      <c r="B63" s="4">
        <v>45035</v>
      </c>
      <c r="C63" s="4">
        <v>45046</v>
      </c>
      <c r="D63" s="4">
        <f>IF(Table1[[#This Row],[RequiredDate]]&lt;Table1[[#This Row],[OrderDate]],Table1[[#This Row],[RequiredDate]],Table1[[#This Row],[OrderDate]])</f>
        <v>45035</v>
      </c>
      <c r="E63" s="4">
        <f>IF(Table1[[#This Row],[RequiredDate]]&gt;Table1[[#This Row],[OrderDate]],Table1[[#This Row],[RequiredDate]],Table1[[#This Row],[OrderDate]])</f>
        <v>45046</v>
      </c>
      <c r="F63" s="21">
        <f>Table1[[#This Row],[New RD]]-Table1[[#This Row],[new   od]]</f>
        <v>11</v>
      </c>
      <c r="G63" s="4">
        <f>IF(Table1[[#This Row],[RequiredDate]]&lt;Table1[[#This Row],[OrderDate]], Table1[[#This Row],[OrderDate]]+7, Table1[[#This Row],[RequiredDate]])</f>
        <v>45046</v>
      </c>
      <c r="H63" s="21">
        <f t="shared" si="0"/>
        <v>11</v>
      </c>
      <c r="I63" s="6" t="str">
        <f>IF(Table1[[#This Row],[New LTD]]&lt;=7,"Yes","No")</f>
        <v>No</v>
      </c>
      <c r="J63" s="6" t="str">
        <f t="shared" si="10"/>
        <v>No</v>
      </c>
      <c r="K63" t="s">
        <v>647</v>
      </c>
      <c r="L63" t="s">
        <v>654</v>
      </c>
      <c r="M63" t="s">
        <v>680</v>
      </c>
      <c r="N63" t="s">
        <v>705</v>
      </c>
      <c r="O63" t="s">
        <v>707</v>
      </c>
      <c r="P63" t="s">
        <v>720</v>
      </c>
      <c r="Q63" t="s">
        <v>729</v>
      </c>
      <c r="R63" t="s">
        <v>779</v>
      </c>
      <c r="S63" s="6">
        <v>826.55</v>
      </c>
      <c r="T63" s="6">
        <v>1397.05</v>
      </c>
      <c r="U63" s="6">
        <f t="shared" si="1"/>
        <v>1397.05</v>
      </c>
      <c r="V63" s="8">
        <v>0.16900000000000001</v>
      </c>
      <c r="W63" s="6">
        <v>28</v>
      </c>
      <c r="X63" s="6">
        <f t="shared" si="2"/>
        <v>32506.559399999998</v>
      </c>
      <c r="Y63">
        <f t="shared" si="3"/>
        <v>23143.399999999998</v>
      </c>
      <c r="Z63" s="6">
        <f t="shared" si="4"/>
        <v>9363.1594000000005</v>
      </c>
      <c r="AA63">
        <f t="shared" si="5"/>
        <v>0.28803907804527601</v>
      </c>
      <c r="AB63" t="str">
        <f t="shared" si="6"/>
        <v>4-2023</v>
      </c>
      <c r="AC63" t="str">
        <f t="shared" si="7"/>
        <v>Q2-2023</v>
      </c>
      <c r="AD63" t="str">
        <f t="shared" si="8"/>
        <v>Asia →India →Delhi</v>
      </c>
      <c r="AE63" t="str">
        <f t="shared" si="9"/>
        <v>Medium</v>
      </c>
      <c r="AF63" t="str">
        <f>TEXT(Table1[[#This Row],[OrderDate]],"MMM")</f>
        <v>Apr</v>
      </c>
      <c r="AG63" t="str">
        <f>TEXT(Table1[[#This Row],[OrderDate]],"YYYY")</f>
        <v>2023</v>
      </c>
      <c r="AI63" s="4">
        <f>IF(Table1[[#This Row],[RequiredDate]]&lt;Table1[[#This Row],[OrderDate]], Table1[[#This Row],[OrderDate]]+7, Table1[[#This Row],[RequiredDate]])</f>
        <v>45046</v>
      </c>
      <c r="AJ63">
        <f>IF(Dashboard!$D$3&gt;'Staging Data'!V63,'Staging Data'!V63,Dashboard!D$3)</f>
        <v>0.16900000000000001</v>
      </c>
      <c r="AK63" s="19">
        <f>(100%+Dashboard!$D$4)*'Staging Data'!S63</f>
        <v>867.87749999999994</v>
      </c>
      <c r="AL63">
        <f>(100%+Dashboard!$D$5)*'Staging Data'!W63</f>
        <v>32.199999999999996</v>
      </c>
    </row>
    <row r="64" spans="1:38" x14ac:dyDescent="0.35">
      <c r="A64" s="6" t="s">
        <v>219</v>
      </c>
      <c r="B64" s="4">
        <v>45035</v>
      </c>
      <c r="C64" s="4">
        <v>45044</v>
      </c>
      <c r="D64" s="4">
        <f>IF(Table1[[#This Row],[RequiredDate]]&lt;Table1[[#This Row],[OrderDate]],Table1[[#This Row],[RequiredDate]],Table1[[#This Row],[OrderDate]])</f>
        <v>45035</v>
      </c>
      <c r="E64" s="4">
        <f>IF(Table1[[#This Row],[RequiredDate]]&gt;Table1[[#This Row],[OrderDate]],Table1[[#This Row],[RequiredDate]],Table1[[#This Row],[OrderDate]])</f>
        <v>45044</v>
      </c>
      <c r="F64" s="21">
        <f>Table1[[#This Row],[New RD]]-Table1[[#This Row],[new   od]]</f>
        <v>9</v>
      </c>
      <c r="G64" s="4">
        <f>IF(Table1[[#This Row],[RequiredDate]]&lt;Table1[[#This Row],[OrderDate]], Table1[[#This Row],[OrderDate]]+7, Table1[[#This Row],[RequiredDate]])</f>
        <v>45044</v>
      </c>
      <c r="H64" s="21">
        <f t="shared" si="0"/>
        <v>9</v>
      </c>
      <c r="I64" s="6" t="str">
        <f>IF(Table1[[#This Row],[New LTD]]&lt;=7,"Yes","No")</f>
        <v>No</v>
      </c>
      <c r="J64" s="6" t="str">
        <f t="shared" si="10"/>
        <v>No</v>
      </c>
      <c r="K64" t="s">
        <v>649</v>
      </c>
      <c r="L64" t="s">
        <v>656</v>
      </c>
      <c r="M64" t="s">
        <v>671</v>
      </c>
      <c r="N64" t="s">
        <v>702</v>
      </c>
      <c r="O64" t="s">
        <v>708</v>
      </c>
      <c r="P64" t="s">
        <v>718</v>
      </c>
      <c r="Q64" t="s">
        <v>732</v>
      </c>
      <c r="R64" t="s">
        <v>939</v>
      </c>
      <c r="S64" s="6">
        <v>1178.42</v>
      </c>
      <c r="T64" s="6">
        <v>2446.56</v>
      </c>
      <c r="U64" s="6">
        <f t="shared" si="1"/>
        <v>2446.56</v>
      </c>
      <c r="V64" s="8">
        <v>2.9000000000000001E-2</v>
      </c>
      <c r="W64" s="6">
        <v>11</v>
      </c>
      <c r="X64" s="6">
        <f t="shared" si="2"/>
        <v>26131.70736</v>
      </c>
      <c r="Y64">
        <f t="shared" si="3"/>
        <v>12962.62</v>
      </c>
      <c r="Z64" s="6">
        <f t="shared" si="4"/>
        <v>13169.08736</v>
      </c>
      <c r="AA64">
        <f t="shared" si="5"/>
        <v>0.5039505141618883</v>
      </c>
      <c r="AB64" t="str">
        <f t="shared" si="6"/>
        <v>4-2023</v>
      </c>
      <c r="AC64" t="str">
        <f t="shared" si="7"/>
        <v>Q2-2023</v>
      </c>
      <c r="AD64" t="str">
        <f t="shared" si="8"/>
        <v>Europe →Germany →Berlin</v>
      </c>
      <c r="AE64" t="str">
        <f t="shared" si="9"/>
        <v>High</v>
      </c>
      <c r="AF64" t="str">
        <f>TEXT(Table1[[#This Row],[OrderDate]],"MMM")</f>
        <v>Apr</v>
      </c>
      <c r="AG64" t="str">
        <f>TEXT(Table1[[#This Row],[OrderDate]],"YYYY")</f>
        <v>2023</v>
      </c>
      <c r="AI64" s="4">
        <f>IF(Table1[[#This Row],[RequiredDate]]&lt;Table1[[#This Row],[OrderDate]], Table1[[#This Row],[OrderDate]]+7, Table1[[#This Row],[RequiredDate]])</f>
        <v>45044</v>
      </c>
      <c r="AJ64">
        <f>IF(Dashboard!$D$3&gt;'Staging Data'!V64,'Staging Data'!V64,Dashboard!D$3)</f>
        <v>2.9000000000000001E-2</v>
      </c>
      <c r="AK64" s="19">
        <f>(100%+Dashboard!$D$4)*'Staging Data'!S64</f>
        <v>1237.3410000000001</v>
      </c>
      <c r="AL64">
        <f>(100%+Dashboard!$D$5)*'Staging Data'!W64</f>
        <v>12.649999999999999</v>
      </c>
    </row>
    <row r="65" spans="1:38" x14ac:dyDescent="0.35">
      <c r="A65" s="6" t="s">
        <v>238</v>
      </c>
      <c r="B65" s="4">
        <v>45035</v>
      </c>
      <c r="C65" s="4">
        <v>45053</v>
      </c>
      <c r="D65" s="4">
        <f>IF(Table1[[#This Row],[RequiredDate]]&lt;Table1[[#This Row],[OrderDate]],Table1[[#This Row],[RequiredDate]],Table1[[#This Row],[OrderDate]])</f>
        <v>45035</v>
      </c>
      <c r="E65" s="4">
        <f>IF(Table1[[#This Row],[RequiredDate]]&gt;Table1[[#This Row],[OrderDate]],Table1[[#This Row],[RequiredDate]],Table1[[#This Row],[OrderDate]])</f>
        <v>45053</v>
      </c>
      <c r="F65" s="21">
        <f>Table1[[#This Row],[New RD]]-Table1[[#This Row],[new   od]]</f>
        <v>18</v>
      </c>
      <c r="G65" s="4">
        <f>IF(Table1[[#This Row],[RequiredDate]]&lt;Table1[[#This Row],[OrderDate]], Table1[[#This Row],[OrderDate]]+7, Table1[[#This Row],[RequiredDate]])</f>
        <v>45053</v>
      </c>
      <c r="H65" s="21">
        <f t="shared" si="0"/>
        <v>18</v>
      </c>
      <c r="I65" s="6" t="str">
        <f>IF(Table1[[#This Row],[New LTD]]&lt;=7,"Yes","No")</f>
        <v>No</v>
      </c>
      <c r="J65" s="6" t="str">
        <f t="shared" si="10"/>
        <v>No</v>
      </c>
      <c r="K65" t="s">
        <v>649</v>
      </c>
      <c r="L65" t="s">
        <v>658</v>
      </c>
      <c r="M65" t="s">
        <v>674</v>
      </c>
      <c r="N65" t="s">
        <v>706</v>
      </c>
      <c r="O65" t="s">
        <v>707</v>
      </c>
      <c r="P65" t="s">
        <v>725</v>
      </c>
      <c r="Q65" t="s">
        <v>731</v>
      </c>
      <c r="R65" t="s">
        <v>958</v>
      </c>
      <c r="S65" s="6">
        <v>1089.1500000000001</v>
      </c>
      <c r="T65" s="6">
        <v>1088.2</v>
      </c>
      <c r="U65" s="6">
        <f t="shared" si="1"/>
        <v>1088.2</v>
      </c>
      <c r="V65" s="8">
        <v>5.0999999999999997E-2</v>
      </c>
      <c r="W65" s="6">
        <v>15</v>
      </c>
      <c r="X65" s="6">
        <f t="shared" si="2"/>
        <v>15490.527</v>
      </c>
      <c r="Y65">
        <f t="shared" si="3"/>
        <v>16337.250000000002</v>
      </c>
      <c r="Z65" s="6">
        <f t="shared" si="4"/>
        <v>-846.72300000000178</v>
      </c>
      <c r="AA65">
        <f t="shared" si="5"/>
        <v>-5.4660696824582002E-2</v>
      </c>
      <c r="AB65" t="str">
        <f t="shared" si="6"/>
        <v>4-2023</v>
      </c>
      <c r="AC65" t="str">
        <f t="shared" si="7"/>
        <v>Q2-2023</v>
      </c>
      <c r="AD65" t="str">
        <f t="shared" si="8"/>
        <v>Europe →United Kingdom →Birmingham</v>
      </c>
      <c r="AE65" t="str">
        <f t="shared" si="9"/>
        <v>Medium</v>
      </c>
      <c r="AF65" t="str">
        <f>TEXT(Table1[[#This Row],[OrderDate]],"MMM")</f>
        <v>Apr</v>
      </c>
      <c r="AG65" t="str">
        <f>TEXT(Table1[[#This Row],[OrderDate]],"YYYY")</f>
        <v>2023</v>
      </c>
      <c r="AI65" s="4">
        <f>IF(Table1[[#This Row],[RequiredDate]]&lt;Table1[[#This Row],[OrderDate]], Table1[[#This Row],[OrderDate]]+7, Table1[[#This Row],[RequiredDate]])</f>
        <v>45053</v>
      </c>
      <c r="AJ65">
        <f>IF(Dashboard!$D$3&gt;'Staging Data'!V65,'Staging Data'!V65,Dashboard!D$3)</f>
        <v>5.0999999999999997E-2</v>
      </c>
      <c r="AK65" s="19">
        <f>(100%+Dashboard!$D$4)*'Staging Data'!S65</f>
        <v>1143.6075000000001</v>
      </c>
      <c r="AL65">
        <f>(100%+Dashboard!$D$5)*'Staging Data'!W65</f>
        <v>17.25</v>
      </c>
    </row>
    <row r="66" spans="1:38" x14ac:dyDescent="0.35">
      <c r="A66" s="6" t="s">
        <v>258</v>
      </c>
      <c r="B66" s="4">
        <v>45035</v>
      </c>
      <c r="C66" s="4">
        <v>45044</v>
      </c>
      <c r="D66" s="4">
        <f>IF(Table1[[#This Row],[RequiredDate]]&lt;Table1[[#This Row],[OrderDate]],Table1[[#This Row],[RequiredDate]],Table1[[#This Row],[OrderDate]])</f>
        <v>45035</v>
      </c>
      <c r="E66" s="4">
        <f>IF(Table1[[#This Row],[RequiredDate]]&gt;Table1[[#This Row],[OrderDate]],Table1[[#This Row],[RequiredDate]],Table1[[#This Row],[OrderDate]])</f>
        <v>45044</v>
      </c>
      <c r="F66" s="21">
        <f>Table1[[#This Row],[New RD]]-Table1[[#This Row],[new   od]]</f>
        <v>9</v>
      </c>
      <c r="G66" s="4">
        <f>IF(Table1[[#This Row],[RequiredDate]]&lt;Table1[[#This Row],[OrderDate]], Table1[[#This Row],[OrderDate]]+7, Table1[[#This Row],[RequiredDate]])</f>
        <v>45044</v>
      </c>
      <c r="H66" s="21">
        <f t="shared" ref="H66:H129" si="11">G66-B66</f>
        <v>9</v>
      </c>
      <c r="I66" s="6" t="str">
        <f>IF(Table1[[#This Row],[New LTD]]&lt;=7,"Yes","No")</f>
        <v>No</v>
      </c>
      <c r="J66" s="6" t="str">
        <f t="shared" ref="J66:J129" si="12">IF(V66&gt;20%,"Yes","No")</f>
        <v>No</v>
      </c>
      <c r="K66" t="s">
        <v>648</v>
      </c>
      <c r="L66" t="s">
        <v>655</v>
      </c>
      <c r="M66" t="s">
        <v>692</v>
      </c>
      <c r="N66" t="s">
        <v>701</v>
      </c>
      <c r="O66" t="s">
        <v>710</v>
      </c>
      <c r="P66" t="s">
        <v>724</v>
      </c>
      <c r="Q66" t="s">
        <v>730</v>
      </c>
      <c r="R66" t="s">
        <v>978</v>
      </c>
      <c r="S66" s="6">
        <v>1013.54</v>
      </c>
      <c r="T66" s="6">
        <v>927.93</v>
      </c>
      <c r="U66" s="6">
        <f t="shared" ref="U66:U129" si="13">ABS(T66)</f>
        <v>927.93</v>
      </c>
      <c r="V66" s="8">
        <v>0.17499999999999999</v>
      </c>
      <c r="W66" s="6">
        <v>16</v>
      </c>
      <c r="X66" s="6">
        <f t="shared" ref="X66:X129" si="14">U66*W66*(1-V66)</f>
        <v>12248.675999999999</v>
      </c>
      <c r="Y66">
        <f t="shared" ref="Y66:Y129" si="15">S66*W66</f>
        <v>16216.64</v>
      </c>
      <c r="Z66" s="6">
        <f t="shared" ref="Z66:Z129" si="16">X66-Y66</f>
        <v>-3967.9639999999999</v>
      </c>
      <c r="AA66">
        <f t="shared" ref="AA66:AA129" si="17">IF(X66=0, 0, Z66/ X66)</f>
        <v>-0.32395044166406234</v>
      </c>
      <c r="AB66" t="str">
        <f t="shared" ref="AB66:AB129" si="18">_xlfn.CONCAT(MONTH(B66),"-",YEAR(B66))</f>
        <v>4-2023</v>
      </c>
      <c r="AC66" t="str">
        <f t="shared" ref="AC66:AC129" si="19">"Q"&amp;ROUNDUP(MONTH(B66)/3,0)&amp;"-"&amp;YEAR(B66)</f>
        <v>Q2-2023</v>
      </c>
      <c r="AD66" t="str">
        <f t="shared" ref="AD66:AD129" si="20">_xlfn.CONCAT(K66," →",L66," →",M66)</f>
        <v>Americas →Brazil →Rio de Janeiro</v>
      </c>
      <c r="AE66" t="str">
        <f t="shared" ref="AE66:AE129" si="21">IF(T66&lt;=LowerCutOff,"Low", IF(T66&lt;=HigherCutOff,"Medium","High"))</f>
        <v>Medium</v>
      </c>
      <c r="AF66" t="str">
        <f>TEXT(Table1[[#This Row],[OrderDate]],"MMM")</f>
        <v>Apr</v>
      </c>
      <c r="AG66" t="str">
        <f>TEXT(Table1[[#This Row],[OrderDate]],"YYYY")</f>
        <v>2023</v>
      </c>
      <c r="AI66" s="4">
        <f>IF(Table1[[#This Row],[RequiredDate]]&lt;Table1[[#This Row],[OrderDate]], Table1[[#This Row],[OrderDate]]+7, Table1[[#This Row],[RequiredDate]])</f>
        <v>45044</v>
      </c>
      <c r="AJ66">
        <f>IF(Dashboard!$D$3&gt;'Staging Data'!V66,'Staging Data'!V66,Dashboard!D$3)</f>
        <v>0.17499999999999999</v>
      </c>
      <c r="AK66" s="19">
        <f>(100%+Dashboard!$D$4)*'Staging Data'!S66</f>
        <v>1064.2170000000001</v>
      </c>
      <c r="AL66">
        <f>(100%+Dashboard!$D$5)*'Staging Data'!W66</f>
        <v>18.399999999999999</v>
      </c>
    </row>
    <row r="67" spans="1:38" x14ac:dyDescent="0.35">
      <c r="A67" s="6" t="s">
        <v>271</v>
      </c>
      <c r="B67" s="4">
        <v>45035</v>
      </c>
      <c r="C67" s="4">
        <v>45053</v>
      </c>
      <c r="D67" s="4">
        <f>IF(Table1[[#This Row],[RequiredDate]]&lt;Table1[[#This Row],[OrderDate]],Table1[[#This Row],[RequiredDate]],Table1[[#This Row],[OrderDate]])</f>
        <v>45035</v>
      </c>
      <c r="E67" s="4">
        <f>IF(Table1[[#This Row],[RequiredDate]]&gt;Table1[[#This Row],[OrderDate]],Table1[[#This Row],[RequiredDate]],Table1[[#This Row],[OrderDate]])</f>
        <v>45053</v>
      </c>
      <c r="F67" s="21">
        <f>Table1[[#This Row],[New RD]]-Table1[[#This Row],[new   od]]</f>
        <v>18</v>
      </c>
      <c r="G67" s="4">
        <f>IF(Table1[[#This Row],[RequiredDate]]&lt;Table1[[#This Row],[OrderDate]], Table1[[#This Row],[OrderDate]]+7, Table1[[#This Row],[RequiredDate]])</f>
        <v>45053</v>
      </c>
      <c r="H67" s="21">
        <f t="shared" si="11"/>
        <v>18</v>
      </c>
      <c r="I67" s="6" t="str">
        <f>IF(Table1[[#This Row],[New LTD]]&lt;=7,"Yes","No")</f>
        <v>No</v>
      </c>
      <c r="J67" s="6" t="str">
        <f t="shared" si="12"/>
        <v>No</v>
      </c>
      <c r="K67" t="s">
        <v>649</v>
      </c>
      <c r="L67" t="s">
        <v>658</v>
      </c>
      <c r="M67" t="s">
        <v>683</v>
      </c>
      <c r="N67" t="s">
        <v>703</v>
      </c>
      <c r="O67" t="s">
        <v>711</v>
      </c>
      <c r="P67" t="s">
        <v>722</v>
      </c>
      <c r="Q67" t="s">
        <v>729</v>
      </c>
      <c r="R67" t="s">
        <v>991</v>
      </c>
      <c r="S67" s="6">
        <v>516.96</v>
      </c>
      <c r="T67" s="6">
        <v>745.38</v>
      </c>
      <c r="U67" s="6">
        <f t="shared" si="13"/>
        <v>745.38</v>
      </c>
      <c r="V67" s="8">
        <v>0.19700000000000001</v>
      </c>
      <c r="W67" s="6">
        <v>4</v>
      </c>
      <c r="X67" s="6">
        <f t="shared" si="14"/>
        <v>2394.1605599999998</v>
      </c>
      <c r="Y67">
        <f t="shared" si="15"/>
        <v>2067.84</v>
      </c>
      <c r="Z67" s="6">
        <f t="shared" si="16"/>
        <v>326.32055999999966</v>
      </c>
      <c r="AA67">
        <f t="shared" si="17"/>
        <v>0.13629852794835101</v>
      </c>
      <c r="AB67" t="str">
        <f t="shared" si="18"/>
        <v>4-2023</v>
      </c>
      <c r="AC67" t="str">
        <f t="shared" si="19"/>
        <v>Q2-2023</v>
      </c>
      <c r="AD67" t="str">
        <f t="shared" si="20"/>
        <v>Europe →United Kingdom →London</v>
      </c>
      <c r="AE67" t="str">
        <f t="shared" si="21"/>
        <v>Low</v>
      </c>
      <c r="AF67" t="str">
        <f>TEXT(Table1[[#This Row],[OrderDate]],"MMM")</f>
        <v>Apr</v>
      </c>
      <c r="AG67" t="str">
        <f>TEXT(Table1[[#This Row],[OrderDate]],"YYYY")</f>
        <v>2023</v>
      </c>
      <c r="AI67" s="4">
        <f>IF(Table1[[#This Row],[RequiredDate]]&lt;Table1[[#This Row],[OrderDate]], Table1[[#This Row],[OrderDate]]+7, Table1[[#This Row],[RequiredDate]])</f>
        <v>45053</v>
      </c>
      <c r="AJ67">
        <f>IF(Dashboard!$D$3&gt;'Staging Data'!V67,'Staging Data'!V67,Dashboard!D$3)</f>
        <v>0.19700000000000001</v>
      </c>
      <c r="AK67" s="19">
        <f>(100%+Dashboard!$D$4)*'Staging Data'!S67</f>
        <v>542.80800000000011</v>
      </c>
      <c r="AL67">
        <f>(100%+Dashboard!$D$5)*'Staging Data'!W67</f>
        <v>4.5999999999999996</v>
      </c>
    </row>
    <row r="68" spans="1:38" x14ac:dyDescent="0.35">
      <c r="A68" s="6" t="s">
        <v>84</v>
      </c>
      <c r="B68" s="4">
        <v>45037</v>
      </c>
      <c r="C68" s="4">
        <v>45056</v>
      </c>
      <c r="D68" s="4">
        <f>IF(Table1[[#This Row],[RequiredDate]]&lt;Table1[[#This Row],[OrderDate]],Table1[[#This Row],[RequiredDate]],Table1[[#This Row],[OrderDate]])</f>
        <v>45037</v>
      </c>
      <c r="E68" s="4">
        <f>IF(Table1[[#This Row],[RequiredDate]]&gt;Table1[[#This Row],[OrderDate]],Table1[[#This Row],[RequiredDate]],Table1[[#This Row],[OrderDate]])</f>
        <v>45056</v>
      </c>
      <c r="F68" s="21">
        <f>Table1[[#This Row],[New RD]]-Table1[[#This Row],[new   od]]</f>
        <v>19</v>
      </c>
      <c r="G68" s="4">
        <f>IF(Table1[[#This Row],[RequiredDate]]&lt;Table1[[#This Row],[OrderDate]], Table1[[#This Row],[OrderDate]]+7, Table1[[#This Row],[RequiredDate]])</f>
        <v>45056</v>
      </c>
      <c r="H68" s="21">
        <f t="shared" si="11"/>
        <v>19</v>
      </c>
      <c r="I68" s="6" t="str">
        <f>IF(Table1[[#This Row],[New LTD]]&lt;=7,"Yes","No")</f>
        <v>No</v>
      </c>
      <c r="J68" s="6" t="str">
        <f t="shared" si="12"/>
        <v>No</v>
      </c>
      <c r="K68" t="s">
        <v>647</v>
      </c>
      <c r="L68" t="s">
        <v>659</v>
      </c>
      <c r="M68" t="s">
        <v>685</v>
      </c>
      <c r="N68" t="s">
        <v>701</v>
      </c>
      <c r="O68" t="s">
        <v>707</v>
      </c>
      <c r="P68" t="s">
        <v>720</v>
      </c>
      <c r="Q68" t="s">
        <v>727</v>
      </c>
      <c r="R68" t="s">
        <v>803</v>
      </c>
      <c r="S68" s="6">
        <v>882.33</v>
      </c>
      <c r="T68" s="6">
        <v>1880.15</v>
      </c>
      <c r="U68" s="6">
        <f t="shared" si="13"/>
        <v>1880.15</v>
      </c>
      <c r="V68" s="8">
        <v>0.05</v>
      </c>
      <c r="W68" s="6">
        <v>5</v>
      </c>
      <c r="X68" s="6">
        <f t="shared" si="14"/>
        <v>8930.7124999999996</v>
      </c>
      <c r="Y68">
        <f t="shared" si="15"/>
        <v>4411.6500000000005</v>
      </c>
      <c r="Z68" s="6">
        <f t="shared" si="16"/>
        <v>4519.0624999999991</v>
      </c>
      <c r="AA68">
        <f t="shared" si="17"/>
        <v>0.50601365792482955</v>
      </c>
      <c r="AB68" t="str">
        <f t="shared" si="18"/>
        <v>4-2023</v>
      </c>
      <c r="AC68" t="str">
        <f t="shared" si="19"/>
        <v>Q2-2023</v>
      </c>
      <c r="AD68" t="str">
        <f t="shared" si="20"/>
        <v>Asia →China →Shanghai</v>
      </c>
      <c r="AE68" t="str">
        <f t="shared" si="21"/>
        <v>High</v>
      </c>
      <c r="AF68" t="str">
        <f>TEXT(Table1[[#This Row],[OrderDate]],"MMM")</f>
        <v>Apr</v>
      </c>
      <c r="AG68" t="str">
        <f>TEXT(Table1[[#This Row],[OrderDate]],"YYYY")</f>
        <v>2023</v>
      </c>
      <c r="AI68" s="4">
        <f>IF(Table1[[#This Row],[RequiredDate]]&lt;Table1[[#This Row],[OrderDate]], Table1[[#This Row],[OrderDate]]+7, Table1[[#This Row],[RequiredDate]])</f>
        <v>45056</v>
      </c>
      <c r="AJ68">
        <f>IF(Dashboard!$D$3&gt;'Staging Data'!V68,'Staging Data'!V68,Dashboard!D$3)</f>
        <v>0.05</v>
      </c>
      <c r="AK68" s="19">
        <f>(100%+Dashboard!$D$4)*'Staging Data'!S68</f>
        <v>926.44650000000013</v>
      </c>
      <c r="AL68">
        <f>(100%+Dashboard!$D$5)*'Staging Data'!W68</f>
        <v>5.75</v>
      </c>
    </row>
    <row r="69" spans="1:38" x14ac:dyDescent="0.35">
      <c r="A69" s="6" t="s">
        <v>451</v>
      </c>
      <c r="B69" s="4">
        <v>45037</v>
      </c>
      <c r="C69" s="4">
        <v>45035</v>
      </c>
      <c r="D69" s="4">
        <f>IF(Table1[[#This Row],[RequiredDate]]&lt;Table1[[#This Row],[OrderDate]],Table1[[#This Row],[RequiredDate]],Table1[[#This Row],[OrderDate]])</f>
        <v>45035</v>
      </c>
      <c r="E69" s="4">
        <f>IF(Table1[[#This Row],[RequiredDate]]&gt;Table1[[#This Row],[OrderDate]],Table1[[#This Row],[RequiredDate]],Table1[[#This Row],[OrderDate]])</f>
        <v>45037</v>
      </c>
      <c r="F69" s="21">
        <f>Table1[[#This Row],[New RD]]-Table1[[#This Row],[new   od]]</f>
        <v>2</v>
      </c>
      <c r="G69" s="4">
        <f>IF(Table1[[#This Row],[RequiredDate]]&lt;Table1[[#This Row],[OrderDate]], Table1[[#This Row],[OrderDate]]+7, Table1[[#This Row],[RequiredDate]])</f>
        <v>45044</v>
      </c>
      <c r="H69" s="21">
        <f t="shared" si="11"/>
        <v>7</v>
      </c>
      <c r="I69" s="6" t="str">
        <f>IF(Table1[[#This Row],[New LTD]]&lt;=7,"Yes","No")</f>
        <v>Yes</v>
      </c>
      <c r="J69" s="6" t="str">
        <f t="shared" si="12"/>
        <v>No</v>
      </c>
      <c r="K69" t="s">
        <v>647</v>
      </c>
      <c r="L69" t="s">
        <v>652</v>
      </c>
      <c r="M69" t="s">
        <v>694</v>
      </c>
      <c r="N69" t="s">
        <v>705</v>
      </c>
      <c r="O69" t="s">
        <v>711</v>
      </c>
      <c r="P69" t="s">
        <v>724</v>
      </c>
      <c r="Q69" t="s">
        <v>727</v>
      </c>
      <c r="R69" t="s">
        <v>1170</v>
      </c>
      <c r="S69" s="6">
        <v>607.04</v>
      </c>
      <c r="T69" s="6">
        <v>1229.3399999999999</v>
      </c>
      <c r="U69" s="6">
        <f t="shared" si="13"/>
        <v>1229.3399999999999</v>
      </c>
      <c r="V69" s="8">
        <v>0.14699999999999999</v>
      </c>
      <c r="W69" s="6">
        <v>7</v>
      </c>
      <c r="X69" s="6">
        <f t="shared" si="14"/>
        <v>7340.3891399999993</v>
      </c>
      <c r="Y69">
        <f t="shared" si="15"/>
        <v>4249.28</v>
      </c>
      <c r="Z69" s="6">
        <f t="shared" si="16"/>
        <v>3091.1091399999996</v>
      </c>
      <c r="AA69">
        <f t="shared" si="17"/>
        <v>0.42110970972310058</v>
      </c>
      <c r="AB69" t="str">
        <f t="shared" si="18"/>
        <v>4-2023</v>
      </c>
      <c r="AC69" t="str">
        <f t="shared" si="19"/>
        <v>Q2-2023</v>
      </c>
      <c r="AD69" t="str">
        <f t="shared" si="20"/>
        <v>Asia →Japan →Nagoya</v>
      </c>
      <c r="AE69" t="str">
        <f t="shared" si="21"/>
        <v>Medium</v>
      </c>
      <c r="AF69" t="str">
        <f>TEXT(Table1[[#This Row],[OrderDate]],"MMM")</f>
        <v>Apr</v>
      </c>
      <c r="AG69" t="str">
        <f>TEXT(Table1[[#This Row],[OrderDate]],"YYYY")</f>
        <v>2023</v>
      </c>
      <c r="AI69" s="4">
        <f>IF(Table1[[#This Row],[RequiredDate]]&lt;Table1[[#This Row],[OrderDate]], Table1[[#This Row],[OrderDate]]+7, Table1[[#This Row],[RequiredDate]])</f>
        <v>45044</v>
      </c>
      <c r="AJ69">
        <f>IF(Dashboard!$D$3&gt;'Staging Data'!V69,'Staging Data'!V69,Dashboard!D$3)</f>
        <v>0.14699999999999999</v>
      </c>
      <c r="AK69" s="19">
        <f>(100%+Dashboard!$D$4)*'Staging Data'!S69</f>
        <v>637.39199999999994</v>
      </c>
      <c r="AL69">
        <f>(100%+Dashboard!$D$5)*'Staging Data'!W69</f>
        <v>8.0499999999999989</v>
      </c>
    </row>
    <row r="70" spans="1:38" x14ac:dyDescent="0.35">
      <c r="A70" s="6" t="s">
        <v>620</v>
      </c>
      <c r="B70" s="4">
        <v>45038</v>
      </c>
      <c r="C70" s="4">
        <v>45060</v>
      </c>
      <c r="D70" s="4">
        <f>IF(Table1[[#This Row],[RequiredDate]]&lt;Table1[[#This Row],[OrderDate]],Table1[[#This Row],[RequiredDate]],Table1[[#This Row],[OrderDate]])</f>
        <v>45038</v>
      </c>
      <c r="E70" s="4">
        <f>IF(Table1[[#This Row],[RequiredDate]]&gt;Table1[[#This Row],[OrderDate]],Table1[[#This Row],[RequiredDate]],Table1[[#This Row],[OrderDate]])</f>
        <v>45060</v>
      </c>
      <c r="F70" s="21">
        <f>Table1[[#This Row],[New RD]]-Table1[[#This Row],[new   od]]</f>
        <v>22</v>
      </c>
      <c r="G70" s="4">
        <f>IF(Table1[[#This Row],[RequiredDate]]&lt;Table1[[#This Row],[OrderDate]], Table1[[#This Row],[OrderDate]]+7, Table1[[#This Row],[RequiredDate]])</f>
        <v>45060</v>
      </c>
      <c r="H70" s="21">
        <f t="shared" si="11"/>
        <v>22</v>
      </c>
      <c r="I70" s="6" t="str">
        <f>IF(Table1[[#This Row],[New LTD]]&lt;=7,"Yes","No")</f>
        <v>No</v>
      </c>
      <c r="J70" s="6" t="str">
        <f t="shared" si="12"/>
        <v>No</v>
      </c>
      <c r="K70" t="s">
        <v>647</v>
      </c>
      <c r="L70" t="s">
        <v>652</v>
      </c>
      <c r="M70" t="s">
        <v>694</v>
      </c>
      <c r="N70" t="s">
        <v>706</v>
      </c>
      <c r="O70" t="s">
        <v>707</v>
      </c>
      <c r="P70" t="s">
        <v>720</v>
      </c>
      <c r="Q70" t="s">
        <v>733</v>
      </c>
      <c r="R70" t="s">
        <v>1338</v>
      </c>
      <c r="S70" s="6">
        <v>1209.22</v>
      </c>
      <c r="T70" s="6">
        <v>1404.33</v>
      </c>
      <c r="U70" s="6">
        <f t="shared" si="13"/>
        <v>1404.33</v>
      </c>
      <c r="V70" s="8">
        <v>0.10299999999999999</v>
      </c>
      <c r="W70" s="6">
        <v>11</v>
      </c>
      <c r="X70" s="6">
        <f t="shared" si="14"/>
        <v>13856.52411</v>
      </c>
      <c r="Y70">
        <f t="shared" si="15"/>
        <v>13301.42</v>
      </c>
      <c r="Z70" s="6">
        <f t="shared" si="16"/>
        <v>555.10411000000022</v>
      </c>
      <c r="AA70">
        <f t="shared" si="17"/>
        <v>4.0060848275751328E-2</v>
      </c>
      <c r="AB70" t="str">
        <f t="shared" si="18"/>
        <v>4-2023</v>
      </c>
      <c r="AC70" t="str">
        <f t="shared" si="19"/>
        <v>Q2-2023</v>
      </c>
      <c r="AD70" t="str">
        <f t="shared" si="20"/>
        <v>Asia →Japan →Nagoya</v>
      </c>
      <c r="AE70" t="str">
        <f t="shared" si="21"/>
        <v>Medium</v>
      </c>
      <c r="AF70" t="str">
        <f>TEXT(Table1[[#This Row],[OrderDate]],"MMM")</f>
        <v>Apr</v>
      </c>
      <c r="AG70" t="str">
        <f>TEXT(Table1[[#This Row],[OrderDate]],"YYYY")</f>
        <v>2023</v>
      </c>
      <c r="AI70" s="4">
        <f>IF(Table1[[#This Row],[RequiredDate]]&lt;Table1[[#This Row],[OrderDate]], Table1[[#This Row],[OrderDate]]+7, Table1[[#This Row],[RequiredDate]])</f>
        <v>45060</v>
      </c>
      <c r="AJ70">
        <f>IF(Dashboard!$D$3&gt;'Staging Data'!V70,'Staging Data'!V70,Dashboard!D$3)</f>
        <v>0.10299999999999999</v>
      </c>
      <c r="AK70" s="19">
        <f>(100%+Dashboard!$D$4)*'Staging Data'!S70</f>
        <v>1269.681</v>
      </c>
      <c r="AL70">
        <f>(100%+Dashboard!$D$5)*'Staging Data'!W70</f>
        <v>12.649999999999999</v>
      </c>
    </row>
    <row r="71" spans="1:38" x14ac:dyDescent="0.35">
      <c r="A71" s="6" t="s">
        <v>30</v>
      </c>
      <c r="B71" s="4">
        <v>45039</v>
      </c>
      <c r="C71" s="4">
        <v>45038</v>
      </c>
      <c r="D71" s="4">
        <f>IF(Table1[[#This Row],[RequiredDate]]&lt;Table1[[#This Row],[OrderDate]],Table1[[#This Row],[RequiredDate]],Table1[[#This Row],[OrderDate]])</f>
        <v>45038</v>
      </c>
      <c r="E71" s="4">
        <f>IF(Table1[[#This Row],[RequiredDate]]&gt;Table1[[#This Row],[OrderDate]],Table1[[#This Row],[RequiredDate]],Table1[[#This Row],[OrderDate]])</f>
        <v>45039</v>
      </c>
      <c r="F71" s="21">
        <f>Table1[[#This Row],[New RD]]-Table1[[#This Row],[new   od]]</f>
        <v>1</v>
      </c>
      <c r="G71" s="4">
        <f>IF(Table1[[#This Row],[RequiredDate]]&lt;Table1[[#This Row],[OrderDate]], Table1[[#This Row],[OrderDate]]+7, Table1[[#This Row],[RequiredDate]])</f>
        <v>45046</v>
      </c>
      <c r="H71" s="21">
        <f t="shared" si="11"/>
        <v>7</v>
      </c>
      <c r="I71" s="6" t="str">
        <f>IF(Table1[[#This Row],[New LTD]]&lt;=7,"Yes","No")</f>
        <v>Yes</v>
      </c>
      <c r="J71" s="6" t="str">
        <f t="shared" si="12"/>
        <v>No</v>
      </c>
      <c r="K71" t="s">
        <v>646</v>
      </c>
      <c r="L71" t="s">
        <v>650</v>
      </c>
      <c r="M71" t="s">
        <v>664</v>
      </c>
      <c r="N71" t="s">
        <v>705</v>
      </c>
      <c r="O71" t="s">
        <v>711</v>
      </c>
      <c r="P71" t="s">
        <v>718</v>
      </c>
      <c r="Q71" t="s">
        <v>731</v>
      </c>
      <c r="R71" t="s">
        <v>749</v>
      </c>
      <c r="S71" s="6">
        <v>756.51</v>
      </c>
      <c r="T71" s="6">
        <v>850.8</v>
      </c>
      <c r="U71" s="6">
        <f t="shared" si="13"/>
        <v>850.8</v>
      </c>
      <c r="V71" s="8">
        <v>7.3999999999999996E-2</v>
      </c>
      <c r="W71" s="6">
        <v>9</v>
      </c>
      <c r="X71" s="6">
        <f t="shared" si="14"/>
        <v>7090.5672000000004</v>
      </c>
      <c r="Y71">
        <f t="shared" si="15"/>
        <v>6808.59</v>
      </c>
      <c r="Z71" s="6">
        <f t="shared" si="16"/>
        <v>281.97720000000027</v>
      </c>
      <c r="AA71">
        <f t="shared" si="17"/>
        <v>3.9767932810791252E-2</v>
      </c>
      <c r="AB71" t="str">
        <f t="shared" si="18"/>
        <v>4-2023</v>
      </c>
      <c r="AC71" t="str">
        <f t="shared" si="19"/>
        <v>Q2-2023</v>
      </c>
      <c r="AD71" t="str">
        <f t="shared" si="20"/>
        <v>Africa →Kenya →Nairobi</v>
      </c>
      <c r="AE71" t="str">
        <f t="shared" si="21"/>
        <v>Medium</v>
      </c>
      <c r="AF71" t="str">
        <f>TEXT(Table1[[#This Row],[OrderDate]],"MMM")</f>
        <v>Apr</v>
      </c>
      <c r="AG71" t="str">
        <f>TEXT(Table1[[#This Row],[OrderDate]],"YYYY")</f>
        <v>2023</v>
      </c>
      <c r="AI71" s="4">
        <f>IF(Table1[[#This Row],[RequiredDate]]&lt;Table1[[#This Row],[OrderDate]], Table1[[#This Row],[OrderDate]]+7, Table1[[#This Row],[RequiredDate]])</f>
        <v>45046</v>
      </c>
      <c r="AJ71">
        <f>IF(Dashboard!$D$3&gt;'Staging Data'!V71,'Staging Data'!V71,Dashboard!D$3)</f>
        <v>7.3999999999999996E-2</v>
      </c>
      <c r="AK71" s="19">
        <f>(100%+Dashboard!$D$4)*'Staging Data'!S71</f>
        <v>794.33550000000002</v>
      </c>
      <c r="AL71">
        <f>(100%+Dashboard!$D$5)*'Staging Data'!W71</f>
        <v>10.35</v>
      </c>
    </row>
    <row r="72" spans="1:38" x14ac:dyDescent="0.35">
      <c r="A72" s="6" t="s">
        <v>589</v>
      </c>
      <c r="B72" s="4">
        <v>45042</v>
      </c>
      <c r="C72" s="4">
        <v>45042</v>
      </c>
      <c r="D72" s="4">
        <f>IF(Table1[[#This Row],[RequiredDate]]&lt;Table1[[#This Row],[OrderDate]],Table1[[#This Row],[RequiredDate]],Table1[[#This Row],[OrderDate]])</f>
        <v>45042</v>
      </c>
      <c r="E72" s="4">
        <f>IF(Table1[[#This Row],[RequiredDate]]&gt;Table1[[#This Row],[OrderDate]],Table1[[#This Row],[RequiredDate]],Table1[[#This Row],[OrderDate]])</f>
        <v>45042</v>
      </c>
      <c r="F72" s="21">
        <f>Table1[[#This Row],[New RD]]-Table1[[#This Row],[new   od]]</f>
        <v>0</v>
      </c>
      <c r="G72" s="4">
        <f>IF(Table1[[#This Row],[RequiredDate]]&lt;Table1[[#This Row],[OrderDate]], Table1[[#This Row],[OrderDate]]+7, Table1[[#This Row],[RequiredDate]])</f>
        <v>45042</v>
      </c>
      <c r="H72" s="21">
        <f t="shared" si="11"/>
        <v>0</v>
      </c>
      <c r="I72" s="6" t="str">
        <f>IF(Table1[[#This Row],[New LTD]]&lt;=7,"Yes","No")</f>
        <v>Yes</v>
      </c>
      <c r="J72" s="6" t="str">
        <f t="shared" si="12"/>
        <v>No</v>
      </c>
      <c r="K72" t="s">
        <v>649</v>
      </c>
      <c r="L72" t="s">
        <v>657</v>
      </c>
      <c r="M72" t="s">
        <v>673</v>
      </c>
      <c r="N72" t="s">
        <v>704</v>
      </c>
      <c r="O72" t="s">
        <v>711</v>
      </c>
      <c r="P72" t="s">
        <v>724</v>
      </c>
      <c r="Q72" t="s">
        <v>727</v>
      </c>
      <c r="R72" t="s">
        <v>1307</v>
      </c>
      <c r="S72" s="6">
        <v>81.489999999999995</v>
      </c>
      <c r="T72" s="6">
        <v>113.08</v>
      </c>
      <c r="U72" s="6">
        <f t="shared" si="13"/>
        <v>113.08</v>
      </c>
      <c r="V72" s="8">
        <v>0.121</v>
      </c>
      <c r="W72" s="6">
        <v>5</v>
      </c>
      <c r="X72" s="6">
        <f t="shared" si="14"/>
        <v>496.98660000000001</v>
      </c>
      <c r="Y72">
        <f t="shared" si="15"/>
        <v>407.45</v>
      </c>
      <c r="Z72" s="6">
        <f t="shared" si="16"/>
        <v>89.536600000000021</v>
      </c>
      <c r="AA72">
        <f t="shared" si="17"/>
        <v>0.18015898215364362</v>
      </c>
      <c r="AB72" t="str">
        <f t="shared" si="18"/>
        <v>4-2023</v>
      </c>
      <c r="AC72" t="str">
        <f t="shared" si="19"/>
        <v>Q2-2023</v>
      </c>
      <c r="AD72" t="str">
        <f t="shared" si="20"/>
        <v>Europe →France →Marseille</v>
      </c>
      <c r="AE72" t="str">
        <f t="shared" si="21"/>
        <v>Low</v>
      </c>
      <c r="AF72" t="str">
        <f>TEXT(Table1[[#This Row],[OrderDate]],"MMM")</f>
        <v>Apr</v>
      </c>
      <c r="AG72" t="str">
        <f>TEXT(Table1[[#This Row],[OrderDate]],"YYYY")</f>
        <v>2023</v>
      </c>
      <c r="AI72" s="4">
        <f>IF(Table1[[#This Row],[RequiredDate]]&lt;Table1[[#This Row],[OrderDate]], Table1[[#This Row],[OrderDate]]+7, Table1[[#This Row],[RequiredDate]])</f>
        <v>45042</v>
      </c>
      <c r="AJ72">
        <f>IF(Dashboard!$D$3&gt;'Staging Data'!V72,'Staging Data'!V72,Dashboard!D$3)</f>
        <v>0.121</v>
      </c>
      <c r="AK72" s="19">
        <f>(100%+Dashboard!$D$4)*'Staging Data'!S72</f>
        <v>85.564499999999995</v>
      </c>
      <c r="AL72">
        <f>(100%+Dashboard!$D$5)*'Staging Data'!W72</f>
        <v>5.75</v>
      </c>
    </row>
    <row r="73" spans="1:38" x14ac:dyDescent="0.35">
      <c r="A73" s="6" t="s">
        <v>533</v>
      </c>
      <c r="B73" s="4">
        <v>45047</v>
      </c>
      <c r="C73" s="4">
        <v>45064</v>
      </c>
      <c r="D73" s="4">
        <f>IF(Table1[[#This Row],[RequiredDate]]&lt;Table1[[#This Row],[OrderDate]],Table1[[#This Row],[RequiredDate]],Table1[[#This Row],[OrderDate]])</f>
        <v>45047</v>
      </c>
      <c r="E73" s="4">
        <f>IF(Table1[[#This Row],[RequiredDate]]&gt;Table1[[#This Row],[OrderDate]],Table1[[#This Row],[RequiredDate]],Table1[[#This Row],[OrderDate]])</f>
        <v>45064</v>
      </c>
      <c r="F73" s="21">
        <f>Table1[[#This Row],[New RD]]-Table1[[#This Row],[new   od]]</f>
        <v>17</v>
      </c>
      <c r="G73" s="4">
        <f>IF(Table1[[#This Row],[RequiredDate]]&lt;Table1[[#This Row],[OrderDate]], Table1[[#This Row],[OrderDate]]+7, Table1[[#This Row],[RequiredDate]])</f>
        <v>45064</v>
      </c>
      <c r="H73" s="21">
        <f t="shared" si="11"/>
        <v>17</v>
      </c>
      <c r="I73" s="6" t="str">
        <f>IF(Table1[[#This Row],[New LTD]]&lt;=7,"Yes","No")</f>
        <v>No</v>
      </c>
      <c r="J73" s="6" t="str">
        <f t="shared" si="12"/>
        <v>No</v>
      </c>
      <c r="K73" t="s">
        <v>646</v>
      </c>
      <c r="L73" t="s">
        <v>651</v>
      </c>
      <c r="M73" t="s">
        <v>663</v>
      </c>
      <c r="N73" t="s">
        <v>701</v>
      </c>
      <c r="O73" t="s">
        <v>711</v>
      </c>
      <c r="P73" t="s">
        <v>721</v>
      </c>
      <c r="Q73" t="s">
        <v>727</v>
      </c>
      <c r="R73" t="s">
        <v>1252</v>
      </c>
      <c r="S73" s="6">
        <v>327.97</v>
      </c>
      <c r="T73" s="6">
        <v>299.94</v>
      </c>
      <c r="U73" s="6">
        <f t="shared" si="13"/>
        <v>299.94</v>
      </c>
      <c r="V73" s="8">
        <v>4.9000000000000002E-2</v>
      </c>
      <c r="W73" s="6">
        <v>3</v>
      </c>
      <c r="X73" s="6">
        <f t="shared" si="14"/>
        <v>855.72881999999993</v>
      </c>
      <c r="Y73">
        <f t="shared" si="15"/>
        <v>983.91000000000008</v>
      </c>
      <c r="Z73" s="6">
        <f t="shared" si="16"/>
        <v>-128.18118000000015</v>
      </c>
      <c r="AA73">
        <f t="shared" si="17"/>
        <v>-0.14979182306843442</v>
      </c>
      <c r="AB73" t="str">
        <f t="shared" si="18"/>
        <v>5-2023</v>
      </c>
      <c r="AC73" t="str">
        <f t="shared" si="19"/>
        <v>Q2-2023</v>
      </c>
      <c r="AD73" t="str">
        <f t="shared" si="20"/>
        <v>Africa →Nigeria →Port Harcourt</v>
      </c>
      <c r="AE73" t="str">
        <f t="shared" si="21"/>
        <v>Low</v>
      </c>
      <c r="AF73" t="str">
        <f>TEXT(Table1[[#This Row],[OrderDate]],"MMM")</f>
        <v>May</v>
      </c>
      <c r="AG73" t="str">
        <f>TEXT(Table1[[#This Row],[OrderDate]],"YYYY")</f>
        <v>2023</v>
      </c>
      <c r="AI73" s="4">
        <f>IF(Table1[[#This Row],[RequiredDate]]&lt;Table1[[#This Row],[OrderDate]], Table1[[#This Row],[OrderDate]]+7, Table1[[#This Row],[RequiredDate]])</f>
        <v>45064</v>
      </c>
      <c r="AJ73">
        <f>IF(Dashboard!$D$3&gt;'Staging Data'!V73,'Staging Data'!V73,Dashboard!D$3)</f>
        <v>4.9000000000000002E-2</v>
      </c>
      <c r="AK73" s="19">
        <f>(100%+Dashboard!$D$4)*'Staging Data'!S73</f>
        <v>344.36850000000004</v>
      </c>
      <c r="AL73">
        <f>(100%+Dashboard!$D$5)*'Staging Data'!W73</f>
        <v>3.4499999999999997</v>
      </c>
    </row>
    <row r="74" spans="1:38" x14ac:dyDescent="0.35">
      <c r="A74" s="6" t="s">
        <v>155</v>
      </c>
      <c r="B74" s="4">
        <v>45048</v>
      </c>
      <c r="C74" s="4">
        <v>45064</v>
      </c>
      <c r="D74" s="4">
        <f>IF(Table1[[#This Row],[RequiredDate]]&lt;Table1[[#This Row],[OrderDate]],Table1[[#This Row],[RequiredDate]],Table1[[#This Row],[OrderDate]])</f>
        <v>45048</v>
      </c>
      <c r="E74" s="4">
        <f>IF(Table1[[#This Row],[RequiredDate]]&gt;Table1[[#This Row],[OrderDate]],Table1[[#This Row],[RequiredDate]],Table1[[#This Row],[OrderDate]])</f>
        <v>45064</v>
      </c>
      <c r="F74" s="21">
        <f>Table1[[#This Row],[New RD]]-Table1[[#This Row],[new   od]]</f>
        <v>16</v>
      </c>
      <c r="G74" s="4">
        <f>IF(Table1[[#This Row],[RequiredDate]]&lt;Table1[[#This Row],[OrderDate]], Table1[[#This Row],[OrderDate]]+7, Table1[[#This Row],[RequiredDate]])</f>
        <v>45064</v>
      </c>
      <c r="H74" s="21">
        <f t="shared" si="11"/>
        <v>16</v>
      </c>
      <c r="I74" s="6" t="str">
        <f>IF(Table1[[#This Row],[New LTD]]&lt;=7,"Yes","No")</f>
        <v>No</v>
      </c>
      <c r="J74" s="6" t="str">
        <f t="shared" si="12"/>
        <v>No</v>
      </c>
      <c r="K74" t="s">
        <v>647</v>
      </c>
      <c r="L74" t="s">
        <v>654</v>
      </c>
      <c r="M74" t="s">
        <v>680</v>
      </c>
      <c r="N74" t="s">
        <v>705</v>
      </c>
      <c r="O74" t="s">
        <v>709</v>
      </c>
      <c r="P74" t="s">
        <v>723</v>
      </c>
      <c r="Q74" t="s">
        <v>732</v>
      </c>
      <c r="R74" t="s">
        <v>874</v>
      </c>
      <c r="S74" s="6">
        <v>1463.92</v>
      </c>
      <c r="T74" s="6">
        <v>2252.2399999999998</v>
      </c>
      <c r="U74" s="6">
        <f t="shared" si="13"/>
        <v>2252.2399999999998</v>
      </c>
      <c r="V74" s="8">
        <v>0.11799999999999999</v>
      </c>
      <c r="W74" s="6">
        <v>44</v>
      </c>
      <c r="X74" s="6">
        <f t="shared" si="14"/>
        <v>87404.929919999995</v>
      </c>
      <c r="Y74">
        <f t="shared" si="15"/>
        <v>64412.480000000003</v>
      </c>
      <c r="Z74" s="6">
        <f t="shared" si="16"/>
        <v>22992.449919999992</v>
      </c>
      <c r="AA74">
        <f t="shared" si="17"/>
        <v>0.26305667130040061</v>
      </c>
      <c r="AB74" t="str">
        <f t="shared" si="18"/>
        <v>5-2023</v>
      </c>
      <c r="AC74" t="str">
        <f t="shared" si="19"/>
        <v>Q2-2023</v>
      </c>
      <c r="AD74" t="str">
        <f t="shared" si="20"/>
        <v>Asia →India →Delhi</v>
      </c>
      <c r="AE74" t="str">
        <f t="shared" si="21"/>
        <v>High</v>
      </c>
      <c r="AF74" t="str">
        <f>TEXT(Table1[[#This Row],[OrderDate]],"MMM")</f>
        <v>May</v>
      </c>
      <c r="AG74" t="str">
        <f>TEXT(Table1[[#This Row],[OrderDate]],"YYYY")</f>
        <v>2023</v>
      </c>
      <c r="AI74" s="4">
        <f>IF(Table1[[#This Row],[RequiredDate]]&lt;Table1[[#This Row],[OrderDate]], Table1[[#This Row],[OrderDate]]+7, Table1[[#This Row],[RequiredDate]])</f>
        <v>45064</v>
      </c>
      <c r="AJ74">
        <f>IF(Dashboard!$D$3&gt;'Staging Data'!V74,'Staging Data'!V74,Dashboard!D$3)</f>
        <v>0.11799999999999999</v>
      </c>
      <c r="AK74" s="19">
        <f>(100%+Dashboard!$D$4)*'Staging Data'!S74</f>
        <v>1537.1160000000002</v>
      </c>
      <c r="AL74">
        <f>(100%+Dashboard!$D$5)*'Staging Data'!W74</f>
        <v>50.599999999999994</v>
      </c>
    </row>
    <row r="75" spans="1:38" x14ac:dyDescent="0.35">
      <c r="A75" s="6" t="s">
        <v>471</v>
      </c>
      <c r="B75" s="4">
        <v>45048</v>
      </c>
      <c r="C75" s="4">
        <v>45065</v>
      </c>
      <c r="D75" s="4">
        <f>IF(Table1[[#This Row],[RequiredDate]]&lt;Table1[[#This Row],[OrderDate]],Table1[[#This Row],[RequiredDate]],Table1[[#This Row],[OrderDate]])</f>
        <v>45048</v>
      </c>
      <c r="E75" s="4">
        <f>IF(Table1[[#This Row],[RequiredDate]]&gt;Table1[[#This Row],[OrderDate]],Table1[[#This Row],[RequiredDate]],Table1[[#This Row],[OrderDate]])</f>
        <v>45065</v>
      </c>
      <c r="F75" s="21">
        <f>Table1[[#This Row],[New RD]]-Table1[[#This Row],[new   od]]</f>
        <v>17</v>
      </c>
      <c r="G75" s="4">
        <f>IF(Table1[[#This Row],[RequiredDate]]&lt;Table1[[#This Row],[OrderDate]], Table1[[#This Row],[OrderDate]]+7, Table1[[#This Row],[RequiredDate]])</f>
        <v>45065</v>
      </c>
      <c r="H75" s="21">
        <f t="shared" si="11"/>
        <v>17</v>
      </c>
      <c r="I75" s="6" t="str">
        <f>IF(Table1[[#This Row],[New LTD]]&lt;=7,"Yes","No")</f>
        <v>No</v>
      </c>
      <c r="J75" s="6" t="str">
        <f t="shared" si="12"/>
        <v>No</v>
      </c>
      <c r="K75" t="s">
        <v>647</v>
      </c>
      <c r="L75" t="s">
        <v>659</v>
      </c>
      <c r="M75" t="s">
        <v>685</v>
      </c>
      <c r="N75" t="s">
        <v>703</v>
      </c>
      <c r="O75" t="s">
        <v>711</v>
      </c>
      <c r="P75" t="s">
        <v>713</v>
      </c>
      <c r="Q75" t="s">
        <v>732</v>
      </c>
      <c r="R75" t="s">
        <v>1190</v>
      </c>
      <c r="S75" s="6">
        <v>714.28</v>
      </c>
      <c r="T75" s="6">
        <v>757.59</v>
      </c>
      <c r="U75" s="6">
        <f t="shared" si="13"/>
        <v>757.59</v>
      </c>
      <c r="V75" s="8">
        <v>0.13600000000000001</v>
      </c>
      <c r="W75" s="6">
        <v>12</v>
      </c>
      <c r="X75" s="6">
        <f t="shared" si="14"/>
        <v>7854.6931199999999</v>
      </c>
      <c r="Y75">
        <f t="shared" si="15"/>
        <v>8571.36</v>
      </c>
      <c r="Z75" s="6">
        <f t="shared" si="16"/>
        <v>-716.66688000000067</v>
      </c>
      <c r="AA75">
        <f t="shared" si="17"/>
        <v>-9.1240595787910383E-2</v>
      </c>
      <c r="AB75" t="str">
        <f t="shared" si="18"/>
        <v>5-2023</v>
      </c>
      <c r="AC75" t="str">
        <f t="shared" si="19"/>
        <v>Q2-2023</v>
      </c>
      <c r="AD75" t="str">
        <f t="shared" si="20"/>
        <v>Asia →China →Shanghai</v>
      </c>
      <c r="AE75" t="str">
        <f t="shared" si="21"/>
        <v>Low</v>
      </c>
      <c r="AF75" t="str">
        <f>TEXT(Table1[[#This Row],[OrderDate]],"MMM")</f>
        <v>May</v>
      </c>
      <c r="AG75" t="str">
        <f>TEXT(Table1[[#This Row],[OrderDate]],"YYYY")</f>
        <v>2023</v>
      </c>
      <c r="AI75" s="4">
        <f>IF(Table1[[#This Row],[RequiredDate]]&lt;Table1[[#This Row],[OrderDate]], Table1[[#This Row],[OrderDate]]+7, Table1[[#This Row],[RequiredDate]])</f>
        <v>45065</v>
      </c>
      <c r="AJ75">
        <f>IF(Dashboard!$D$3&gt;'Staging Data'!V75,'Staging Data'!V75,Dashboard!D$3)</f>
        <v>0.13600000000000001</v>
      </c>
      <c r="AK75" s="19">
        <f>(100%+Dashboard!$D$4)*'Staging Data'!S75</f>
        <v>749.99400000000003</v>
      </c>
      <c r="AL75">
        <f>(100%+Dashboard!$D$5)*'Staging Data'!W75</f>
        <v>13.799999999999999</v>
      </c>
    </row>
    <row r="76" spans="1:38" x14ac:dyDescent="0.35">
      <c r="A76" s="6" t="s">
        <v>514</v>
      </c>
      <c r="B76" s="4">
        <v>45048</v>
      </c>
      <c r="C76" s="4">
        <v>45062</v>
      </c>
      <c r="D76" s="4">
        <f>IF(Table1[[#This Row],[RequiredDate]]&lt;Table1[[#This Row],[OrderDate]],Table1[[#This Row],[RequiredDate]],Table1[[#This Row],[OrderDate]])</f>
        <v>45048</v>
      </c>
      <c r="E76" s="4">
        <f>IF(Table1[[#This Row],[RequiredDate]]&gt;Table1[[#This Row],[OrderDate]],Table1[[#This Row],[RequiredDate]],Table1[[#This Row],[OrderDate]])</f>
        <v>45062</v>
      </c>
      <c r="F76" s="21">
        <f>Table1[[#This Row],[New RD]]-Table1[[#This Row],[new   od]]</f>
        <v>14</v>
      </c>
      <c r="G76" s="4">
        <f>IF(Table1[[#This Row],[RequiredDate]]&lt;Table1[[#This Row],[OrderDate]], Table1[[#This Row],[OrderDate]]+7, Table1[[#This Row],[RequiredDate]])</f>
        <v>45062</v>
      </c>
      <c r="H76" s="21">
        <f t="shared" si="11"/>
        <v>14</v>
      </c>
      <c r="I76" s="6" t="str">
        <f>IF(Table1[[#This Row],[New LTD]]&lt;=7,"Yes","No")</f>
        <v>No</v>
      </c>
      <c r="J76" s="6" t="str">
        <f t="shared" si="12"/>
        <v>No</v>
      </c>
      <c r="K76" t="s">
        <v>647</v>
      </c>
      <c r="L76" t="s">
        <v>654</v>
      </c>
      <c r="M76" t="s">
        <v>668</v>
      </c>
      <c r="N76" t="s">
        <v>703</v>
      </c>
      <c r="O76" t="s">
        <v>707</v>
      </c>
      <c r="P76" t="s">
        <v>716</v>
      </c>
      <c r="Q76" t="s">
        <v>732</v>
      </c>
      <c r="R76" t="s">
        <v>1233</v>
      </c>
      <c r="S76" s="6">
        <v>475.37</v>
      </c>
      <c r="T76" s="6">
        <v>963.73</v>
      </c>
      <c r="U76" s="6">
        <f t="shared" si="13"/>
        <v>963.73</v>
      </c>
      <c r="V76" s="8">
        <v>4.1000000000000002E-2</v>
      </c>
      <c r="W76" s="6">
        <v>22</v>
      </c>
      <c r="X76" s="6">
        <f t="shared" si="14"/>
        <v>20332.775539999999</v>
      </c>
      <c r="Y76">
        <f t="shared" si="15"/>
        <v>10458.14</v>
      </c>
      <c r="Z76" s="6">
        <f t="shared" si="16"/>
        <v>9874.6355399999993</v>
      </c>
      <c r="AA76">
        <f t="shared" si="17"/>
        <v>0.48565113604750881</v>
      </c>
      <c r="AB76" t="str">
        <f t="shared" si="18"/>
        <v>5-2023</v>
      </c>
      <c r="AC76" t="str">
        <f t="shared" si="19"/>
        <v>Q2-2023</v>
      </c>
      <c r="AD76" t="str">
        <f t="shared" si="20"/>
        <v>Asia →India →Bengaluru</v>
      </c>
      <c r="AE76" t="str">
        <f t="shared" si="21"/>
        <v>Medium</v>
      </c>
      <c r="AF76" t="str">
        <f>TEXT(Table1[[#This Row],[OrderDate]],"MMM")</f>
        <v>May</v>
      </c>
      <c r="AG76" t="str">
        <f>TEXT(Table1[[#This Row],[OrderDate]],"YYYY")</f>
        <v>2023</v>
      </c>
      <c r="AI76" s="4">
        <f>IF(Table1[[#This Row],[RequiredDate]]&lt;Table1[[#This Row],[OrderDate]], Table1[[#This Row],[OrderDate]]+7, Table1[[#This Row],[RequiredDate]])</f>
        <v>45062</v>
      </c>
      <c r="AJ76">
        <f>IF(Dashboard!$D$3&gt;'Staging Data'!V76,'Staging Data'!V76,Dashboard!D$3)</f>
        <v>4.1000000000000002E-2</v>
      </c>
      <c r="AK76" s="19">
        <f>(100%+Dashboard!$D$4)*'Staging Data'!S76</f>
        <v>499.13850000000002</v>
      </c>
      <c r="AL76">
        <f>(100%+Dashboard!$D$5)*'Staging Data'!W76</f>
        <v>25.299999999999997</v>
      </c>
    </row>
    <row r="77" spans="1:38" x14ac:dyDescent="0.35">
      <c r="A77" s="6" t="s">
        <v>600</v>
      </c>
      <c r="B77" s="4">
        <v>45049</v>
      </c>
      <c r="C77" s="4">
        <v>45062</v>
      </c>
      <c r="D77" s="4">
        <f>IF(Table1[[#This Row],[RequiredDate]]&lt;Table1[[#This Row],[OrderDate]],Table1[[#This Row],[RequiredDate]],Table1[[#This Row],[OrderDate]])</f>
        <v>45049</v>
      </c>
      <c r="E77" s="4">
        <f>IF(Table1[[#This Row],[RequiredDate]]&gt;Table1[[#This Row],[OrderDate]],Table1[[#This Row],[RequiredDate]],Table1[[#This Row],[OrderDate]])</f>
        <v>45062</v>
      </c>
      <c r="F77" s="21">
        <f>Table1[[#This Row],[New RD]]-Table1[[#This Row],[new   od]]</f>
        <v>13</v>
      </c>
      <c r="G77" s="4">
        <f>IF(Table1[[#This Row],[RequiredDate]]&lt;Table1[[#This Row],[OrderDate]], Table1[[#This Row],[OrderDate]]+7, Table1[[#This Row],[RequiredDate]])</f>
        <v>45062</v>
      </c>
      <c r="H77" s="21">
        <f t="shared" si="11"/>
        <v>13</v>
      </c>
      <c r="I77" s="6" t="str">
        <f>IF(Table1[[#This Row],[New LTD]]&lt;=7,"Yes","No")</f>
        <v>No</v>
      </c>
      <c r="J77" s="6" t="str">
        <f t="shared" si="12"/>
        <v>No</v>
      </c>
      <c r="K77" t="s">
        <v>648</v>
      </c>
      <c r="L77" t="s">
        <v>660</v>
      </c>
      <c r="M77" t="s">
        <v>700</v>
      </c>
      <c r="N77" t="s">
        <v>701</v>
      </c>
      <c r="O77" t="s">
        <v>709</v>
      </c>
      <c r="P77" t="s">
        <v>716</v>
      </c>
      <c r="Q77" t="s">
        <v>730</v>
      </c>
      <c r="R77" t="s">
        <v>1318</v>
      </c>
      <c r="S77" s="6">
        <v>64.5</v>
      </c>
      <c r="T77" s="6">
        <v>123.62</v>
      </c>
      <c r="U77" s="6">
        <f t="shared" si="13"/>
        <v>123.62</v>
      </c>
      <c r="V77" s="8">
        <v>0</v>
      </c>
      <c r="W77" s="6">
        <v>3</v>
      </c>
      <c r="X77" s="6">
        <f t="shared" si="14"/>
        <v>370.86</v>
      </c>
      <c r="Y77">
        <f t="shared" si="15"/>
        <v>193.5</v>
      </c>
      <c r="Z77" s="6">
        <f t="shared" si="16"/>
        <v>177.36</v>
      </c>
      <c r="AA77">
        <f t="shared" si="17"/>
        <v>0.47823976702798904</v>
      </c>
      <c r="AB77" t="str">
        <f t="shared" si="18"/>
        <v>5-2023</v>
      </c>
      <c r="AC77" t="str">
        <f t="shared" si="19"/>
        <v>Q2-2023</v>
      </c>
      <c r="AD77" t="str">
        <f t="shared" si="20"/>
        <v>Americas →USA →New York</v>
      </c>
      <c r="AE77" t="str">
        <f t="shared" si="21"/>
        <v>Low</v>
      </c>
      <c r="AF77" t="str">
        <f>TEXT(Table1[[#This Row],[OrderDate]],"MMM")</f>
        <v>May</v>
      </c>
      <c r="AG77" t="str">
        <f>TEXT(Table1[[#This Row],[OrderDate]],"YYYY")</f>
        <v>2023</v>
      </c>
      <c r="AI77" s="4">
        <f>IF(Table1[[#This Row],[RequiredDate]]&lt;Table1[[#This Row],[OrderDate]], Table1[[#This Row],[OrderDate]]+7, Table1[[#This Row],[RequiredDate]])</f>
        <v>45062</v>
      </c>
      <c r="AJ77">
        <f>IF(Dashboard!$D$3&gt;'Staging Data'!V77,'Staging Data'!V77,Dashboard!D$3)</f>
        <v>0</v>
      </c>
      <c r="AK77" s="19">
        <f>(100%+Dashboard!$D$4)*'Staging Data'!S77</f>
        <v>67.725000000000009</v>
      </c>
      <c r="AL77">
        <f>(100%+Dashboard!$D$5)*'Staging Data'!W77</f>
        <v>3.4499999999999997</v>
      </c>
    </row>
    <row r="78" spans="1:38" x14ac:dyDescent="0.35">
      <c r="A78" s="6" t="s">
        <v>208</v>
      </c>
      <c r="B78" s="4">
        <v>45050</v>
      </c>
      <c r="C78" s="4">
        <v>45072</v>
      </c>
      <c r="D78" s="4">
        <f>IF(Table1[[#This Row],[RequiredDate]]&lt;Table1[[#This Row],[OrderDate]],Table1[[#This Row],[RequiredDate]],Table1[[#This Row],[OrderDate]])</f>
        <v>45050</v>
      </c>
      <c r="E78" s="4">
        <f>IF(Table1[[#This Row],[RequiredDate]]&gt;Table1[[#This Row],[OrderDate]],Table1[[#This Row],[RequiredDate]],Table1[[#This Row],[OrderDate]])</f>
        <v>45072</v>
      </c>
      <c r="F78" s="21">
        <f>Table1[[#This Row],[New RD]]-Table1[[#This Row],[new   od]]</f>
        <v>22</v>
      </c>
      <c r="G78" s="4">
        <f>IF(Table1[[#This Row],[RequiredDate]]&lt;Table1[[#This Row],[OrderDate]], Table1[[#This Row],[OrderDate]]+7, Table1[[#This Row],[RequiredDate]])</f>
        <v>45072</v>
      </c>
      <c r="H78" s="21">
        <f t="shared" si="11"/>
        <v>22</v>
      </c>
      <c r="I78" s="6" t="str">
        <f>IF(Table1[[#This Row],[New LTD]]&lt;=7,"Yes","No")</f>
        <v>No</v>
      </c>
      <c r="J78" s="6" t="str">
        <f t="shared" si="12"/>
        <v>No</v>
      </c>
      <c r="K78" t="s">
        <v>648</v>
      </c>
      <c r="L78" t="s">
        <v>660</v>
      </c>
      <c r="M78" t="s">
        <v>686</v>
      </c>
      <c r="N78" t="s">
        <v>706</v>
      </c>
      <c r="O78" t="s">
        <v>708</v>
      </c>
      <c r="P78" t="s">
        <v>713</v>
      </c>
      <c r="Q78" t="s">
        <v>729</v>
      </c>
      <c r="R78" t="s">
        <v>928</v>
      </c>
      <c r="S78" s="6">
        <v>249.71</v>
      </c>
      <c r="T78" s="6">
        <v>361.33</v>
      </c>
      <c r="U78" s="6">
        <f t="shared" si="13"/>
        <v>361.33</v>
      </c>
      <c r="V78" s="8">
        <v>9.4E-2</v>
      </c>
      <c r="W78" s="6">
        <v>12</v>
      </c>
      <c r="X78" s="6">
        <f t="shared" si="14"/>
        <v>3928.3797600000003</v>
      </c>
      <c r="Y78">
        <f t="shared" si="15"/>
        <v>2996.52</v>
      </c>
      <c r="Z78" s="6">
        <f t="shared" si="16"/>
        <v>931.85976000000028</v>
      </c>
      <c r="AA78">
        <f t="shared" si="17"/>
        <v>0.23721223937881206</v>
      </c>
      <c r="AB78" t="str">
        <f t="shared" si="18"/>
        <v>5-2023</v>
      </c>
      <c r="AC78" t="str">
        <f t="shared" si="19"/>
        <v>Q2-2023</v>
      </c>
      <c r="AD78" t="str">
        <f t="shared" si="20"/>
        <v>Americas →USA →San Francisco</v>
      </c>
      <c r="AE78" t="str">
        <f t="shared" si="21"/>
        <v>Low</v>
      </c>
      <c r="AF78" t="str">
        <f>TEXT(Table1[[#This Row],[OrderDate]],"MMM")</f>
        <v>May</v>
      </c>
      <c r="AG78" t="str">
        <f>TEXT(Table1[[#This Row],[OrderDate]],"YYYY")</f>
        <v>2023</v>
      </c>
      <c r="AI78" s="4">
        <f>IF(Table1[[#This Row],[RequiredDate]]&lt;Table1[[#This Row],[OrderDate]], Table1[[#This Row],[OrderDate]]+7, Table1[[#This Row],[RequiredDate]])</f>
        <v>45072</v>
      </c>
      <c r="AJ78">
        <f>IF(Dashboard!$D$3&gt;'Staging Data'!V78,'Staging Data'!V78,Dashboard!D$3)</f>
        <v>9.4E-2</v>
      </c>
      <c r="AK78" s="19">
        <f>(100%+Dashboard!$D$4)*'Staging Data'!S78</f>
        <v>262.19550000000004</v>
      </c>
      <c r="AL78">
        <f>(100%+Dashboard!$D$5)*'Staging Data'!W78</f>
        <v>13.799999999999999</v>
      </c>
    </row>
    <row r="79" spans="1:38" x14ac:dyDescent="0.35">
      <c r="A79" s="6" t="s">
        <v>361</v>
      </c>
      <c r="B79" s="4">
        <v>45050</v>
      </c>
      <c r="C79" s="4">
        <v>45062</v>
      </c>
      <c r="D79" s="4">
        <f>IF(Table1[[#This Row],[RequiredDate]]&lt;Table1[[#This Row],[OrderDate]],Table1[[#This Row],[RequiredDate]],Table1[[#This Row],[OrderDate]])</f>
        <v>45050</v>
      </c>
      <c r="E79" s="4">
        <f>IF(Table1[[#This Row],[RequiredDate]]&gt;Table1[[#This Row],[OrderDate]],Table1[[#This Row],[RequiredDate]],Table1[[#This Row],[OrderDate]])</f>
        <v>45062</v>
      </c>
      <c r="F79" s="21">
        <f>Table1[[#This Row],[New RD]]-Table1[[#This Row],[new   od]]</f>
        <v>12</v>
      </c>
      <c r="G79" s="4">
        <f>IF(Table1[[#This Row],[RequiredDate]]&lt;Table1[[#This Row],[OrderDate]], Table1[[#This Row],[OrderDate]]+7, Table1[[#This Row],[RequiredDate]])</f>
        <v>45062</v>
      </c>
      <c r="H79" s="21">
        <f t="shared" si="11"/>
        <v>12</v>
      </c>
      <c r="I79" s="6" t="str">
        <f>IF(Table1[[#This Row],[New LTD]]&lt;=7,"Yes","No")</f>
        <v>No</v>
      </c>
      <c r="J79" s="6" t="str">
        <f t="shared" si="12"/>
        <v>No</v>
      </c>
      <c r="K79" t="s">
        <v>646</v>
      </c>
      <c r="L79" t="s">
        <v>651</v>
      </c>
      <c r="M79" t="s">
        <v>669</v>
      </c>
      <c r="N79" t="s">
        <v>705</v>
      </c>
      <c r="O79" t="s">
        <v>709</v>
      </c>
      <c r="P79" t="s">
        <v>713</v>
      </c>
      <c r="Q79" t="s">
        <v>730</v>
      </c>
      <c r="R79" t="s">
        <v>1081</v>
      </c>
      <c r="S79" s="6">
        <v>77.739999999999995</v>
      </c>
      <c r="T79" s="6">
        <v>147.12</v>
      </c>
      <c r="U79" s="6">
        <f t="shared" si="13"/>
        <v>147.12</v>
      </c>
      <c r="V79" s="8">
        <v>0</v>
      </c>
      <c r="W79" s="6">
        <v>15</v>
      </c>
      <c r="X79" s="6">
        <f t="shared" si="14"/>
        <v>2206.8000000000002</v>
      </c>
      <c r="Y79">
        <f t="shared" si="15"/>
        <v>1166.0999999999999</v>
      </c>
      <c r="Z79" s="6">
        <f t="shared" si="16"/>
        <v>1040.7000000000003</v>
      </c>
      <c r="AA79">
        <f t="shared" si="17"/>
        <v>0.47158781946710177</v>
      </c>
      <c r="AB79" t="str">
        <f t="shared" si="18"/>
        <v>5-2023</v>
      </c>
      <c r="AC79" t="str">
        <f t="shared" si="19"/>
        <v>Q2-2023</v>
      </c>
      <c r="AD79" t="str">
        <f t="shared" si="20"/>
        <v>Africa →Nigeria →Abuja</v>
      </c>
      <c r="AE79" t="str">
        <f t="shared" si="21"/>
        <v>Low</v>
      </c>
      <c r="AF79" t="str">
        <f>TEXT(Table1[[#This Row],[OrderDate]],"MMM")</f>
        <v>May</v>
      </c>
      <c r="AG79" t="str">
        <f>TEXT(Table1[[#This Row],[OrderDate]],"YYYY")</f>
        <v>2023</v>
      </c>
      <c r="AI79" s="4">
        <f>IF(Table1[[#This Row],[RequiredDate]]&lt;Table1[[#This Row],[OrderDate]], Table1[[#This Row],[OrderDate]]+7, Table1[[#This Row],[RequiredDate]])</f>
        <v>45062</v>
      </c>
      <c r="AJ79">
        <f>IF(Dashboard!$D$3&gt;'Staging Data'!V79,'Staging Data'!V79,Dashboard!D$3)</f>
        <v>0</v>
      </c>
      <c r="AK79" s="19">
        <f>(100%+Dashboard!$D$4)*'Staging Data'!S79</f>
        <v>81.626999999999995</v>
      </c>
      <c r="AL79">
        <f>(100%+Dashboard!$D$5)*'Staging Data'!W79</f>
        <v>17.25</v>
      </c>
    </row>
    <row r="80" spans="1:38" x14ac:dyDescent="0.35">
      <c r="A80" s="6" t="s">
        <v>330</v>
      </c>
      <c r="B80" s="4">
        <v>45052</v>
      </c>
      <c r="C80" s="4">
        <v>45060</v>
      </c>
      <c r="D80" s="4">
        <f>IF(Table1[[#This Row],[RequiredDate]]&lt;Table1[[#This Row],[OrderDate]],Table1[[#This Row],[RequiredDate]],Table1[[#This Row],[OrderDate]])</f>
        <v>45052</v>
      </c>
      <c r="E80" s="4">
        <f>IF(Table1[[#This Row],[RequiredDate]]&gt;Table1[[#This Row],[OrderDate]],Table1[[#This Row],[RequiredDate]],Table1[[#This Row],[OrderDate]])</f>
        <v>45060</v>
      </c>
      <c r="F80" s="21">
        <f>Table1[[#This Row],[New RD]]-Table1[[#This Row],[new   od]]</f>
        <v>8</v>
      </c>
      <c r="G80" s="4">
        <f>IF(Table1[[#This Row],[RequiredDate]]&lt;Table1[[#This Row],[OrderDate]], Table1[[#This Row],[OrderDate]]+7, Table1[[#This Row],[RequiredDate]])</f>
        <v>45060</v>
      </c>
      <c r="H80" s="21">
        <f t="shared" si="11"/>
        <v>8</v>
      </c>
      <c r="I80" s="6" t="str">
        <f>IF(Table1[[#This Row],[New LTD]]&lt;=7,"Yes","No")</f>
        <v>No</v>
      </c>
      <c r="J80" s="6" t="str">
        <f t="shared" si="12"/>
        <v>No</v>
      </c>
      <c r="K80" t="s">
        <v>647</v>
      </c>
      <c r="L80" t="s">
        <v>652</v>
      </c>
      <c r="M80" t="s">
        <v>666</v>
      </c>
      <c r="N80" t="s">
        <v>706</v>
      </c>
      <c r="O80" t="s">
        <v>709</v>
      </c>
      <c r="P80" t="s">
        <v>717</v>
      </c>
      <c r="Q80" t="s">
        <v>730</v>
      </c>
      <c r="R80" t="s">
        <v>1050</v>
      </c>
      <c r="S80" s="6">
        <v>291.18</v>
      </c>
      <c r="T80" s="6">
        <v>479.54</v>
      </c>
      <c r="U80" s="6">
        <f t="shared" si="13"/>
        <v>479.54</v>
      </c>
      <c r="V80" s="8">
        <v>0.14099999999999999</v>
      </c>
      <c r="W80" s="6">
        <v>22</v>
      </c>
      <c r="X80" s="6">
        <f t="shared" si="14"/>
        <v>9062.34692</v>
      </c>
      <c r="Y80">
        <f t="shared" si="15"/>
        <v>6405.96</v>
      </c>
      <c r="Z80" s="6">
        <f t="shared" si="16"/>
        <v>2656.3869199999999</v>
      </c>
      <c r="AA80">
        <f t="shared" si="17"/>
        <v>0.29312350801066001</v>
      </c>
      <c r="AB80" t="str">
        <f t="shared" si="18"/>
        <v>5-2023</v>
      </c>
      <c r="AC80" t="str">
        <f t="shared" si="19"/>
        <v>Q2-2023</v>
      </c>
      <c r="AD80" t="str">
        <f t="shared" si="20"/>
        <v>Asia →Japan →Osaka</v>
      </c>
      <c r="AE80" t="str">
        <f t="shared" si="21"/>
        <v>Low</v>
      </c>
      <c r="AF80" t="str">
        <f>TEXT(Table1[[#This Row],[OrderDate]],"MMM")</f>
        <v>May</v>
      </c>
      <c r="AG80" t="str">
        <f>TEXT(Table1[[#This Row],[OrderDate]],"YYYY")</f>
        <v>2023</v>
      </c>
      <c r="AI80" s="4">
        <f>IF(Table1[[#This Row],[RequiredDate]]&lt;Table1[[#This Row],[OrderDate]], Table1[[#This Row],[OrderDate]]+7, Table1[[#This Row],[RequiredDate]])</f>
        <v>45060</v>
      </c>
      <c r="AJ80">
        <f>IF(Dashboard!$D$3&gt;'Staging Data'!V80,'Staging Data'!V80,Dashboard!D$3)</f>
        <v>0.14099999999999999</v>
      </c>
      <c r="AK80" s="19">
        <f>(100%+Dashboard!$D$4)*'Staging Data'!S80</f>
        <v>305.73900000000003</v>
      </c>
      <c r="AL80">
        <f>(100%+Dashboard!$D$5)*'Staging Data'!W80</f>
        <v>25.299999999999997</v>
      </c>
    </row>
    <row r="81" spans="1:38" x14ac:dyDescent="0.35">
      <c r="A81" s="6" t="s">
        <v>281</v>
      </c>
      <c r="B81" s="4">
        <v>45053</v>
      </c>
      <c r="C81" s="4">
        <v>45051</v>
      </c>
      <c r="D81" s="4">
        <f>IF(Table1[[#This Row],[RequiredDate]]&lt;Table1[[#This Row],[OrderDate]],Table1[[#This Row],[RequiredDate]],Table1[[#This Row],[OrderDate]])</f>
        <v>45051</v>
      </c>
      <c r="E81" s="4">
        <f>IF(Table1[[#This Row],[RequiredDate]]&gt;Table1[[#This Row],[OrderDate]],Table1[[#This Row],[RequiredDate]],Table1[[#This Row],[OrderDate]])</f>
        <v>45053</v>
      </c>
      <c r="F81" s="21">
        <f>Table1[[#This Row],[New RD]]-Table1[[#This Row],[new   od]]</f>
        <v>2</v>
      </c>
      <c r="G81" s="4">
        <f>IF(Table1[[#This Row],[RequiredDate]]&lt;Table1[[#This Row],[OrderDate]], Table1[[#This Row],[OrderDate]]+7, Table1[[#This Row],[RequiredDate]])</f>
        <v>45060</v>
      </c>
      <c r="H81" s="21">
        <f t="shared" si="11"/>
        <v>7</v>
      </c>
      <c r="I81" s="6" t="str">
        <f>IF(Table1[[#This Row],[New LTD]]&lt;=7,"Yes","No")</f>
        <v>Yes</v>
      </c>
      <c r="J81" s="6" t="str">
        <f t="shared" si="12"/>
        <v>No</v>
      </c>
      <c r="K81" t="s">
        <v>646</v>
      </c>
      <c r="L81" t="s">
        <v>651</v>
      </c>
      <c r="M81" t="s">
        <v>663</v>
      </c>
      <c r="N81" t="s">
        <v>703</v>
      </c>
      <c r="O81" t="s">
        <v>709</v>
      </c>
      <c r="P81" t="s">
        <v>720</v>
      </c>
      <c r="Q81" t="s">
        <v>727</v>
      </c>
      <c r="R81" t="s">
        <v>1001</v>
      </c>
      <c r="S81" s="6">
        <v>1269.6500000000001</v>
      </c>
      <c r="T81" s="6">
        <v>2462.77</v>
      </c>
      <c r="U81" s="6">
        <f t="shared" si="13"/>
        <v>2462.77</v>
      </c>
      <c r="V81" s="8">
        <v>0.107</v>
      </c>
      <c r="W81" s="6">
        <v>8</v>
      </c>
      <c r="X81" s="6">
        <f t="shared" si="14"/>
        <v>17594.028880000002</v>
      </c>
      <c r="Y81">
        <f t="shared" si="15"/>
        <v>10157.200000000001</v>
      </c>
      <c r="Z81" s="6">
        <f t="shared" si="16"/>
        <v>7436.8288800000009</v>
      </c>
      <c r="AA81">
        <f t="shared" si="17"/>
        <v>0.42269050089225502</v>
      </c>
      <c r="AB81" t="str">
        <f t="shared" si="18"/>
        <v>5-2023</v>
      </c>
      <c r="AC81" t="str">
        <f t="shared" si="19"/>
        <v>Q2-2023</v>
      </c>
      <c r="AD81" t="str">
        <f t="shared" si="20"/>
        <v>Africa →Nigeria →Port Harcourt</v>
      </c>
      <c r="AE81" t="str">
        <f t="shared" si="21"/>
        <v>High</v>
      </c>
      <c r="AF81" t="str">
        <f>TEXT(Table1[[#This Row],[OrderDate]],"MMM")</f>
        <v>May</v>
      </c>
      <c r="AG81" t="str">
        <f>TEXT(Table1[[#This Row],[OrderDate]],"YYYY")</f>
        <v>2023</v>
      </c>
      <c r="AI81" s="4">
        <f>IF(Table1[[#This Row],[RequiredDate]]&lt;Table1[[#This Row],[OrderDate]], Table1[[#This Row],[OrderDate]]+7, Table1[[#This Row],[RequiredDate]])</f>
        <v>45060</v>
      </c>
      <c r="AJ81">
        <f>IF(Dashboard!$D$3&gt;'Staging Data'!V81,'Staging Data'!V81,Dashboard!D$3)</f>
        <v>0.107</v>
      </c>
      <c r="AK81" s="19">
        <f>(100%+Dashboard!$D$4)*'Staging Data'!S81</f>
        <v>1333.1325000000002</v>
      </c>
      <c r="AL81">
        <f>(100%+Dashboard!$D$5)*'Staging Data'!W81</f>
        <v>9.1999999999999993</v>
      </c>
    </row>
    <row r="82" spans="1:38" x14ac:dyDescent="0.35">
      <c r="A82" s="6" t="s">
        <v>339</v>
      </c>
      <c r="B82" s="4">
        <v>45053</v>
      </c>
      <c r="C82" s="4">
        <v>45075</v>
      </c>
      <c r="D82" s="4">
        <f>IF(Table1[[#This Row],[RequiredDate]]&lt;Table1[[#This Row],[OrderDate]],Table1[[#This Row],[RequiredDate]],Table1[[#This Row],[OrderDate]])</f>
        <v>45053</v>
      </c>
      <c r="E82" s="4">
        <f>IF(Table1[[#This Row],[RequiredDate]]&gt;Table1[[#This Row],[OrderDate]],Table1[[#This Row],[RequiredDate]],Table1[[#This Row],[OrderDate]])</f>
        <v>45075</v>
      </c>
      <c r="F82" s="21">
        <f>Table1[[#This Row],[New RD]]-Table1[[#This Row],[new   od]]</f>
        <v>22</v>
      </c>
      <c r="G82" s="4">
        <f>IF(Table1[[#This Row],[RequiredDate]]&lt;Table1[[#This Row],[OrderDate]], Table1[[#This Row],[OrderDate]]+7, Table1[[#This Row],[RequiredDate]])</f>
        <v>45075</v>
      </c>
      <c r="H82" s="21">
        <f t="shared" si="11"/>
        <v>22</v>
      </c>
      <c r="I82" s="6" t="str">
        <f>IF(Table1[[#This Row],[New LTD]]&lt;=7,"Yes","No")</f>
        <v>No</v>
      </c>
      <c r="J82" s="6" t="str">
        <f t="shared" si="12"/>
        <v>No</v>
      </c>
      <c r="K82" t="s">
        <v>646</v>
      </c>
      <c r="L82" t="s">
        <v>661</v>
      </c>
      <c r="M82" t="s">
        <v>687</v>
      </c>
      <c r="N82" t="s">
        <v>702</v>
      </c>
      <c r="O82" t="s">
        <v>710</v>
      </c>
      <c r="P82" t="s">
        <v>723</v>
      </c>
      <c r="Q82" t="s">
        <v>733</v>
      </c>
      <c r="R82" t="s">
        <v>1059</v>
      </c>
      <c r="S82" s="6">
        <v>653.86</v>
      </c>
      <c r="T82" s="6">
        <v>931.84</v>
      </c>
      <c r="U82" s="6">
        <f t="shared" si="13"/>
        <v>931.84</v>
      </c>
      <c r="V82" s="8">
        <v>0.121</v>
      </c>
      <c r="W82" s="6">
        <v>12</v>
      </c>
      <c r="X82" s="6">
        <f t="shared" si="14"/>
        <v>9829.0483199999999</v>
      </c>
      <c r="Y82">
        <f t="shared" si="15"/>
        <v>7846.32</v>
      </c>
      <c r="Z82" s="6">
        <f t="shared" si="16"/>
        <v>1982.7283200000002</v>
      </c>
      <c r="AA82">
        <f t="shared" si="17"/>
        <v>0.20172129136506273</v>
      </c>
      <c r="AB82" t="str">
        <f t="shared" si="18"/>
        <v>5-2023</v>
      </c>
      <c r="AC82" t="str">
        <f t="shared" si="19"/>
        <v>Q2-2023</v>
      </c>
      <c r="AD82" t="str">
        <f t="shared" si="20"/>
        <v>Africa →South Africa →Durban</v>
      </c>
      <c r="AE82" t="str">
        <f t="shared" si="21"/>
        <v>Medium</v>
      </c>
      <c r="AF82" t="str">
        <f>TEXT(Table1[[#This Row],[OrderDate]],"MMM")</f>
        <v>May</v>
      </c>
      <c r="AG82" t="str">
        <f>TEXT(Table1[[#This Row],[OrderDate]],"YYYY")</f>
        <v>2023</v>
      </c>
      <c r="AI82" s="4">
        <f>IF(Table1[[#This Row],[RequiredDate]]&lt;Table1[[#This Row],[OrderDate]], Table1[[#This Row],[OrderDate]]+7, Table1[[#This Row],[RequiredDate]])</f>
        <v>45075</v>
      </c>
      <c r="AJ82">
        <f>IF(Dashboard!$D$3&gt;'Staging Data'!V82,'Staging Data'!V82,Dashboard!D$3)</f>
        <v>0.121</v>
      </c>
      <c r="AK82" s="19">
        <f>(100%+Dashboard!$D$4)*'Staging Data'!S82</f>
        <v>686.553</v>
      </c>
      <c r="AL82">
        <f>(100%+Dashboard!$D$5)*'Staging Data'!W82</f>
        <v>13.799999999999999</v>
      </c>
    </row>
    <row r="83" spans="1:38" x14ac:dyDescent="0.35">
      <c r="A83" s="6" t="s">
        <v>570</v>
      </c>
      <c r="B83" s="4">
        <v>45053</v>
      </c>
      <c r="C83" s="4">
        <v>45066</v>
      </c>
      <c r="D83" s="4">
        <f>IF(Table1[[#This Row],[RequiredDate]]&lt;Table1[[#This Row],[OrderDate]],Table1[[#This Row],[RequiredDate]],Table1[[#This Row],[OrderDate]])</f>
        <v>45053</v>
      </c>
      <c r="E83" s="4">
        <f>IF(Table1[[#This Row],[RequiredDate]]&gt;Table1[[#This Row],[OrderDate]],Table1[[#This Row],[RequiredDate]],Table1[[#This Row],[OrderDate]])</f>
        <v>45066</v>
      </c>
      <c r="F83" s="21">
        <f>Table1[[#This Row],[New RD]]-Table1[[#This Row],[new   od]]</f>
        <v>13</v>
      </c>
      <c r="G83" s="4">
        <f>IF(Table1[[#This Row],[RequiredDate]]&lt;Table1[[#This Row],[OrderDate]], Table1[[#This Row],[OrderDate]]+7, Table1[[#This Row],[RequiredDate]])</f>
        <v>45066</v>
      </c>
      <c r="H83" s="21">
        <f t="shared" si="11"/>
        <v>13</v>
      </c>
      <c r="I83" s="6" t="str">
        <f>IF(Table1[[#This Row],[New LTD]]&lt;=7,"Yes","No")</f>
        <v>No</v>
      </c>
      <c r="J83" s="6" t="str">
        <f t="shared" si="12"/>
        <v>No</v>
      </c>
      <c r="K83" t="s">
        <v>647</v>
      </c>
      <c r="L83" t="s">
        <v>654</v>
      </c>
      <c r="M83" t="s">
        <v>691</v>
      </c>
      <c r="N83" t="s">
        <v>706</v>
      </c>
      <c r="O83" t="s">
        <v>707</v>
      </c>
      <c r="P83" t="s">
        <v>726</v>
      </c>
      <c r="Q83" t="s">
        <v>733</v>
      </c>
      <c r="R83" t="s">
        <v>1288</v>
      </c>
      <c r="S83" s="6">
        <v>1443.28</v>
      </c>
      <c r="T83" s="6">
        <v>2580.5700000000002</v>
      </c>
      <c r="U83" s="6">
        <f t="shared" si="13"/>
        <v>2580.5700000000002</v>
      </c>
      <c r="V83" s="8">
        <v>0</v>
      </c>
      <c r="W83" s="6">
        <v>18</v>
      </c>
      <c r="X83" s="6">
        <f t="shared" si="14"/>
        <v>46450.26</v>
      </c>
      <c r="Y83">
        <f t="shared" si="15"/>
        <v>25979.040000000001</v>
      </c>
      <c r="Z83" s="6">
        <f t="shared" si="16"/>
        <v>20471.22</v>
      </c>
      <c r="AA83">
        <f t="shared" si="17"/>
        <v>0.4407127107577008</v>
      </c>
      <c r="AB83" t="str">
        <f t="shared" si="18"/>
        <v>5-2023</v>
      </c>
      <c r="AC83" t="str">
        <f t="shared" si="19"/>
        <v>Q2-2023</v>
      </c>
      <c r="AD83" t="str">
        <f t="shared" si="20"/>
        <v>Asia →India →Mumbai</v>
      </c>
      <c r="AE83" t="str">
        <f t="shared" si="21"/>
        <v>High</v>
      </c>
      <c r="AF83" t="str">
        <f>TEXT(Table1[[#This Row],[OrderDate]],"MMM")</f>
        <v>May</v>
      </c>
      <c r="AG83" t="str">
        <f>TEXT(Table1[[#This Row],[OrderDate]],"YYYY")</f>
        <v>2023</v>
      </c>
      <c r="AI83" s="4">
        <f>IF(Table1[[#This Row],[RequiredDate]]&lt;Table1[[#This Row],[OrderDate]], Table1[[#This Row],[OrderDate]]+7, Table1[[#This Row],[RequiredDate]])</f>
        <v>45066</v>
      </c>
      <c r="AJ83">
        <f>IF(Dashboard!$D$3&gt;'Staging Data'!V83,'Staging Data'!V83,Dashboard!D$3)</f>
        <v>0</v>
      </c>
      <c r="AK83" s="19">
        <f>(100%+Dashboard!$D$4)*'Staging Data'!S83</f>
        <v>1515.444</v>
      </c>
      <c r="AL83">
        <f>(100%+Dashboard!$D$5)*'Staging Data'!W83</f>
        <v>20.7</v>
      </c>
    </row>
    <row r="84" spans="1:38" x14ac:dyDescent="0.35">
      <c r="A84" s="6" t="s">
        <v>524</v>
      </c>
      <c r="B84" s="4">
        <v>45056</v>
      </c>
      <c r="C84" s="4">
        <v>45060</v>
      </c>
      <c r="D84" s="4">
        <f>IF(Table1[[#This Row],[RequiredDate]]&lt;Table1[[#This Row],[OrderDate]],Table1[[#This Row],[RequiredDate]],Table1[[#This Row],[OrderDate]])</f>
        <v>45056</v>
      </c>
      <c r="E84" s="4">
        <f>IF(Table1[[#This Row],[RequiredDate]]&gt;Table1[[#This Row],[OrderDate]],Table1[[#This Row],[RequiredDate]],Table1[[#This Row],[OrderDate]])</f>
        <v>45060</v>
      </c>
      <c r="F84" s="21">
        <f>Table1[[#This Row],[New RD]]-Table1[[#This Row],[new   od]]</f>
        <v>4</v>
      </c>
      <c r="G84" s="4">
        <f>IF(Table1[[#This Row],[RequiredDate]]&lt;Table1[[#This Row],[OrderDate]], Table1[[#This Row],[OrderDate]]+7, Table1[[#This Row],[RequiredDate]])</f>
        <v>45060</v>
      </c>
      <c r="H84" s="21">
        <f t="shared" si="11"/>
        <v>4</v>
      </c>
      <c r="I84" s="6" t="str">
        <f>IF(Table1[[#This Row],[New LTD]]&lt;=7,"Yes","No")</f>
        <v>Yes</v>
      </c>
      <c r="J84" s="6" t="str">
        <f t="shared" si="12"/>
        <v>Yes</v>
      </c>
      <c r="K84" t="s">
        <v>647</v>
      </c>
      <c r="L84" t="s">
        <v>654</v>
      </c>
      <c r="M84" t="s">
        <v>680</v>
      </c>
      <c r="N84" t="s">
        <v>703</v>
      </c>
      <c r="O84" t="s">
        <v>710</v>
      </c>
      <c r="P84" t="s">
        <v>712</v>
      </c>
      <c r="Q84" t="s">
        <v>732</v>
      </c>
      <c r="R84" t="s">
        <v>1243</v>
      </c>
      <c r="S84" s="6">
        <v>622.6</v>
      </c>
      <c r="T84" s="6">
        <v>833.69</v>
      </c>
      <c r="U84" s="6">
        <f t="shared" si="13"/>
        <v>833.69</v>
      </c>
      <c r="V84" s="8">
        <v>0.20899999999999999</v>
      </c>
      <c r="W84" s="6">
        <v>14</v>
      </c>
      <c r="X84" s="6">
        <f t="shared" si="14"/>
        <v>9232.2830599999998</v>
      </c>
      <c r="Y84">
        <f t="shared" si="15"/>
        <v>8716.4</v>
      </c>
      <c r="Z84" s="6">
        <f t="shared" si="16"/>
        <v>515.88306000000011</v>
      </c>
      <c r="AA84">
        <f t="shared" si="17"/>
        <v>5.5878167582959715E-2</v>
      </c>
      <c r="AB84" t="str">
        <f t="shared" si="18"/>
        <v>5-2023</v>
      </c>
      <c r="AC84" t="str">
        <f t="shared" si="19"/>
        <v>Q2-2023</v>
      </c>
      <c r="AD84" t="str">
        <f t="shared" si="20"/>
        <v>Asia →India →Delhi</v>
      </c>
      <c r="AE84" t="str">
        <f t="shared" si="21"/>
        <v>Medium</v>
      </c>
      <c r="AF84" t="str">
        <f>TEXT(Table1[[#This Row],[OrderDate]],"MMM")</f>
        <v>May</v>
      </c>
      <c r="AG84" t="str">
        <f>TEXT(Table1[[#This Row],[OrderDate]],"YYYY")</f>
        <v>2023</v>
      </c>
      <c r="AI84" s="4">
        <f>IF(Table1[[#This Row],[RequiredDate]]&lt;Table1[[#This Row],[OrderDate]], Table1[[#This Row],[OrderDate]]+7, Table1[[#This Row],[RequiredDate]])</f>
        <v>45060</v>
      </c>
      <c r="AJ84">
        <f>IF(Dashboard!$D$3&gt;'Staging Data'!V84,'Staging Data'!V84,Dashboard!D$3)</f>
        <v>0.2</v>
      </c>
      <c r="AK84" s="19">
        <f>(100%+Dashboard!$D$4)*'Staging Data'!S84</f>
        <v>653.73</v>
      </c>
      <c r="AL84">
        <f>(100%+Dashboard!$D$5)*'Staging Data'!W84</f>
        <v>16.099999999999998</v>
      </c>
    </row>
    <row r="85" spans="1:38" x14ac:dyDescent="0.35">
      <c r="A85" s="6" t="s">
        <v>535</v>
      </c>
      <c r="B85" s="4">
        <v>45056</v>
      </c>
      <c r="C85" s="4">
        <v>45073</v>
      </c>
      <c r="D85" s="4">
        <f>IF(Table1[[#This Row],[RequiredDate]]&lt;Table1[[#This Row],[OrderDate]],Table1[[#This Row],[RequiredDate]],Table1[[#This Row],[OrderDate]])</f>
        <v>45056</v>
      </c>
      <c r="E85" s="4">
        <f>IF(Table1[[#This Row],[RequiredDate]]&gt;Table1[[#This Row],[OrderDate]],Table1[[#This Row],[RequiredDate]],Table1[[#This Row],[OrderDate]])</f>
        <v>45073</v>
      </c>
      <c r="F85" s="21">
        <f>Table1[[#This Row],[New RD]]-Table1[[#This Row],[new   od]]</f>
        <v>17</v>
      </c>
      <c r="G85" s="4">
        <f>IF(Table1[[#This Row],[RequiredDate]]&lt;Table1[[#This Row],[OrderDate]], Table1[[#This Row],[OrderDate]]+7, Table1[[#This Row],[RequiredDate]])</f>
        <v>45073</v>
      </c>
      <c r="H85" s="21">
        <f t="shared" si="11"/>
        <v>17</v>
      </c>
      <c r="I85" s="6" t="str">
        <f>IF(Table1[[#This Row],[New LTD]]&lt;=7,"Yes","No")</f>
        <v>No</v>
      </c>
      <c r="J85" s="6" t="str">
        <f t="shared" si="12"/>
        <v>No</v>
      </c>
      <c r="K85" t="s">
        <v>647</v>
      </c>
      <c r="L85" t="s">
        <v>654</v>
      </c>
      <c r="M85" t="s">
        <v>691</v>
      </c>
      <c r="N85" t="s">
        <v>704</v>
      </c>
      <c r="O85" t="s">
        <v>707</v>
      </c>
      <c r="P85" t="s">
        <v>724</v>
      </c>
      <c r="Q85" t="s">
        <v>731</v>
      </c>
      <c r="R85" t="s">
        <v>1254</v>
      </c>
      <c r="S85" s="6">
        <v>1286.1600000000001</v>
      </c>
      <c r="T85" s="6">
        <v>3101.11</v>
      </c>
      <c r="U85" s="6">
        <f t="shared" si="13"/>
        <v>3101.11</v>
      </c>
      <c r="V85" s="8">
        <v>0.1</v>
      </c>
      <c r="W85" s="6">
        <v>23</v>
      </c>
      <c r="X85" s="6">
        <f t="shared" si="14"/>
        <v>64192.976999999999</v>
      </c>
      <c r="Y85">
        <f t="shared" si="15"/>
        <v>29581.68</v>
      </c>
      <c r="Z85" s="6">
        <f t="shared" si="16"/>
        <v>34611.296999999999</v>
      </c>
      <c r="AA85">
        <f t="shared" si="17"/>
        <v>0.53917575749758417</v>
      </c>
      <c r="AB85" t="str">
        <f t="shared" si="18"/>
        <v>5-2023</v>
      </c>
      <c r="AC85" t="str">
        <f t="shared" si="19"/>
        <v>Q2-2023</v>
      </c>
      <c r="AD85" t="str">
        <f t="shared" si="20"/>
        <v>Asia →India →Mumbai</v>
      </c>
      <c r="AE85" t="str">
        <f t="shared" si="21"/>
        <v>High</v>
      </c>
      <c r="AF85" t="str">
        <f>TEXT(Table1[[#This Row],[OrderDate]],"MMM")</f>
        <v>May</v>
      </c>
      <c r="AG85" t="str">
        <f>TEXT(Table1[[#This Row],[OrderDate]],"YYYY")</f>
        <v>2023</v>
      </c>
      <c r="AI85" s="4">
        <f>IF(Table1[[#This Row],[RequiredDate]]&lt;Table1[[#This Row],[OrderDate]], Table1[[#This Row],[OrderDate]]+7, Table1[[#This Row],[RequiredDate]])</f>
        <v>45073</v>
      </c>
      <c r="AJ85">
        <f>IF(Dashboard!$D$3&gt;'Staging Data'!V85,'Staging Data'!V85,Dashboard!D$3)</f>
        <v>0.1</v>
      </c>
      <c r="AK85" s="19">
        <f>(100%+Dashboard!$D$4)*'Staging Data'!S85</f>
        <v>1350.4680000000001</v>
      </c>
      <c r="AL85">
        <f>(100%+Dashboard!$D$5)*'Staging Data'!W85</f>
        <v>26.45</v>
      </c>
    </row>
    <row r="86" spans="1:38" x14ac:dyDescent="0.35">
      <c r="A86" s="6" t="s">
        <v>36</v>
      </c>
      <c r="B86" s="4">
        <v>45057</v>
      </c>
      <c r="C86" s="4">
        <v>45074</v>
      </c>
      <c r="D86" s="4">
        <f>IF(Table1[[#This Row],[RequiredDate]]&lt;Table1[[#This Row],[OrderDate]],Table1[[#This Row],[RequiredDate]],Table1[[#This Row],[OrderDate]])</f>
        <v>45057</v>
      </c>
      <c r="E86" s="4">
        <f>IF(Table1[[#This Row],[RequiredDate]]&gt;Table1[[#This Row],[OrderDate]],Table1[[#This Row],[RequiredDate]],Table1[[#This Row],[OrderDate]])</f>
        <v>45074</v>
      </c>
      <c r="F86" s="21">
        <f>Table1[[#This Row],[New RD]]-Table1[[#This Row],[new   od]]</f>
        <v>17</v>
      </c>
      <c r="G86" s="4">
        <f>IF(Table1[[#This Row],[RequiredDate]]&lt;Table1[[#This Row],[OrderDate]], Table1[[#This Row],[OrderDate]]+7, Table1[[#This Row],[RequiredDate]])</f>
        <v>45074</v>
      </c>
      <c r="H86" s="21">
        <f t="shared" si="11"/>
        <v>17</v>
      </c>
      <c r="I86" s="6" t="str">
        <f>IF(Table1[[#This Row],[New LTD]]&lt;=7,"Yes","No")</f>
        <v>No</v>
      </c>
      <c r="J86" s="6" t="str">
        <f t="shared" si="12"/>
        <v>No</v>
      </c>
      <c r="K86" t="s">
        <v>647</v>
      </c>
      <c r="L86" t="s">
        <v>659</v>
      </c>
      <c r="M86" t="s">
        <v>676</v>
      </c>
      <c r="N86" t="s">
        <v>706</v>
      </c>
      <c r="O86" t="s">
        <v>709</v>
      </c>
      <c r="P86" t="s">
        <v>718</v>
      </c>
      <c r="Q86" t="s">
        <v>729</v>
      </c>
      <c r="R86" t="s">
        <v>755</v>
      </c>
      <c r="S86" s="6">
        <v>1331.19</v>
      </c>
      <c r="T86" s="6">
        <v>2903.09</v>
      </c>
      <c r="U86" s="6">
        <f t="shared" si="13"/>
        <v>2903.09</v>
      </c>
      <c r="V86" s="8">
        <v>0.14299999999999999</v>
      </c>
      <c r="W86" s="6">
        <v>8</v>
      </c>
      <c r="X86" s="6">
        <f t="shared" si="14"/>
        <v>19903.585040000002</v>
      </c>
      <c r="Y86">
        <f t="shared" si="15"/>
        <v>10649.52</v>
      </c>
      <c r="Z86" s="6">
        <f t="shared" si="16"/>
        <v>9254.0650400000013</v>
      </c>
      <c r="AA86">
        <f t="shared" si="17"/>
        <v>0.46494463290920784</v>
      </c>
      <c r="AB86" t="str">
        <f t="shared" si="18"/>
        <v>5-2023</v>
      </c>
      <c r="AC86" t="str">
        <f t="shared" si="19"/>
        <v>Q2-2023</v>
      </c>
      <c r="AD86" t="str">
        <f t="shared" si="20"/>
        <v>Asia →China →Shenzhen</v>
      </c>
      <c r="AE86" t="str">
        <f t="shared" si="21"/>
        <v>High</v>
      </c>
      <c r="AF86" t="str">
        <f>TEXT(Table1[[#This Row],[OrderDate]],"MMM")</f>
        <v>May</v>
      </c>
      <c r="AG86" t="str">
        <f>TEXT(Table1[[#This Row],[OrderDate]],"YYYY")</f>
        <v>2023</v>
      </c>
      <c r="AI86" s="4">
        <f>IF(Table1[[#This Row],[RequiredDate]]&lt;Table1[[#This Row],[OrderDate]], Table1[[#This Row],[OrderDate]]+7, Table1[[#This Row],[RequiredDate]])</f>
        <v>45074</v>
      </c>
      <c r="AJ86">
        <f>IF(Dashboard!$D$3&gt;'Staging Data'!V86,'Staging Data'!V86,Dashboard!D$3)</f>
        <v>0.14299999999999999</v>
      </c>
      <c r="AK86" s="19">
        <f>(100%+Dashboard!$D$4)*'Staging Data'!S86</f>
        <v>1397.7495000000001</v>
      </c>
      <c r="AL86">
        <f>(100%+Dashboard!$D$5)*'Staging Data'!W86</f>
        <v>9.1999999999999993</v>
      </c>
    </row>
    <row r="87" spans="1:38" x14ac:dyDescent="0.35">
      <c r="A87" s="6" t="s">
        <v>121</v>
      </c>
      <c r="B87" s="4">
        <v>45057</v>
      </c>
      <c r="C87" s="4">
        <v>45084</v>
      </c>
      <c r="D87" s="4">
        <f>IF(Table1[[#This Row],[RequiredDate]]&lt;Table1[[#This Row],[OrderDate]],Table1[[#This Row],[RequiredDate]],Table1[[#This Row],[OrderDate]])</f>
        <v>45057</v>
      </c>
      <c r="E87" s="4">
        <f>IF(Table1[[#This Row],[RequiredDate]]&gt;Table1[[#This Row],[OrderDate]],Table1[[#This Row],[RequiredDate]],Table1[[#This Row],[OrderDate]])</f>
        <v>45084</v>
      </c>
      <c r="F87" s="21">
        <f>Table1[[#This Row],[New RD]]-Table1[[#This Row],[new   od]]</f>
        <v>27</v>
      </c>
      <c r="G87" s="4">
        <f>IF(Table1[[#This Row],[RequiredDate]]&lt;Table1[[#This Row],[OrderDate]], Table1[[#This Row],[OrderDate]]+7, Table1[[#This Row],[RequiredDate]])</f>
        <v>45084</v>
      </c>
      <c r="H87" s="21">
        <f t="shared" si="11"/>
        <v>27</v>
      </c>
      <c r="I87" s="6" t="str">
        <f>IF(Table1[[#This Row],[New LTD]]&lt;=7,"Yes","No")</f>
        <v>No</v>
      </c>
      <c r="J87" s="6" t="str">
        <f t="shared" si="12"/>
        <v>No</v>
      </c>
      <c r="K87" t="s">
        <v>646</v>
      </c>
      <c r="L87" t="s">
        <v>650</v>
      </c>
      <c r="M87" t="s">
        <v>675</v>
      </c>
      <c r="N87" t="s">
        <v>701</v>
      </c>
      <c r="O87" t="s">
        <v>708</v>
      </c>
      <c r="P87" t="s">
        <v>713</v>
      </c>
      <c r="Q87" t="s">
        <v>730</v>
      </c>
      <c r="R87" t="s">
        <v>840</v>
      </c>
      <c r="S87" s="6">
        <v>12.85</v>
      </c>
      <c r="T87" s="6">
        <v>15.41</v>
      </c>
      <c r="U87" s="6">
        <f t="shared" si="13"/>
        <v>15.41</v>
      </c>
      <c r="V87" s="8">
        <v>0.13700000000000001</v>
      </c>
      <c r="W87" s="6">
        <v>39</v>
      </c>
      <c r="X87" s="6">
        <f t="shared" si="14"/>
        <v>518.65436999999997</v>
      </c>
      <c r="Y87">
        <f t="shared" si="15"/>
        <v>501.15</v>
      </c>
      <c r="Z87" s="6">
        <f t="shared" si="16"/>
        <v>17.504369999999994</v>
      </c>
      <c r="AA87">
        <f t="shared" si="17"/>
        <v>3.3749585489851353E-2</v>
      </c>
      <c r="AB87" t="str">
        <f t="shared" si="18"/>
        <v>5-2023</v>
      </c>
      <c r="AC87" t="str">
        <f t="shared" si="19"/>
        <v>Q2-2023</v>
      </c>
      <c r="AD87" t="str">
        <f t="shared" si="20"/>
        <v>Africa →Kenya →Mombasa</v>
      </c>
      <c r="AE87" t="str">
        <f t="shared" si="21"/>
        <v>Low</v>
      </c>
      <c r="AF87" t="str">
        <f>TEXT(Table1[[#This Row],[OrderDate]],"MMM")</f>
        <v>May</v>
      </c>
      <c r="AG87" t="str">
        <f>TEXT(Table1[[#This Row],[OrderDate]],"YYYY")</f>
        <v>2023</v>
      </c>
      <c r="AI87" s="4">
        <f>IF(Table1[[#This Row],[RequiredDate]]&lt;Table1[[#This Row],[OrderDate]], Table1[[#This Row],[OrderDate]]+7, Table1[[#This Row],[RequiredDate]])</f>
        <v>45084</v>
      </c>
      <c r="AJ87">
        <f>IF(Dashboard!$D$3&gt;'Staging Data'!V87,'Staging Data'!V87,Dashboard!D$3)</f>
        <v>0.13700000000000001</v>
      </c>
      <c r="AK87" s="19">
        <f>(100%+Dashboard!$D$4)*'Staging Data'!S87</f>
        <v>13.4925</v>
      </c>
      <c r="AL87">
        <f>(100%+Dashboard!$D$5)*'Staging Data'!W87</f>
        <v>44.849999999999994</v>
      </c>
    </row>
    <row r="88" spans="1:38" x14ac:dyDescent="0.35">
      <c r="A88" s="6" t="s">
        <v>484</v>
      </c>
      <c r="B88" s="4">
        <v>45060</v>
      </c>
      <c r="C88" s="4">
        <v>45068</v>
      </c>
      <c r="D88" s="4">
        <f>IF(Table1[[#This Row],[RequiredDate]]&lt;Table1[[#This Row],[OrderDate]],Table1[[#This Row],[RequiredDate]],Table1[[#This Row],[OrderDate]])</f>
        <v>45060</v>
      </c>
      <c r="E88" s="4">
        <f>IF(Table1[[#This Row],[RequiredDate]]&gt;Table1[[#This Row],[OrderDate]],Table1[[#This Row],[RequiredDate]],Table1[[#This Row],[OrderDate]])</f>
        <v>45068</v>
      </c>
      <c r="F88" s="21">
        <f>Table1[[#This Row],[New RD]]-Table1[[#This Row],[new   od]]</f>
        <v>8</v>
      </c>
      <c r="G88" s="4">
        <f>IF(Table1[[#This Row],[RequiredDate]]&lt;Table1[[#This Row],[OrderDate]], Table1[[#This Row],[OrderDate]]+7, Table1[[#This Row],[RequiredDate]])</f>
        <v>45068</v>
      </c>
      <c r="H88" s="21">
        <f t="shared" si="11"/>
        <v>8</v>
      </c>
      <c r="I88" s="6" t="str">
        <f>IF(Table1[[#This Row],[New LTD]]&lt;=7,"Yes","No")</f>
        <v>No</v>
      </c>
      <c r="J88" s="6" t="str">
        <f t="shared" si="12"/>
        <v>No</v>
      </c>
      <c r="K88" t="s">
        <v>646</v>
      </c>
      <c r="L88" t="s">
        <v>650</v>
      </c>
      <c r="M88" t="s">
        <v>675</v>
      </c>
      <c r="N88" t="s">
        <v>705</v>
      </c>
      <c r="O88" t="s">
        <v>710</v>
      </c>
      <c r="P88" t="s">
        <v>721</v>
      </c>
      <c r="Q88" t="s">
        <v>728</v>
      </c>
      <c r="R88" t="s">
        <v>1203</v>
      </c>
      <c r="S88" s="6">
        <v>432.01</v>
      </c>
      <c r="T88" s="6">
        <v>913.78</v>
      </c>
      <c r="U88" s="6">
        <f t="shared" si="13"/>
        <v>913.78</v>
      </c>
      <c r="V88" s="8">
        <v>4.9000000000000002E-2</v>
      </c>
      <c r="W88" s="6">
        <v>12</v>
      </c>
      <c r="X88" s="6">
        <f t="shared" si="14"/>
        <v>10428.057360000001</v>
      </c>
      <c r="Y88">
        <f t="shared" si="15"/>
        <v>5184.12</v>
      </c>
      <c r="Z88" s="6">
        <f t="shared" si="16"/>
        <v>5243.9373600000008</v>
      </c>
      <c r="AA88">
        <f t="shared" si="17"/>
        <v>0.50286809699711899</v>
      </c>
      <c r="AB88" t="str">
        <f t="shared" si="18"/>
        <v>5-2023</v>
      </c>
      <c r="AC88" t="str">
        <f t="shared" si="19"/>
        <v>Q2-2023</v>
      </c>
      <c r="AD88" t="str">
        <f t="shared" si="20"/>
        <v>Africa →Kenya →Mombasa</v>
      </c>
      <c r="AE88" t="str">
        <f t="shared" si="21"/>
        <v>Medium</v>
      </c>
      <c r="AF88" t="str">
        <f>TEXT(Table1[[#This Row],[OrderDate]],"MMM")</f>
        <v>May</v>
      </c>
      <c r="AG88" t="str">
        <f>TEXT(Table1[[#This Row],[OrderDate]],"YYYY")</f>
        <v>2023</v>
      </c>
      <c r="AI88" s="4">
        <f>IF(Table1[[#This Row],[RequiredDate]]&lt;Table1[[#This Row],[OrderDate]], Table1[[#This Row],[OrderDate]]+7, Table1[[#This Row],[RequiredDate]])</f>
        <v>45068</v>
      </c>
      <c r="AJ88">
        <f>IF(Dashboard!$D$3&gt;'Staging Data'!V88,'Staging Data'!V88,Dashboard!D$3)</f>
        <v>4.9000000000000002E-2</v>
      </c>
      <c r="AK88" s="19">
        <f>(100%+Dashboard!$D$4)*'Staging Data'!S88</f>
        <v>453.6105</v>
      </c>
      <c r="AL88">
        <f>(100%+Dashboard!$D$5)*'Staging Data'!W88</f>
        <v>13.799999999999999</v>
      </c>
    </row>
    <row r="89" spans="1:38" x14ac:dyDescent="0.35">
      <c r="A89" s="6" t="s">
        <v>454</v>
      </c>
      <c r="B89" s="4">
        <v>45063</v>
      </c>
      <c r="C89" s="4">
        <v>45080</v>
      </c>
      <c r="D89" s="4">
        <f>IF(Table1[[#This Row],[RequiredDate]]&lt;Table1[[#This Row],[OrderDate]],Table1[[#This Row],[RequiredDate]],Table1[[#This Row],[OrderDate]])</f>
        <v>45063</v>
      </c>
      <c r="E89" s="4">
        <f>IF(Table1[[#This Row],[RequiredDate]]&gt;Table1[[#This Row],[OrderDate]],Table1[[#This Row],[RequiredDate]],Table1[[#This Row],[OrderDate]])</f>
        <v>45080</v>
      </c>
      <c r="F89" s="21">
        <f>Table1[[#This Row],[New RD]]-Table1[[#This Row],[new   od]]</f>
        <v>17</v>
      </c>
      <c r="G89" s="4">
        <f>IF(Table1[[#This Row],[RequiredDate]]&lt;Table1[[#This Row],[OrderDate]], Table1[[#This Row],[OrderDate]]+7, Table1[[#This Row],[RequiredDate]])</f>
        <v>45080</v>
      </c>
      <c r="H89" s="21">
        <f t="shared" si="11"/>
        <v>17</v>
      </c>
      <c r="I89" s="6" t="str">
        <f>IF(Table1[[#This Row],[New LTD]]&lt;=7,"Yes","No")</f>
        <v>No</v>
      </c>
      <c r="J89" s="6" t="str">
        <f t="shared" si="12"/>
        <v>No</v>
      </c>
      <c r="K89" t="s">
        <v>647</v>
      </c>
      <c r="L89" t="s">
        <v>659</v>
      </c>
      <c r="M89" t="s">
        <v>699</v>
      </c>
      <c r="N89" t="s">
        <v>703</v>
      </c>
      <c r="O89" t="s">
        <v>710</v>
      </c>
      <c r="P89" t="s">
        <v>724</v>
      </c>
      <c r="Q89" t="s">
        <v>728</v>
      </c>
      <c r="R89" t="s">
        <v>1173</v>
      </c>
      <c r="S89" s="6">
        <v>979.59</v>
      </c>
      <c r="T89" s="6">
        <v>2210.94</v>
      </c>
      <c r="U89" s="6">
        <f t="shared" si="13"/>
        <v>2210.94</v>
      </c>
      <c r="V89" s="8">
        <v>0.15</v>
      </c>
      <c r="W89" s="6">
        <v>11</v>
      </c>
      <c r="X89" s="6">
        <f t="shared" si="14"/>
        <v>20672.289000000001</v>
      </c>
      <c r="Y89">
        <f t="shared" si="15"/>
        <v>10775.49</v>
      </c>
      <c r="Z89" s="6">
        <f t="shared" si="16"/>
        <v>9896.7990000000009</v>
      </c>
      <c r="AA89">
        <f t="shared" si="17"/>
        <v>0.47874712858358359</v>
      </c>
      <c r="AB89" t="str">
        <f t="shared" si="18"/>
        <v>5-2023</v>
      </c>
      <c r="AC89" t="str">
        <f t="shared" si="19"/>
        <v>Q2-2023</v>
      </c>
      <c r="AD89" t="str">
        <f t="shared" si="20"/>
        <v>Asia →China →Beijing</v>
      </c>
      <c r="AE89" t="str">
        <f t="shared" si="21"/>
        <v>High</v>
      </c>
      <c r="AF89" t="str">
        <f>TEXT(Table1[[#This Row],[OrderDate]],"MMM")</f>
        <v>May</v>
      </c>
      <c r="AG89" t="str">
        <f>TEXT(Table1[[#This Row],[OrderDate]],"YYYY")</f>
        <v>2023</v>
      </c>
      <c r="AI89" s="4">
        <f>IF(Table1[[#This Row],[RequiredDate]]&lt;Table1[[#This Row],[OrderDate]], Table1[[#This Row],[OrderDate]]+7, Table1[[#This Row],[RequiredDate]])</f>
        <v>45080</v>
      </c>
      <c r="AJ89">
        <f>IF(Dashboard!$D$3&gt;'Staging Data'!V89,'Staging Data'!V89,Dashboard!D$3)</f>
        <v>0.15</v>
      </c>
      <c r="AK89" s="19">
        <f>(100%+Dashboard!$D$4)*'Staging Data'!S89</f>
        <v>1028.5695000000001</v>
      </c>
      <c r="AL89">
        <f>(100%+Dashboard!$D$5)*'Staging Data'!W89</f>
        <v>12.649999999999999</v>
      </c>
    </row>
    <row r="90" spans="1:38" x14ac:dyDescent="0.35">
      <c r="A90" s="6" t="s">
        <v>475</v>
      </c>
      <c r="B90" s="4">
        <v>45063</v>
      </c>
      <c r="C90" s="4">
        <v>45092</v>
      </c>
      <c r="D90" s="4">
        <f>IF(Table1[[#This Row],[RequiredDate]]&lt;Table1[[#This Row],[OrderDate]],Table1[[#This Row],[RequiredDate]],Table1[[#This Row],[OrderDate]])</f>
        <v>45063</v>
      </c>
      <c r="E90" s="4">
        <f>IF(Table1[[#This Row],[RequiredDate]]&gt;Table1[[#This Row],[OrderDate]],Table1[[#This Row],[RequiredDate]],Table1[[#This Row],[OrderDate]])</f>
        <v>45092</v>
      </c>
      <c r="F90" s="21">
        <f>Table1[[#This Row],[New RD]]-Table1[[#This Row],[new   od]]</f>
        <v>29</v>
      </c>
      <c r="G90" s="4">
        <f>IF(Table1[[#This Row],[RequiredDate]]&lt;Table1[[#This Row],[OrderDate]], Table1[[#This Row],[OrderDate]]+7, Table1[[#This Row],[RequiredDate]])</f>
        <v>45092</v>
      </c>
      <c r="H90" s="21">
        <f t="shared" si="11"/>
        <v>29</v>
      </c>
      <c r="I90" s="6" t="str">
        <f>IF(Table1[[#This Row],[New LTD]]&lt;=7,"Yes","No")</f>
        <v>No</v>
      </c>
      <c r="J90" s="6" t="str">
        <f t="shared" si="12"/>
        <v>No</v>
      </c>
      <c r="K90" t="s">
        <v>646</v>
      </c>
      <c r="L90" t="s">
        <v>661</v>
      </c>
      <c r="M90" t="s">
        <v>687</v>
      </c>
      <c r="N90" t="s">
        <v>706</v>
      </c>
      <c r="O90" t="s">
        <v>707</v>
      </c>
      <c r="P90" t="s">
        <v>723</v>
      </c>
      <c r="Q90" t="s">
        <v>733</v>
      </c>
      <c r="R90" t="s">
        <v>1194</v>
      </c>
      <c r="S90" s="6">
        <v>40.89</v>
      </c>
      <c r="T90" s="6">
        <v>62.82</v>
      </c>
      <c r="U90" s="6">
        <f t="shared" si="13"/>
        <v>62.82</v>
      </c>
      <c r="V90" s="8">
        <v>0.129</v>
      </c>
      <c r="W90" s="6">
        <v>17</v>
      </c>
      <c r="X90" s="6">
        <f t="shared" si="14"/>
        <v>930.17574000000002</v>
      </c>
      <c r="Y90">
        <f t="shared" si="15"/>
        <v>695.13</v>
      </c>
      <c r="Z90" s="6">
        <f t="shared" si="16"/>
        <v>235.04574000000002</v>
      </c>
      <c r="AA90">
        <f t="shared" si="17"/>
        <v>0.25268960465470752</v>
      </c>
      <c r="AB90" t="str">
        <f t="shared" si="18"/>
        <v>5-2023</v>
      </c>
      <c r="AC90" t="str">
        <f t="shared" si="19"/>
        <v>Q2-2023</v>
      </c>
      <c r="AD90" t="str">
        <f t="shared" si="20"/>
        <v>Africa →South Africa →Durban</v>
      </c>
      <c r="AE90" t="str">
        <f t="shared" si="21"/>
        <v>Low</v>
      </c>
      <c r="AF90" t="str">
        <f>TEXT(Table1[[#This Row],[OrderDate]],"MMM")</f>
        <v>May</v>
      </c>
      <c r="AG90" t="str">
        <f>TEXT(Table1[[#This Row],[OrderDate]],"YYYY")</f>
        <v>2023</v>
      </c>
      <c r="AI90" s="4">
        <f>IF(Table1[[#This Row],[RequiredDate]]&lt;Table1[[#This Row],[OrderDate]], Table1[[#This Row],[OrderDate]]+7, Table1[[#This Row],[RequiredDate]])</f>
        <v>45092</v>
      </c>
      <c r="AJ90">
        <f>IF(Dashboard!$D$3&gt;'Staging Data'!V90,'Staging Data'!V90,Dashboard!D$3)</f>
        <v>0.129</v>
      </c>
      <c r="AK90" s="19">
        <f>(100%+Dashboard!$D$4)*'Staging Data'!S90</f>
        <v>42.9345</v>
      </c>
      <c r="AL90">
        <f>(100%+Dashboard!$D$5)*'Staging Data'!W90</f>
        <v>19.549999999999997</v>
      </c>
    </row>
    <row r="91" spans="1:38" x14ac:dyDescent="0.35">
      <c r="A91" s="6" t="s">
        <v>89</v>
      </c>
      <c r="B91" s="4">
        <v>45066</v>
      </c>
      <c r="C91" s="4">
        <v>45064</v>
      </c>
      <c r="D91" s="4">
        <f>IF(Table1[[#This Row],[RequiredDate]]&lt;Table1[[#This Row],[OrderDate]],Table1[[#This Row],[RequiredDate]],Table1[[#This Row],[OrderDate]])</f>
        <v>45064</v>
      </c>
      <c r="E91" s="4">
        <f>IF(Table1[[#This Row],[RequiredDate]]&gt;Table1[[#This Row],[OrderDate]],Table1[[#This Row],[RequiredDate]],Table1[[#This Row],[OrderDate]])</f>
        <v>45066</v>
      </c>
      <c r="F91" s="21">
        <f>Table1[[#This Row],[New RD]]-Table1[[#This Row],[new   od]]</f>
        <v>2</v>
      </c>
      <c r="G91" s="4">
        <f>IF(Table1[[#This Row],[RequiredDate]]&lt;Table1[[#This Row],[OrderDate]], Table1[[#This Row],[OrderDate]]+7, Table1[[#This Row],[RequiredDate]])</f>
        <v>45073</v>
      </c>
      <c r="H91" s="21">
        <f t="shared" si="11"/>
        <v>7</v>
      </c>
      <c r="I91" s="6" t="str">
        <f>IF(Table1[[#This Row],[New LTD]]&lt;=7,"Yes","No")</f>
        <v>Yes</v>
      </c>
      <c r="J91" s="6" t="str">
        <f t="shared" si="12"/>
        <v>Yes</v>
      </c>
      <c r="K91" t="s">
        <v>646</v>
      </c>
      <c r="L91" t="s">
        <v>661</v>
      </c>
      <c r="M91" t="s">
        <v>687</v>
      </c>
      <c r="N91" t="s">
        <v>701</v>
      </c>
      <c r="O91" t="s">
        <v>710</v>
      </c>
      <c r="P91" t="s">
        <v>720</v>
      </c>
      <c r="Q91" t="s">
        <v>727</v>
      </c>
      <c r="R91" t="s">
        <v>808</v>
      </c>
      <c r="S91" s="6">
        <v>917.88</v>
      </c>
      <c r="T91" s="6">
        <v>1347.92</v>
      </c>
      <c r="U91" s="6">
        <f t="shared" si="13"/>
        <v>1347.92</v>
      </c>
      <c r="V91" s="8">
        <v>0.34300000000000003</v>
      </c>
      <c r="W91" s="6">
        <v>5</v>
      </c>
      <c r="X91" s="6">
        <f t="shared" si="14"/>
        <v>4427.9172000000008</v>
      </c>
      <c r="Y91">
        <f t="shared" si="15"/>
        <v>4589.3999999999996</v>
      </c>
      <c r="Z91" s="6">
        <f t="shared" si="16"/>
        <v>-161.48279999999886</v>
      </c>
      <c r="AA91">
        <f t="shared" si="17"/>
        <v>-3.6469245630880096E-2</v>
      </c>
      <c r="AB91" t="str">
        <f t="shared" si="18"/>
        <v>5-2023</v>
      </c>
      <c r="AC91" t="str">
        <f t="shared" si="19"/>
        <v>Q2-2023</v>
      </c>
      <c r="AD91" t="str">
        <f t="shared" si="20"/>
        <v>Africa →South Africa →Durban</v>
      </c>
      <c r="AE91" t="str">
        <f t="shared" si="21"/>
        <v>Medium</v>
      </c>
      <c r="AF91" t="str">
        <f>TEXT(Table1[[#This Row],[OrderDate]],"MMM")</f>
        <v>May</v>
      </c>
      <c r="AG91" t="str">
        <f>TEXT(Table1[[#This Row],[OrderDate]],"YYYY")</f>
        <v>2023</v>
      </c>
      <c r="AI91" s="4">
        <f>IF(Table1[[#This Row],[RequiredDate]]&lt;Table1[[#This Row],[OrderDate]], Table1[[#This Row],[OrderDate]]+7, Table1[[#This Row],[RequiredDate]])</f>
        <v>45073</v>
      </c>
      <c r="AJ91">
        <f>IF(Dashboard!$D$3&gt;'Staging Data'!V91,'Staging Data'!V91,Dashboard!D$3)</f>
        <v>0.2</v>
      </c>
      <c r="AK91" s="19">
        <f>(100%+Dashboard!$D$4)*'Staging Data'!S91</f>
        <v>963.774</v>
      </c>
      <c r="AL91">
        <f>(100%+Dashboard!$D$5)*'Staging Data'!W91</f>
        <v>5.75</v>
      </c>
    </row>
    <row r="92" spans="1:38" x14ac:dyDescent="0.35">
      <c r="A92" s="6" t="s">
        <v>274</v>
      </c>
      <c r="B92" s="4">
        <v>45066</v>
      </c>
      <c r="C92" s="4">
        <v>45084</v>
      </c>
      <c r="D92" s="4">
        <f>IF(Table1[[#This Row],[RequiredDate]]&lt;Table1[[#This Row],[OrderDate]],Table1[[#This Row],[RequiredDate]],Table1[[#This Row],[OrderDate]])</f>
        <v>45066</v>
      </c>
      <c r="E92" s="4">
        <f>IF(Table1[[#This Row],[RequiredDate]]&gt;Table1[[#This Row],[OrderDate]],Table1[[#This Row],[RequiredDate]],Table1[[#This Row],[OrderDate]])</f>
        <v>45084</v>
      </c>
      <c r="F92" s="21">
        <f>Table1[[#This Row],[New RD]]-Table1[[#This Row],[new   od]]</f>
        <v>18</v>
      </c>
      <c r="G92" s="4">
        <f>IF(Table1[[#This Row],[RequiredDate]]&lt;Table1[[#This Row],[OrderDate]], Table1[[#This Row],[OrderDate]]+7, Table1[[#This Row],[RequiredDate]])</f>
        <v>45084</v>
      </c>
      <c r="H92" s="21">
        <f t="shared" si="11"/>
        <v>18</v>
      </c>
      <c r="I92" s="6" t="str">
        <f>IF(Table1[[#This Row],[New LTD]]&lt;=7,"Yes","No")</f>
        <v>No</v>
      </c>
      <c r="J92" s="6" t="str">
        <f t="shared" si="12"/>
        <v>No</v>
      </c>
      <c r="K92" t="s">
        <v>646</v>
      </c>
      <c r="L92" t="s">
        <v>651</v>
      </c>
      <c r="M92" t="s">
        <v>663</v>
      </c>
      <c r="N92" t="s">
        <v>706</v>
      </c>
      <c r="O92" t="s">
        <v>710</v>
      </c>
      <c r="P92" t="s">
        <v>718</v>
      </c>
      <c r="Q92" t="s">
        <v>727</v>
      </c>
      <c r="R92" t="s">
        <v>994</v>
      </c>
      <c r="S92" s="6">
        <v>1120.06</v>
      </c>
      <c r="T92" s="6">
        <v>2068.21</v>
      </c>
      <c r="U92" s="6">
        <f t="shared" si="13"/>
        <v>2068.21</v>
      </c>
      <c r="V92" s="8">
        <v>7.8E-2</v>
      </c>
      <c r="W92" s="6">
        <v>12</v>
      </c>
      <c r="X92" s="6">
        <f t="shared" si="14"/>
        <v>22882.675440000003</v>
      </c>
      <c r="Y92">
        <f t="shared" si="15"/>
        <v>13440.72</v>
      </c>
      <c r="Z92" s="6">
        <f t="shared" si="16"/>
        <v>9441.9554400000034</v>
      </c>
      <c r="AA92">
        <f t="shared" si="17"/>
        <v>0.41262462795303284</v>
      </c>
      <c r="AB92" t="str">
        <f t="shared" si="18"/>
        <v>5-2023</v>
      </c>
      <c r="AC92" t="str">
        <f t="shared" si="19"/>
        <v>Q2-2023</v>
      </c>
      <c r="AD92" t="str">
        <f t="shared" si="20"/>
        <v>Africa →Nigeria →Port Harcourt</v>
      </c>
      <c r="AE92" t="str">
        <f t="shared" si="21"/>
        <v>High</v>
      </c>
      <c r="AF92" t="str">
        <f>TEXT(Table1[[#This Row],[OrderDate]],"MMM")</f>
        <v>May</v>
      </c>
      <c r="AG92" t="str">
        <f>TEXT(Table1[[#This Row],[OrderDate]],"YYYY")</f>
        <v>2023</v>
      </c>
      <c r="AI92" s="4">
        <f>IF(Table1[[#This Row],[RequiredDate]]&lt;Table1[[#This Row],[OrderDate]], Table1[[#This Row],[OrderDate]]+7, Table1[[#This Row],[RequiredDate]])</f>
        <v>45084</v>
      </c>
      <c r="AJ92">
        <f>IF(Dashboard!$D$3&gt;'Staging Data'!V92,'Staging Data'!V92,Dashboard!D$3)</f>
        <v>7.8E-2</v>
      </c>
      <c r="AK92" s="19">
        <f>(100%+Dashboard!$D$4)*'Staging Data'!S92</f>
        <v>1176.0630000000001</v>
      </c>
      <c r="AL92">
        <f>(100%+Dashboard!$D$5)*'Staging Data'!W92</f>
        <v>13.799999999999999</v>
      </c>
    </row>
    <row r="93" spans="1:38" x14ac:dyDescent="0.35">
      <c r="A93" s="6" t="s">
        <v>399</v>
      </c>
      <c r="B93" s="4">
        <v>45066</v>
      </c>
      <c r="C93" s="4">
        <v>45096</v>
      </c>
      <c r="D93" s="4">
        <f>IF(Table1[[#This Row],[RequiredDate]]&lt;Table1[[#This Row],[OrderDate]],Table1[[#This Row],[RequiredDate]],Table1[[#This Row],[OrderDate]])</f>
        <v>45066</v>
      </c>
      <c r="E93" s="4">
        <f>IF(Table1[[#This Row],[RequiredDate]]&gt;Table1[[#This Row],[OrderDate]],Table1[[#This Row],[RequiredDate]],Table1[[#This Row],[OrderDate]])</f>
        <v>45096</v>
      </c>
      <c r="F93" s="21">
        <f>Table1[[#This Row],[New RD]]-Table1[[#This Row],[new   od]]</f>
        <v>30</v>
      </c>
      <c r="G93" s="4">
        <f>IF(Table1[[#This Row],[RequiredDate]]&lt;Table1[[#This Row],[OrderDate]], Table1[[#This Row],[OrderDate]]+7, Table1[[#This Row],[RequiredDate]])</f>
        <v>45096</v>
      </c>
      <c r="H93" s="21">
        <f t="shared" si="11"/>
        <v>30</v>
      </c>
      <c r="I93" s="6" t="str">
        <f>IF(Table1[[#This Row],[New LTD]]&lt;=7,"Yes","No")</f>
        <v>No</v>
      </c>
      <c r="J93" s="6" t="str">
        <f t="shared" si="12"/>
        <v>No</v>
      </c>
      <c r="K93" t="s">
        <v>647</v>
      </c>
      <c r="L93" t="s">
        <v>654</v>
      </c>
      <c r="M93" t="s">
        <v>680</v>
      </c>
      <c r="N93" t="s">
        <v>703</v>
      </c>
      <c r="O93" t="s">
        <v>709</v>
      </c>
      <c r="P93" t="s">
        <v>722</v>
      </c>
      <c r="Q93" t="s">
        <v>731</v>
      </c>
      <c r="R93" t="s">
        <v>1118</v>
      </c>
      <c r="S93" s="6">
        <v>1161.2</v>
      </c>
      <c r="T93" s="6">
        <v>878.73</v>
      </c>
      <c r="U93" s="6">
        <f t="shared" si="13"/>
        <v>878.73</v>
      </c>
      <c r="V93" s="8">
        <v>0.19</v>
      </c>
      <c r="W93" s="6">
        <v>31</v>
      </c>
      <c r="X93" s="6">
        <f t="shared" si="14"/>
        <v>22064.910300000003</v>
      </c>
      <c r="Y93">
        <f t="shared" si="15"/>
        <v>35997.200000000004</v>
      </c>
      <c r="Z93" s="6">
        <f t="shared" si="16"/>
        <v>-13932.289700000001</v>
      </c>
      <c r="AA93">
        <f t="shared" si="17"/>
        <v>-0.63142290227212028</v>
      </c>
      <c r="AB93" t="str">
        <f t="shared" si="18"/>
        <v>5-2023</v>
      </c>
      <c r="AC93" t="str">
        <f t="shared" si="19"/>
        <v>Q2-2023</v>
      </c>
      <c r="AD93" t="str">
        <f t="shared" si="20"/>
        <v>Asia →India →Delhi</v>
      </c>
      <c r="AE93" t="str">
        <f t="shared" si="21"/>
        <v>Medium</v>
      </c>
      <c r="AF93" t="str">
        <f>TEXT(Table1[[#This Row],[OrderDate]],"MMM")</f>
        <v>May</v>
      </c>
      <c r="AG93" t="str">
        <f>TEXT(Table1[[#This Row],[OrderDate]],"YYYY")</f>
        <v>2023</v>
      </c>
      <c r="AI93" s="4">
        <f>IF(Table1[[#This Row],[RequiredDate]]&lt;Table1[[#This Row],[OrderDate]], Table1[[#This Row],[OrderDate]]+7, Table1[[#This Row],[RequiredDate]])</f>
        <v>45096</v>
      </c>
      <c r="AJ93">
        <f>IF(Dashboard!$D$3&gt;'Staging Data'!V93,'Staging Data'!V93,Dashboard!D$3)</f>
        <v>0.19</v>
      </c>
      <c r="AK93" s="19">
        <f>(100%+Dashboard!$D$4)*'Staging Data'!S93</f>
        <v>1219.26</v>
      </c>
      <c r="AL93">
        <f>(100%+Dashboard!$D$5)*'Staging Data'!W93</f>
        <v>35.65</v>
      </c>
    </row>
    <row r="94" spans="1:38" x14ac:dyDescent="0.35">
      <c r="A94" s="6" t="s">
        <v>244</v>
      </c>
      <c r="B94" s="4">
        <v>45069</v>
      </c>
      <c r="C94" s="4">
        <v>45087</v>
      </c>
      <c r="D94" s="4">
        <f>IF(Table1[[#This Row],[RequiredDate]]&lt;Table1[[#This Row],[OrderDate]],Table1[[#This Row],[RequiredDate]],Table1[[#This Row],[OrderDate]])</f>
        <v>45069</v>
      </c>
      <c r="E94" s="4">
        <f>IF(Table1[[#This Row],[RequiredDate]]&gt;Table1[[#This Row],[OrderDate]],Table1[[#This Row],[RequiredDate]],Table1[[#This Row],[OrderDate]])</f>
        <v>45087</v>
      </c>
      <c r="F94" s="21">
        <f>Table1[[#This Row],[New RD]]-Table1[[#This Row],[new   od]]</f>
        <v>18</v>
      </c>
      <c r="G94" s="4">
        <f>IF(Table1[[#This Row],[RequiredDate]]&lt;Table1[[#This Row],[OrderDate]], Table1[[#This Row],[OrderDate]]+7, Table1[[#This Row],[RequiredDate]])</f>
        <v>45087</v>
      </c>
      <c r="H94" s="21">
        <f t="shared" si="11"/>
        <v>18</v>
      </c>
      <c r="I94" s="6" t="str">
        <f>IF(Table1[[#This Row],[New LTD]]&lt;=7,"Yes","No")</f>
        <v>No</v>
      </c>
      <c r="J94" s="6" t="str">
        <f t="shared" si="12"/>
        <v>No</v>
      </c>
      <c r="K94" t="s">
        <v>647</v>
      </c>
      <c r="L94" t="s">
        <v>659</v>
      </c>
      <c r="M94" t="s">
        <v>685</v>
      </c>
      <c r="N94" t="s">
        <v>701</v>
      </c>
      <c r="O94" t="s">
        <v>710</v>
      </c>
      <c r="P94" t="s">
        <v>718</v>
      </c>
      <c r="Q94" t="s">
        <v>727</v>
      </c>
      <c r="R94" t="s">
        <v>964</v>
      </c>
      <c r="S94" s="6">
        <v>54.62</v>
      </c>
      <c r="T94" s="6">
        <v>48.94</v>
      </c>
      <c r="U94" s="6">
        <f t="shared" si="13"/>
        <v>48.94</v>
      </c>
      <c r="V94" s="8">
        <v>0.14799999999999999</v>
      </c>
      <c r="W94" s="6">
        <v>16</v>
      </c>
      <c r="X94" s="6">
        <f t="shared" si="14"/>
        <v>667.15008</v>
      </c>
      <c r="Y94">
        <f t="shared" si="15"/>
        <v>873.92</v>
      </c>
      <c r="Z94" s="6">
        <f t="shared" si="16"/>
        <v>-206.76991999999996</v>
      </c>
      <c r="AA94">
        <f t="shared" si="17"/>
        <v>-0.3099301434543783</v>
      </c>
      <c r="AB94" t="str">
        <f t="shared" si="18"/>
        <v>5-2023</v>
      </c>
      <c r="AC94" t="str">
        <f t="shared" si="19"/>
        <v>Q2-2023</v>
      </c>
      <c r="AD94" t="str">
        <f t="shared" si="20"/>
        <v>Asia →China →Shanghai</v>
      </c>
      <c r="AE94" t="str">
        <f t="shared" si="21"/>
        <v>Low</v>
      </c>
      <c r="AF94" t="str">
        <f>TEXT(Table1[[#This Row],[OrderDate]],"MMM")</f>
        <v>May</v>
      </c>
      <c r="AG94" t="str">
        <f>TEXT(Table1[[#This Row],[OrderDate]],"YYYY")</f>
        <v>2023</v>
      </c>
      <c r="AI94" s="4">
        <f>IF(Table1[[#This Row],[RequiredDate]]&lt;Table1[[#This Row],[OrderDate]], Table1[[#This Row],[OrderDate]]+7, Table1[[#This Row],[RequiredDate]])</f>
        <v>45087</v>
      </c>
      <c r="AJ94">
        <f>IF(Dashboard!$D$3&gt;'Staging Data'!V94,'Staging Data'!V94,Dashboard!D$3)</f>
        <v>0.14799999999999999</v>
      </c>
      <c r="AK94" s="19">
        <f>(100%+Dashboard!$D$4)*'Staging Data'!S94</f>
        <v>57.350999999999999</v>
      </c>
      <c r="AL94">
        <f>(100%+Dashboard!$D$5)*'Staging Data'!W94</f>
        <v>18.399999999999999</v>
      </c>
    </row>
    <row r="95" spans="1:38" x14ac:dyDescent="0.35">
      <c r="A95" s="6" t="s">
        <v>489</v>
      </c>
      <c r="B95" s="4">
        <v>45069</v>
      </c>
      <c r="C95" s="4">
        <v>45071</v>
      </c>
      <c r="D95" s="4">
        <f>IF(Table1[[#This Row],[RequiredDate]]&lt;Table1[[#This Row],[OrderDate]],Table1[[#This Row],[RequiredDate]],Table1[[#This Row],[OrderDate]])</f>
        <v>45069</v>
      </c>
      <c r="E95" s="4">
        <f>IF(Table1[[#This Row],[RequiredDate]]&gt;Table1[[#This Row],[OrderDate]],Table1[[#This Row],[RequiredDate]],Table1[[#This Row],[OrderDate]])</f>
        <v>45071</v>
      </c>
      <c r="F95" s="21">
        <f>Table1[[#This Row],[New RD]]-Table1[[#This Row],[new   od]]</f>
        <v>2</v>
      </c>
      <c r="G95" s="4">
        <f>IF(Table1[[#This Row],[RequiredDate]]&lt;Table1[[#This Row],[OrderDate]], Table1[[#This Row],[OrderDate]]+7, Table1[[#This Row],[RequiredDate]])</f>
        <v>45071</v>
      </c>
      <c r="H95" s="21">
        <f t="shared" si="11"/>
        <v>2</v>
      </c>
      <c r="I95" s="6" t="str">
        <f>IF(Table1[[#This Row],[New LTD]]&lt;=7,"Yes","No")</f>
        <v>Yes</v>
      </c>
      <c r="J95" s="6" t="str">
        <f t="shared" si="12"/>
        <v>No</v>
      </c>
      <c r="K95" t="s">
        <v>648</v>
      </c>
      <c r="L95" t="s">
        <v>655</v>
      </c>
      <c r="M95" t="s">
        <v>692</v>
      </c>
      <c r="N95" t="s">
        <v>706</v>
      </c>
      <c r="O95" t="s">
        <v>707</v>
      </c>
      <c r="P95" t="s">
        <v>724</v>
      </c>
      <c r="Q95" t="s">
        <v>728</v>
      </c>
      <c r="R95" t="s">
        <v>1208</v>
      </c>
      <c r="S95" s="6">
        <v>690.49</v>
      </c>
      <c r="T95" s="6">
        <v>1290.29</v>
      </c>
      <c r="U95" s="6">
        <f t="shared" si="13"/>
        <v>1290.29</v>
      </c>
      <c r="V95" s="8">
        <v>4.2000000000000003E-2</v>
      </c>
      <c r="W95" s="6">
        <v>22</v>
      </c>
      <c r="X95" s="6">
        <f t="shared" si="14"/>
        <v>27194.152039999997</v>
      </c>
      <c r="Y95">
        <f t="shared" si="15"/>
        <v>15190.78</v>
      </c>
      <c r="Z95" s="6">
        <f t="shared" si="16"/>
        <v>12003.372039999997</v>
      </c>
      <c r="AA95">
        <f t="shared" si="17"/>
        <v>0.44139534199647718</v>
      </c>
      <c r="AB95" t="str">
        <f t="shared" si="18"/>
        <v>5-2023</v>
      </c>
      <c r="AC95" t="str">
        <f t="shared" si="19"/>
        <v>Q2-2023</v>
      </c>
      <c r="AD95" t="str">
        <f t="shared" si="20"/>
        <v>Americas →Brazil →Rio de Janeiro</v>
      </c>
      <c r="AE95" t="str">
        <f t="shared" si="21"/>
        <v>Medium</v>
      </c>
      <c r="AF95" t="str">
        <f>TEXT(Table1[[#This Row],[OrderDate]],"MMM")</f>
        <v>May</v>
      </c>
      <c r="AG95" t="str">
        <f>TEXT(Table1[[#This Row],[OrderDate]],"YYYY")</f>
        <v>2023</v>
      </c>
      <c r="AI95" s="4">
        <f>IF(Table1[[#This Row],[RequiredDate]]&lt;Table1[[#This Row],[OrderDate]], Table1[[#This Row],[OrderDate]]+7, Table1[[#This Row],[RequiredDate]])</f>
        <v>45071</v>
      </c>
      <c r="AJ95">
        <f>IF(Dashboard!$D$3&gt;'Staging Data'!V95,'Staging Data'!V95,Dashboard!D$3)</f>
        <v>4.2000000000000003E-2</v>
      </c>
      <c r="AK95" s="19">
        <f>(100%+Dashboard!$D$4)*'Staging Data'!S95</f>
        <v>725.0145</v>
      </c>
      <c r="AL95">
        <f>(100%+Dashboard!$D$5)*'Staging Data'!W95</f>
        <v>25.299999999999997</v>
      </c>
    </row>
    <row r="96" spans="1:38" x14ac:dyDescent="0.35">
      <c r="A96" s="6" t="s">
        <v>468</v>
      </c>
      <c r="B96" s="4">
        <v>45070</v>
      </c>
      <c r="C96" s="4">
        <v>45098</v>
      </c>
      <c r="D96" s="4">
        <f>IF(Table1[[#This Row],[RequiredDate]]&lt;Table1[[#This Row],[OrderDate]],Table1[[#This Row],[RequiredDate]],Table1[[#This Row],[OrderDate]])</f>
        <v>45070</v>
      </c>
      <c r="E96" s="4">
        <f>IF(Table1[[#This Row],[RequiredDate]]&gt;Table1[[#This Row],[OrderDate]],Table1[[#This Row],[RequiredDate]],Table1[[#This Row],[OrderDate]])</f>
        <v>45098</v>
      </c>
      <c r="F96" s="21">
        <f>Table1[[#This Row],[New RD]]-Table1[[#This Row],[new   od]]</f>
        <v>28</v>
      </c>
      <c r="G96" s="4">
        <f>IF(Table1[[#This Row],[RequiredDate]]&lt;Table1[[#This Row],[OrderDate]], Table1[[#This Row],[OrderDate]]+7, Table1[[#This Row],[RequiredDate]])</f>
        <v>45098</v>
      </c>
      <c r="H96" s="21">
        <f t="shared" si="11"/>
        <v>28</v>
      </c>
      <c r="I96" s="6" t="str">
        <f>IF(Table1[[#This Row],[New LTD]]&lt;=7,"Yes","No")</f>
        <v>No</v>
      </c>
      <c r="J96" s="6" t="str">
        <f t="shared" si="12"/>
        <v>No</v>
      </c>
      <c r="K96" t="s">
        <v>648</v>
      </c>
      <c r="L96" t="s">
        <v>660</v>
      </c>
      <c r="M96" t="s">
        <v>697</v>
      </c>
      <c r="N96" t="s">
        <v>705</v>
      </c>
      <c r="O96" t="s">
        <v>709</v>
      </c>
      <c r="P96" t="s">
        <v>715</v>
      </c>
      <c r="Q96" t="s">
        <v>732</v>
      </c>
      <c r="R96" t="s">
        <v>1187</v>
      </c>
      <c r="S96" s="6">
        <v>813.97</v>
      </c>
      <c r="T96" s="6">
        <v>1568.83</v>
      </c>
      <c r="U96" s="6">
        <f t="shared" si="13"/>
        <v>1568.83</v>
      </c>
      <c r="V96" s="8">
        <v>1.7000000000000001E-2</v>
      </c>
      <c r="W96" s="6">
        <v>15</v>
      </c>
      <c r="X96" s="6">
        <f t="shared" si="14"/>
        <v>23132.398349999996</v>
      </c>
      <c r="Y96">
        <f t="shared" si="15"/>
        <v>12209.550000000001</v>
      </c>
      <c r="Z96" s="6">
        <f t="shared" si="16"/>
        <v>10922.848349999995</v>
      </c>
      <c r="AA96">
        <f t="shared" si="17"/>
        <v>0.4721883215364911</v>
      </c>
      <c r="AB96" t="str">
        <f t="shared" si="18"/>
        <v>5-2023</v>
      </c>
      <c r="AC96" t="str">
        <f t="shared" si="19"/>
        <v>Q2-2023</v>
      </c>
      <c r="AD96" t="str">
        <f t="shared" si="20"/>
        <v>Americas →USA →Austin</v>
      </c>
      <c r="AE96" t="str">
        <f t="shared" si="21"/>
        <v>Medium</v>
      </c>
      <c r="AF96" t="str">
        <f>TEXT(Table1[[#This Row],[OrderDate]],"MMM")</f>
        <v>May</v>
      </c>
      <c r="AG96" t="str">
        <f>TEXT(Table1[[#This Row],[OrderDate]],"YYYY")</f>
        <v>2023</v>
      </c>
      <c r="AI96" s="4">
        <f>IF(Table1[[#This Row],[RequiredDate]]&lt;Table1[[#This Row],[OrderDate]], Table1[[#This Row],[OrderDate]]+7, Table1[[#This Row],[RequiredDate]])</f>
        <v>45098</v>
      </c>
      <c r="AJ96">
        <f>IF(Dashboard!$D$3&gt;'Staging Data'!V96,'Staging Data'!V96,Dashboard!D$3)</f>
        <v>1.7000000000000001E-2</v>
      </c>
      <c r="AK96" s="19">
        <f>(100%+Dashboard!$D$4)*'Staging Data'!S96</f>
        <v>854.66850000000011</v>
      </c>
      <c r="AL96">
        <f>(100%+Dashboard!$D$5)*'Staging Data'!W96</f>
        <v>17.25</v>
      </c>
    </row>
    <row r="97" spans="1:38" x14ac:dyDescent="0.35">
      <c r="A97" s="6" t="s">
        <v>275</v>
      </c>
      <c r="B97" s="4">
        <v>45073</v>
      </c>
      <c r="C97" s="4">
        <v>45096</v>
      </c>
      <c r="D97" s="4">
        <f>IF(Table1[[#This Row],[RequiredDate]]&lt;Table1[[#This Row],[OrderDate]],Table1[[#This Row],[RequiredDate]],Table1[[#This Row],[OrderDate]])</f>
        <v>45073</v>
      </c>
      <c r="E97" s="4">
        <f>IF(Table1[[#This Row],[RequiredDate]]&gt;Table1[[#This Row],[OrderDate]],Table1[[#This Row],[RequiredDate]],Table1[[#This Row],[OrderDate]])</f>
        <v>45096</v>
      </c>
      <c r="F97" s="21">
        <f>Table1[[#This Row],[New RD]]-Table1[[#This Row],[new   od]]</f>
        <v>23</v>
      </c>
      <c r="G97" s="4">
        <f>IF(Table1[[#This Row],[RequiredDate]]&lt;Table1[[#This Row],[OrderDate]], Table1[[#This Row],[OrderDate]]+7, Table1[[#This Row],[RequiredDate]])</f>
        <v>45096</v>
      </c>
      <c r="H97" s="21">
        <f t="shared" si="11"/>
        <v>23</v>
      </c>
      <c r="I97" s="6" t="str">
        <f>IF(Table1[[#This Row],[New LTD]]&lt;=7,"Yes","No")</f>
        <v>No</v>
      </c>
      <c r="J97" s="6" t="str">
        <f t="shared" si="12"/>
        <v>No</v>
      </c>
      <c r="K97" t="s">
        <v>649</v>
      </c>
      <c r="L97" t="s">
        <v>656</v>
      </c>
      <c r="M97" t="s">
        <v>671</v>
      </c>
      <c r="N97" t="s">
        <v>702</v>
      </c>
      <c r="O97" t="s">
        <v>707</v>
      </c>
      <c r="P97" t="s">
        <v>719</v>
      </c>
      <c r="Q97" t="s">
        <v>733</v>
      </c>
      <c r="R97" t="s">
        <v>995</v>
      </c>
      <c r="S97" s="6">
        <v>1471.58</v>
      </c>
      <c r="T97" s="6">
        <v>2576.65</v>
      </c>
      <c r="U97" s="6">
        <f t="shared" si="13"/>
        <v>2576.65</v>
      </c>
      <c r="V97" s="8">
        <v>4.0000000000000001E-3</v>
      </c>
      <c r="W97" s="6">
        <v>7</v>
      </c>
      <c r="X97" s="6">
        <f t="shared" si="14"/>
        <v>17964.4038</v>
      </c>
      <c r="Y97">
        <f t="shared" si="15"/>
        <v>10301.06</v>
      </c>
      <c r="Z97" s="6">
        <f t="shared" si="16"/>
        <v>7663.3438000000006</v>
      </c>
      <c r="AA97">
        <f t="shared" si="17"/>
        <v>0.4265849223451546</v>
      </c>
      <c r="AB97" t="str">
        <f t="shared" si="18"/>
        <v>5-2023</v>
      </c>
      <c r="AC97" t="str">
        <f t="shared" si="19"/>
        <v>Q2-2023</v>
      </c>
      <c r="AD97" t="str">
        <f t="shared" si="20"/>
        <v>Europe →Germany →Berlin</v>
      </c>
      <c r="AE97" t="str">
        <f t="shared" si="21"/>
        <v>High</v>
      </c>
      <c r="AF97" t="str">
        <f>TEXT(Table1[[#This Row],[OrderDate]],"MMM")</f>
        <v>May</v>
      </c>
      <c r="AG97" t="str">
        <f>TEXT(Table1[[#This Row],[OrderDate]],"YYYY")</f>
        <v>2023</v>
      </c>
      <c r="AI97" s="4">
        <f>IF(Table1[[#This Row],[RequiredDate]]&lt;Table1[[#This Row],[OrderDate]], Table1[[#This Row],[OrderDate]]+7, Table1[[#This Row],[RequiredDate]])</f>
        <v>45096</v>
      </c>
      <c r="AJ97">
        <f>IF(Dashboard!$D$3&gt;'Staging Data'!V97,'Staging Data'!V97,Dashboard!D$3)</f>
        <v>4.0000000000000001E-3</v>
      </c>
      <c r="AK97" s="19">
        <f>(100%+Dashboard!$D$4)*'Staging Data'!S97</f>
        <v>1545.1589999999999</v>
      </c>
      <c r="AL97">
        <f>(100%+Dashboard!$D$5)*'Staging Data'!W97</f>
        <v>8.0499999999999989</v>
      </c>
    </row>
    <row r="98" spans="1:38" x14ac:dyDescent="0.35">
      <c r="A98" s="6" t="s">
        <v>408</v>
      </c>
      <c r="B98" s="4">
        <v>45075</v>
      </c>
      <c r="C98" s="4">
        <v>45097</v>
      </c>
      <c r="D98" s="4">
        <f>IF(Table1[[#This Row],[RequiredDate]]&lt;Table1[[#This Row],[OrderDate]],Table1[[#This Row],[RequiredDate]],Table1[[#This Row],[OrderDate]])</f>
        <v>45075</v>
      </c>
      <c r="E98" s="4">
        <f>IF(Table1[[#This Row],[RequiredDate]]&gt;Table1[[#This Row],[OrderDate]],Table1[[#This Row],[RequiredDate]],Table1[[#This Row],[OrderDate]])</f>
        <v>45097</v>
      </c>
      <c r="F98" s="21">
        <f>Table1[[#This Row],[New RD]]-Table1[[#This Row],[new   od]]</f>
        <v>22</v>
      </c>
      <c r="G98" s="4">
        <f>IF(Table1[[#This Row],[RequiredDate]]&lt;Table1[[#This Row],[OrderDate]], Table1[[#This Row],[OrderDate]]+7, Table1[[#This Row],[RequiredDate]])</f>
        <v>45097</v>
      </c>
      <c r="H98" s="21">
        <f t="shared" si="11"/>
        <v>22</v>
      </c>
      <c r="I98" s="6" t="str">
        <f>IF(Table1[[#This Row],[New LTD]]&lt;=7,"Yes","No")</f>
        <v>No</v>
      </c>
      <c r="J98" s="6" t="str">
        <f t="shared" si="12"/>
        <v>No</v>
      </c>
      <c r="K98" t="s">
        <v>649</v>
      </c>
      <c r="L98" t="s">
        <v>658</v>
      </c>
      <c r="M98" t="s">
        <v>683</v>
      </c>
      <c r="N98" t="s">
        <v>705</v>
      </c>
      <c r="O98" t="s">
        <v>711</v>
      </c>
      <c r="P98" t="s">
        <v>723</v>
      </c>
      <c r="Q98" t="s">
        <v>727</v>
      </c>
      <c r="R98" t="s">
        <v>1127</v>
      </c>
      <c r="S98" s="6">
        <v>1295.3900000000001</v>
      </c>
      <c r="T98" s="6">
        <v>2905.06</v>
      </c>
      <c r="U98" s="6">
        <f t="shared" si="13"/>
        <v>2905.06</v>
      </c>
      <c r="V98" s="8">
        <v>0.14799999999999999</v>
      </c>
      <c r="W98" s="6">
        <v>8</v>
      </c>
      <c r="X98" s="6">
        <f t="shared" si="14"/>
        <v>19800.88896</v>
      </c>
      <c r="Y98">
        <f t="shared" si="15"/>
        <v>10363.120000000001</v>
      </c>
      <c r="Z98" s="6">
        <f t="shared" si="16"/>
        <v>9437.7689599999994</v>
      </c>
      <c r="AA98">
        <f t="shared" si="17"/>
        <v>0.47663359857556614</v>
      </c>
      <c r="AB98" t="str">
        <f t="shared" si="18"/>
        <v>5-2023</v>
      </c>
      <c r="AC98" t="str">
        <f t="shared" si="19"/>
        <v>Q2-2023</v>
      </c>
      <c r="AD98" t="str">
        <f t="shared" si="20"/>
        <v>Europe →United Kingdom →London</v>
      </c>
      <c r="AE98" t="str">
        <f t="shared" si="21"/>
        <v>High</v>
      </c>
      <c r="AF98" t="str">
        <f>TEXT(Table1[[#This Row],[OrderDate]],"MMM")</f>
        <v>May</v>
      </c>
      <c r="AG98" t="str">
        <f>TEXT(Table1[[#This Row],[OrderDate]],"YYYY")</f>
        <v>2023</v>
      </c>
      <c r="AI98" s="4">
        <f>IF(Table1[[#This Row],[RequiredDate]]&lt;Table1[[#This Row],[OrderDate]], Table1[[#This Row],[OrderDate]]+7, Table1[[#This Row],[RequiredDate]])</f>
        <v>45097</v>
      </c>
      <c r="AJ98">
        <f>IF(Dashboard!$D$3&gt;'Staging Data'!V98,'Staging Data'!V98,Dashboard!D$3)</f>
        <v>0.14799999999999999</v>
      </c>
      <c r="AK98" s="19">
        <f>(100%+Dashboard!$D$4)*'Staging Data'!S98</f>
        <v>1360.1595000000002</v>
      </c>
      <c r="AL98">
        <f>(100%+Dashboard!$D$5)*'Staging Data'!W98</f>
        <v>9.1999999999999993</v>
      </c>
    </row>
    <row r="99" spans="1:38" x14ac:dyDescent="0.35">
      <c r="A99" s="6" t="s">
        <v>527</v>
      </c>
      <c r="B99" s="4">
        <v>45078</v>
      </c>
      <c r="C99" s="4">
        <v>45085</v>
      </c>
      <c r="D99" s="4">
        <f>IF(Table1[[#This Row],[RequiredDate]]&lt;Table1[[#This Row],[OrderDate]],Table1[[#This Row],[RequiredDate]],Table1[[#This Row],[OrderDate]])</f>
        <v>45078</v>
      </c>
      <c r="E99" s="4">
        <f>IF(Table1[[#This Row],[RequiredDate]]&gt;Table1[[#This Row],[OrderDate]],Table1[[#This Row],[RequiredDate]],Table1[[#This Row],[OrderDate]])</f>
        <v>45085</v>
      </c>
      <c r="F99" s="21">
        <f>Table1[[#This Row],[New RD]]-Table1[[#This Row],[new   od]]</f>
        <v>7</v>
      </c>
      <c r="G99" s="4">
        <f>IF(Table1[[#This Row],[RequiredDate]]&lt;Table1[[#This Row],[OrderDate]], Table1[[#This Row],[OrderDate]]+7, Table1[[#This Row],[RequiredDate]])</f>
        <v>45085</v>
      </c>
      <c r="H99" s="21">
        <f t="shared" si="11"/>
        <v>7</v>
      </c>
      <c r="I99" s="6" t="str">
        <f>IF(Table1[[#This Row],[New LTD]]&lt;=7,"Yes","No")</f>
        <v>Yes</v>
      </c>
      <c r="J99" s="6" t="str">
        <f t="shared" si="12"/>
        <v>No</v>
      </c>
      <c r="K99" t="s">
        <v>649</v>
      </c>
      <c r="L99" t="s">
        <v>656</v>
      </c>
      <c r="M99" t="s">
        <v>698</v>
      </c>
      <c r="N99" t="s">
        <v>704</v>
      </c>
      <c r="O99" t="s">
        <v>708</v>
      </c>
      <c r="P99" t="s">
        <v>720</v>
      </c>
      <c r="Q99" t="s">
        <v>730</v>
      </c>
      <c r="R99" t="s">
        <v>1246</v>
      </c>
      <c r="S99" s="6">
        <v>804.17</v>
      </c>
      <c r="T99" s="6">
        <v>1072.29</v>
      </c>
      <c r="U99" s="6">
        <f t="shared" si="13"/>
        <v>1072.29</v>
      </c>
      <c r="V99" s="8">
        <v>3.2000000000000001E-2</v>
      </c>
      <c r="W99" s="6">
        <v>5</v>
      </c>
      <c r="X99" s="6">
        <f t="shared" si="14"/>
        <v>5189.8836000000001</v>
      </c>
      <c r="Y99">
        <f t="shared" si="15"/>
        <v>4020.85</v>
      </c>
      <c r="Z99" s="6">
        <f t="shared" si="16"/>
        <v>1169.0336000000002</v>
      </c>
      <c r="AA99">
        <f t="shared" si="17"/>
        <v>0.2252523736755869</v>
      </c>
      <c r="AB99" t="str">
        <f t="shared" si="18"/>
        <v>6-2023</v>
      </c>
      <c r="AC99" t="str">
        <f t="shared" si="19"/>
        <v>Q2-2023</v>
      </c>
      <c r="AD99" t="str">
        <f t="shared" si="20"/>
        <v>Europe →Germany →Frankfurt</v>
      </c>
      <c r="AE99" t="str">
        <f t="shared" si="21"/>
        <v>Medium</v>
      </c>
      <c r="AF99" t="str">
        <f>TEXT(Table1[[#This Row],[OrderDate]],"MMM")</f>
        <v>Jun</v>
      </c>
      <c r="AG99" t="str">
        <f>TEXT(Table1[[#This Row],[OrderDate]],"YYYY")</f>
        <v>2023</v>
      </c>
      <c r="AI99" s="4">
        <f>IF(Table1[[#This Row],[RequiredDate]]&lt;Table1[[#This Row],[OrderDate]], Table1[[#This Row],[OrderDate]]+7, Table1[[#This Row],[RequiredDate]])</f>
        <v>45085</v>
      </c>
      <c r="AJ99">
        <f>IF(Dashboard!$D$3&gt;'Staging Data'!V99,'Staging Data'!V99,Dashboard!D$3)</f>
        <v>3.2000000000000001E-2</v>
      </c>
      <c r="AK99" s="19">
        <f>(100%+Dashboard!$D$4)*'Staging Data'!S99</f>
        <v>844.37850000000003</v>
      </c>
      <c r="AL99">
        <f>(100%+Dashboard!$D$5)*'Staging Data'!W99</f>
        <v>5.75</v>
      </c>
    </row>
    <row r="100" spans="1:38" x14ac:dyDescent="0.35">
      <c r="A100" s="6" t="s">
        <v>585</v>
      </c>
      <c r="B100" s="4">
        <v>45078</v>
      </c>
      <c r="C100" s="4">
        <v>45078</v>
      </c>
      <c r="D100" s="4">
        <f>IF(Table1[[#This Row],[RequiredDate]]&lt;Table1[[#This Row],[OrderDate]],Table1[[#This Row],[RequiredDate]],Table1[[#This Row],[OrderDate]])</f>
        <v>45078</v>
      </c>
      <c r="E100" s="4">
        <f>IF(Table1[[#This Row],[RequiredDate]]&gt;Table1[[#This Row],[OrderDate]],Table1[[#This Row],[RequiredDate]],Table1[[#This Row],[OrderDate]])</f>
        <v>45078</v>
      </c>
      <c r="F100" s="21">
        <f>Table1[[#This Row],[New RD]]-Table1[[#This Row],[new   od]]</f>
        <v>0</v>
      </c>
      <c r="G100" s="4">
        <f>IF(Table1[[#This Row],[RequiredDate]]&lt;Table1[[#This Row],[OrderDate]], Table1[[#This Row],[OrderDate]]+7, Table1[[#This Row],[RequiredDate]])</f>
        <v>45078</v>
      </c>
      <c r="H100" s="21">
        <f t="shared" si="11"/>
        <v>0</v>
      </c>
      <c r="I100" s="6" t="str">
        <f>IF(Table1[[#This Row],[New LTD]]&lt;=7,"Yes","No")</f>
        <v>Yes</v>
      </c>
      <c r="J100" s="6" t="str">
        <f t="shared" si="12"/>
        <v>No</v>
      </c>
      <c r="K100" t="s">
        <v>647</v>
      </c>
      <c r="L100" t="s">
        <v>654</v>
      </c>
      <c r="M100" t="s">
        <v>668</v>
      </c>
      <c r="N100" t="s">
        <v>701</v>
      </c>
      <c r="O100" t="s">
        <v>707</v>
      </c>
      <c r="P100" t="s">
        <v>718</v>
      </c>
      <c r="Q100" t="s">
        <v>733</v>
      </c>
      <c r="R100" t="s">
        <v>1303</v>
      </c>
      <c r="S100" s="6">
        <v>669.37</v>
      </c>
      <c r="T100" s="6">
        <v>997.2</v>
      </c>
      <c r="U100" s="6">
        <f t="shared" si="13"/>
        <v>997.2</v>
      </c>
      <c r="V100" s="8">
        <v>8.2000000000000003E-2</v>
      </c>
      <c r="W100" s="6">
        <v>5</v>
      </c>
      <c r="X100" s="6">
        <f t="shared" si="14"/>
        <v>4577.1480000000001</v>
      </c>
      <c r="Y100">
        <f t="shared" si="15"/>
        <v>3346.85</v>
      </c>
      <c r="Z100" s="6">
        <f t="shared" si="16"/>
        <v>1230.2980000000002</v>
      </c>
      <c r="AA100">
        <f t="shared" si="17"/>
        <v>0.26879139586484863</v>
      </c>
      <c r="AB100" t="str">
        <f t="shared" si="18"/>
        <v>6-2023</v>
      </c>
      <c r="AC100" t="str">
        <f t="shared" si="19"/>
        <v>Q2-2023</v>
      </c>
      <c r="AD100" t="str">
        <f t="shared" si="20"/>
        <v>Asia →India →Bengaluru</v>
      </c>
      <c r="AE100" t="str">
        <f t="shared" si="21"/>
        <v>Medium</v>
      </c>
      <c r="AF100" t="str">
        <f>TEXT(Table1[[#This Row],[OrderDate]],"MMM")</f>
        <v>Jun</v>
      </c>
      <c r="AG100" t="str">
        <f>TEXT(Table1[[#This Row],[OrderDate]],"YYYY")</f>
        <v>2023</v>
      </c>
      <c r="AI100" s="4">
        <f>IF(Table1[[#This Row],[RequiredDate]]&lt;Table1[[#This Row],[OrderDate]], Table1[[#This Row],[OrderDate]]+7, Table1[[#This Row],[RequiredDate]])</f>
        <v>45078</v>
      </c>
      <c r="AJ100">
        <f>IF(Dashboard!$D$3&gt;'Staging Data'!V100,'Staging Data'!V100,Dashboard!D$3)</f>
        <v>8.2000000000000003E-2</v>
      </c>
      <c r="AK100" s="19">
        <f>(100%+Dashboard!$D$4)*'Staging Data'!S100</f>
        <v>702.83850000000007</v>
      </c>
      <c r="AL100">
        <f>(100%+Dashboard!$D$5)*'Staging Data'!W100</f>
        <v>5.75</v>
      </c>
    </row>
    <row r="101" spans="1:38" x14ac:dyDescent="0.35">
      <c r="A101" s="6" t="s">
        <v>595</v>
      </c>
      <c r="B101" s="4">
        <v>45080</v>
      </c>
      <c r="C101" s="4">
        <v>45108</v>
      </c>
      <c r="D101" s="4">
        <f>IF(Table1[[#This Row],[RequiredDate]]&lt;Table1[[#This Row],[OrderDate]],Table1[[#This Row],[RequiredDate]],Table1[[#This Row],[OrderDate]])</f>
        <v>45080</v>
      </c>
      <c r="E101" s="4">
        <f>IF(Table1[[#This Row],[RequiredDate]]&gt;Table1[[#This Row],[OrderDate]],Table1[[#This Row],[RequiredDate]],Table1[[#This Row],[OrderDate]])</f>
        <v>45108</v>
      </c>
      <c r="F101" s="21">
        <f>Table1[[#This Row],[New RD]]-Table1[[#This Row],[new   od]]</f>
        <v>28</v>
      </c>
      <c r="G101" s="4">
        <f>IF(Table1[[#This Row],[RequiredDate]]&lt;Table1[[#This Row],[OrderDate]], Table1[[#This Row],[OrderDate]]+7, Table1[[#This Row],[RequiredDate]])</f>
        <v>45108</v>
      </c>
      <c r="H101" s="21">
        <f t="shared" si="11"/>
        <v>28</v>
      </c>
      <c r="I101" s="6" t="str">
        <f>IF(Table1[[#This Row],[New LTD]]&lt;=7,"Yes","No")</f>
        <v>No</v>
      </c>
      <c r="J101" s="6" t="str">
        <f t="shared" si="12"/>
        <v>No</v>
      </c>
      <c r="K101" t="s">
        <v>648</v>
      </c>
      <c r="L101" t="s">
        <v>655</v>
      </c>
      <c r="M101" t="s">
        <v>672</v>
      </c>
      <c r="N101" t="s">
        <v>705</v>
      </c>
      <c r="O101" t="s">
        <v>709</v>
      </c>
      <c r="P101" t="s">
        <v>720</v>
      </c>
      <c r="Q101" t="s">
        <v>727</v>
      </c>
      <c r="R101" t="s">
        <v>1313</v>
      </c>
      <c r="S101" s="6">
        <v>860.4</v>
      </c>
      <c r="T101" s="6">
        <v>2066.6</v>
      </c>
      <c r="U101" s="6">
        <f t="shared" si="13"/>
        <v>2066.6</v>
      </c>
      <c r="V101" s="8">
        <v>0.01</v>
      </c>
      <c r="W101" s="6">
        <v>3</v>
      </c>
      <c r="X101" s="6">
        <f t="shared" si="14"/>
        <v>6137.8019999999988</v>
      </c>
      <c r="Y101">
        <f t="shared" si="15"/>
        <v>2581.1999999999998</v>
      </c>
      <c r="Z101" s="6">
        <f t="shared" si="16"/>
        <v>3556.601999999999</v>
      </c>
      <c r="AA101">
        <f t="shared" si="17"/>
        <v>0.57945857491004105</v>
      </c>
      <c r="AB101" t="str">
        <f t="shared" si="18"/>
        <v>6-2023</v>
      </c>
      <c r="AC101" t="str">
        <f t="shared" si="19"/>
        <v>Q2-2023</v>
      </c>
      <c r="AD101" t="str">
        <f t="shared" si="20"/>
        <v>Americas →Brazil →Brasília</v>
      </c>
      <c r="AE101" t="str">
        <f t="shared" si="21"/>
        <v>High</v>
      </c>
      <c r="AF101" t="str">
        <f>TEXT(Table1[[#This Row],[OrderDate]],"MMM")</f>
        <v>Jun</v>
      </c>
      <c r="AG101" t="str">
        <f>TEXT(Table1[[#This Row],[OrderDate]],"YYYY")</f>
        <v>2023</v>
      </c>
      <c r="AI101" s="4">
        <f>IF(Table1[[#This Row],[RequiredDate]]&lt;Table1[[#This Row],[OrderDate]], Table1[[#This Row],[OrderDate]]+7, Table1[[#This Row],[RequiredDate]])</f>
        <v>45108</v>
      </c>
      <c r="AJ101">
        <f>IF(Dashboard!$D$3&gt;'Staging Data'!V101,'Staging Data'!V101,Dashboard!D$3)</f>
        <v>0.01</v>
      </c>
      <c r="AK101" s="19">
        <f>(100%+Dashboard!$D$4)*'Staging Data'!S101</f>
        <v>903.42</v>
      </c>
      <c r="AL101">
        <f>(100%+Dashboard!$D$5)*'Staging Data'!W101</f>
        <v>3.4499999999999997</v>
      </c>
    </row>
    <row r="102" spans="1:38" x14ac:dyDescent="0.35">
      <c r="A102" s="6" t="s">
        <v>378</v>
      </c>
      <c r="B102" s="4">
        <v>45082</v>
      </c>
      <c r="C102" s="4">
        <v>45105</v>
      </c>
      <c r="D102" s="4">
        <f>IF(Table1[[#This Row],[RequiredDate]]&lt;Table1[[#This Row],[OrderDate]],Table1[[#This Row],[RequiredDate]],Table1[[#This Row],[OrderDate]])</f>
        <v>45082</v>
      </c>
      <c r="E102" s="4">
        <f>IF(Table1[[#This Row],[RequiredDate]]&gt;Table1[[#This Row],[OrderDate]],Table1[[#This Row],[RequiredDate]],Table1[[#This Row],[OrderDate]])</f>
        <v>45105</v>
      </c>
      <c r="F102" s="21">
        <f>Table1[[#This Row],[New RD]]-Table1[[#This Row],[new   od]]</f>
        <v>23</v>
      </c>
      <c r="G102" s="4">
        <f>IF(Table1[[#This Row],[RequiredDate]]&lt;Table1[[#This Row],[OrderDate]], Table1[[#This Row],[OrderDate]]+7, Table1[[#This Row],[RequiredDate]])</f>
        <v>45105</v>
      </c>
      <c r="H102" s="21">
        <f t="shared" si="11"/>
        <v>23</v>
      </c>
      <c r="I102" s="6" t="str">
        <f>IF(Table1[[#This Row],[New LTD]]&lt;=7,"Yes","No")</f>
        <v>No</v>
      </c>
      <c r="J102" s="6" t="str">
        <f t="shared" si="12"/>
        <v>No</v>
      </c>
      <c r="K102" t="s">
        <v>649</v>
      </c>
      <c r="L102" t="s">
        <v>658</v>
      </c>
      <c r="M102" t="s">
        <v>674</v>
      </c>
      <c r="N102" t="s">
        <v>701</v>
      </c>
      <c r="O102" t="s">
        <v>711</v>
      </c>
      <c r="P102" t="s">
        <v>723</v>
      </c>
      <c r="Q102" t="s">
        <v>728</v>
      </c>
      <c r="R102" t="s">
        <v>1098</v>
      </c>
      <c r="S102" s="6">
        <v>605.82000000000005</v>
      </c>
      <c r="T102" s="6">
        <v>771.12</v>
      </c>
      <c r="U102" s="6">
        <f t="shared" si="13"/>
        <v>771.12</v>
      </c>
      <c r="V102" s="8">
        <v>0.13200000000000001</v>
      </c>
      <c r="W102" s="6">
        <v>19</v>
      </c>
      <c r="X102" s="6">
        <f t="shared" si="14"/>
        <v>12717.311040000001</v>
      </c>
      <c r="Y102">
        <f t="shared" si="15"/>
        <v>11510.580000000002</v>
      </c>
      <c r="Z102" s="6">
        <f t="shared" si="16"/>
        <v>1206.7310399999988</v>
      </c>
      <c r="AA102">
        <f t="shared" si="17"/>
        <v>9.4888851597986767E-2</v>
      </c>
      <c r="AB102" t="str">
        <f t="shared" si="18"/>
        <v>6-2023</v>
      </c>
      <c r="AC102" t="str">
        <f t="shared" si="19"/>
        <v>Q2-2023</v>
      </c>
      <c r="AD102" t="str">
        <f t="shared" si="20"/>
        <v>Europe →United Kingdom →Birmingham</v>
      </c>
      <c r="AE102" t="str">
        <f t="shared" si="21"/>
        <v>Low</v>
      </c>
      <c r="AF102" t="str">
        <f>TEXT(Table1[[#This Row],[OrderDate]],"MMM")</f>
        <v>Jun</v>
      </c>
      <c r="AG102" t="str">
        <f>TEXT(Table1[[#This Row],[OrderDate]],"YYYY")</f>
        <v>2023</v>
      </c>
      <c r="AI102" s="4">
        <f>IF(Table1[[#This Row],[RequiredDate]]&lt;Table1[[#This Row],[OrderDate]], Table1[[#This Row],[OrderDate]]+7, Table1[[#This Row],[RequiredDate]])</f>
        <v>45105</v>
      </c>
      <c r="AJ102">
        <f>IF(Dashboard!$D$3&gt;'Staging Data'!V102,'Staging Data'!V102,Dashboard!D$3)</f>
        <v>0.13200000000000001</v>
      </c>
      <c r="AK102" s="19">
        <f>(100%+Dashboard!$D$4)*'Staging Data'!S102</f>
        <v>636.1110000000001</v>
      </c>
      <c r="AL102">
        <f>(100%+Dashboard!$D$5)*'Staging Data'!W102</f>
        <v>21.849999999999998</v>
      </c>
    </row>
    <row r="103" spans="1:38" x14ac:dyDescent="0.35">
      <c r="A103" s="6" t="s">
        <v>133</v>
      </c>
      <c r="B103" s="4">
        <v>45086</v>
      </c>
      <c r="C103" s="4">
        <v>45096</v>
      </c>
      <c r="D103" s="4">
        <f>IF(Table1[[#This Row],[RequiredDate]]&lt;Table1[[#This Row],[OrderDate]],Table1[[#This Row],[RequiredDate]],Table1[[#This Row],[OrderDate]])</f>
        <v>45086</v>
      </c>
      <c r="E103" s="4">
        <f>IF(Table1[[#This Row],[RequiredDate]]&gt;Table1[[#This Row],[OrderDate]],Table1[[#This Row],[RequiredDate]],Table1[[#This Row],[OrderDate]])</f>
        <v>45096</v>
      </c>
      <c r="F103" s="21">
        <f>Table1[[#This Row],[New RD]]-Table1[[#This Row],[new   od]]</f>
        <v>10</v>
      </c>
      <c r="G103" s="4">
        <f>IF(Table1[[#This Row],[RequiredDate]]&lt;Table1[[#This Row],[OrderDate]], Table1[[#This Row],[OrderDate]]+7, Table1[[#This Row],[RequiredDate]])</f>
        <v>45096</v>
      </c>
      <c r="H103" s="21">
        <f t="shared" si="11"/>
        <v>10</v>
      </c>
      <c r="I103" s="6" t="str">
        <f>IF(Table1[[#This Row],[New LTD]]&lt;=7,"Yes","No")</f>
        <v>No</v>
      </c>
      <c r="J103" s="6" t="str">
        <f t="shared" si="12"/>
        <v>No</v>
      </c>
      <c r="K103" t="s">
        <v>647</v>
      </c>
      <c r="L103" t="s">
        <v>659</v>
      </c>
      <c r="M103" t="s">
        <v>699</v>
      </c>
      <c r="N103" t="s">
        <v>706</v>
      </c>
      <c r="O103" t="s">
        <v>707</v>
      </c>
      <c r="P103" t="s">
        <v>721</v>
      </c>
      <c r="Q103" t="s">
        <v>732</v>
      </c>
      <c r="R103" t="s">
        <v>852</v>
      </c>
      <c r="S103" s="6">
        <v>339.61</v>
      </c>
      <c r="T103" s="6">
        <v>621.02</v>
      </c>
      <c r="U103" s="6">
        <f t="shared" si="13"/>
        <v>621.02</v>
      </c>
      <c r="V103" s="8">
        <v>7.0999999999999994E-2</v>
      </c>
      <c r="W103" s="6">
        <v>10</v>
      </c>
      <c r="X103" s="6">
        <f t="shared" si="14"/>
        <v>5769.2758000000003</v>
      </c>
      <c r="Y103">
        <f t="shared" si="15"/>
        <v>3396.1000000000004</v>
      </c>
      <c r="Z103" s="6">
        <f t="shared" si="16"/>
        <v>2373.1758</v>
      </c>
      <c r="AA103">
        <f t="shared" si="17"/>
        <v>0.41134726129750981</v>
      </c>
      <c r="AB103" t="str">
        <f t="shared" si="18"/>
        <v>6-2023</v>
      </c>
      <c r="AC103" t="str">
        <f t="shared" si="19"/>
        <v>Q2-2023</v>
      </c>
      <c r="AD103" t="str">
        <f t="shared" si="20"/>
        <v>Asia →China →Beijing</v>
      </c>
      <c r="AE103" t="str">
        <f t="shared" si="21"/>
        <v>Low</v>
      </c>
      <c r="AF103" t="str">
        <f>TEXT(Table1[[#This Row],[OrderDate]],"MMM")</f>
        <v>Jun</v>
      </c>
      <c r="AG103" t="str">
        <f>TEXT(Table1[[#This Row],[OrderDate]],"YYYY")</f>
        <v>2023</v>
      </c>
      <c r="AI103" s="4">
        <f>IF(Table1[[#This Row],[RequiredDate]]&lt;Table1[[#This Row],[OrderDate]], Table1[[#This Row],[OrderDate]]+7, Table1[[#This Row],[RequiredDate]])</f>
        <v>45096</v>
      </c>
      <c r="AJ103">
        <f>IF(Dashboard!$D$3&gt;'Staging Data'!V103,'Staging Data'!V103,Dashboard!D$3)</f>
        <v>7.0999999999999994E-2</v>
      </c>
      <c r="AK103" s="19">
        <f>(100%+Dashboard!$D$4)*'Staging Data'!S103</f>
        <v>356.59050000000002</v>
      </c>
      <c r="AL103">
        <f>(100%+Dashboard!$D$5)*'Staging Data'!W103</f>
        <v>11.5</v>
      </c>
    </row>
    <row r="104" spans="1:38" x14ac:dyDescent="0.35">
      <c r="A104" s="6" t="s">
        <v>341</v>
      </c>
      <c r="B104" s="4">
        <v>45087</v>
      </c>
      <c r="C104" s="4">
        <v>45095</v>
      </c>
      <c r="D104" s="4">
        <f>IF(Table1[[#This Row],[RequiredDate]]&lt;Table1[[#This Row],[OrderDate]],Table1[[#This Row],[RequiredDate]],Table1[[#This Row],[OrderDate]])</f>
        <v>45087</v>
      </c>
      <c r="E104" s="4">
        <f>IF(Table1[[#This Row],[RequiredDate]]&gt;Table1[[#This Row],[OrderDate]],Table1[[#This Row],[RequiredDate]],Table1[[#This Row],[OrderDate]])</f>
        <v>45095</v>
      </c>
      <c r="F104" s="21">
        <f>Table1[[#This Row],[New RD]]-Table1[[#This Row],[new   od]]</f>
        <v>8</v>
      </c>
      <c r="G104" s="4">
        <f>IF(Table1[[#This Row],[RequiredDate]]&lt;Table1[[#This Row],[OrderDate]], Table1[[#This Row],[OrderDate]]+7, Table1[[#This Row],[RequiredDate]])</f>
        <v>45095</v>
      </c>
      <c r="H104" s="21">
        <f t="shared" si="11"/>
        <v>8</v>
      </c>
      <c r="I104" s="6" t="str">
        <f>IF(Table1[[#This Row],[New LTD]]&lt;=7,"Yes","No")</f>
        <v>No</v>
      </c>
      <c r="J104" s="6" t="str">
        <f t="shared" si="12"/>
        <v>No</v>
      </c>
      <c r="K104" t="s">
        <v>646</v>
      </c>
      <c r="L104" t="s">
        <v>650</v>
      </c>
      <c r="M104" t="s">
        <v>678</v>
      </c>
      <c r="N104" t="s">
        <v>706</v>
      </c>
      <c r="O104" t="s">
        <v>711</v>
      </c>
      <c r="P104" t="s">
        <v>722</v>
      </c>
      <c r="Q104" t="s">
        <v>730</v>
      </c>
      <c r="R104" t="s">
        <v>1061</v>
      </c>
      <c r="S104" s="6">
        <v>894.23</v>
      </c>
      <c r="T104" s="6">
        <v>1421.55</v>
      </c>
      <c r="U104" s="6">
        <f t="shared" si="13"/>
        <v>1421.55</v>
      </c>
      <c r="V104" s="8">
        <v>0.109</v>
      </c>
      <c r="W104" s="6">
        <v>3</v>
      </c>
      <c r="X104" s="6">
        <f t="shared" si="14"/>
        <v>3799.8031499999997</v>
      </c>
      <c r="Y104">
        <f t="shared" si="15"/>
        <v>2682.69</v>
      </c>
      <c r="Z104" s="6">
        <f t="shared" si="16"/>
        <v>1117.1131499999997</v>
      </c>
      <c r="AA104">
        <f t="shared" si="17"/>
        <v>0.29399237431549574</v>
      </c>
      <c r="AB104" t="str">
        <f t="shared" si="18"/>
        <v>6-2023</v>
      </c>
      <c r="AC104" t="str">
        <f t="shared" si="19"/>
        <v>Q2-2023</v>
      </c>
      <c r="AD104" t="str">
        <f t="shared" si="20"/>
        <v>Africa →Kenya →Nakuru</v>
      </c>
      <c r="AE104" t="str">
        <f t="shared" si="21"/>
        <v>Medium</v>
      </c>
      <c r="AF104" t="str">
        <f>TEXT(Table1[[#This Row],[OrderDate]],"MMM")</f>
        <v>Jun</v>
      </c>
      <c r="AG104" t="str">
        <f>TEXT(Table1[[#This Row],[OrderDate]],"YYYY")</f>
        <v>2023</v>
      </c>
      <c r="AI104" s="4">
        <f>IF(Table1[[#This Row],[RequiredDate]]&lt;Table1[[#This Row],[OrderDate]], Table1[[#This Row],[OrderDate]]+7, Table1[[#This Row],[RequiredDate]])</f>
        <v>45095</v>
      </c>
      <c r="AJ104">
        <f>IF(Dashboard!$D$3&gt;'Staging Data'!V104,'Staging Data'!V104,Dashboard!D$3)</f>
        <v>0.109</v>
      </c>
      <c r="AK104" s="19">
        <f>(100%+Dashboard!$D$4)*'Staging Data'!S104</f>
        <v>938.94150000000002</v>
      </c>
      <c r="AL104">
        <f>(100%+Dashboard!$D$5)*'Staging Data'!W104</f>
        <v>3.4499999999999997</v>
      </c>
    </row>
    <row r="105" spans="1:38" x14ac:dyDescent="0.35">
      <c r="A105" s="6" t="s">
        <v>459</v>
      </c>
      <c r="B105" s="4">
        <v>45090</v>
      </c>
      <c r="C105" s="4">
        <v>45101</v>
      </c>
      <c r="D105" s="4">
        <f>IF(Table1[[#This Row],[RequiredDate]]&lt;Table1[[#This Row],[OrderDate]],Table1[[#This Row],[RequiredDate]],Table1[[#This Row],[OrderDate]])</f>
        <v>45090</v>
      </c>
      <c r="E105" s="4">
        <f>IF(Table1[[#This Row],[RequiredDate]]&gt;Table1[[#This Row],[OrderDate]],Table1[[#This Row],[RequiredDate]],Table1[[#This Row],[OrderDate]])</f>
        <v>45101</v>
      </c>
      <c r="F105" s="21">
        <f>Table1[[#This Row],[New RD]]-Table1[[#This Row],[new   od]]</f>
        <v>11</v>
      </c>
      <c r="G105" s="4">
        <f>IF(Table1[[#This Row],[RequiredDate]]&lt;Table1[[#This Row],[OrderDate]], Table1[[#This Row],[OrderDate]]+7, Table1[[#This Row],[RequiredDate]])</f>
        <v>45101</v>
      </c>
      <c r="H105" s="21">
        <f t="shared" si="11"/>
        <v>11</v>
      </c>
      <c r="I105" s="6" t="str">
        <f>IF(Table1[[#This Row],[New LTD]]&lt;=7,"Yes","No")</f>
        <v>No</v>
      </c>
      <c r="J105" s="6" t="str">
        <f t="shared" si="12"/>
        <v>No</v>
      </c>
      <c r="K105" t="s">
        <v>648</v>
      </c>
      <c r="L105" t="s">
        <v>653</v>
      </c>
      <c r="M105" t="s">
        <v>667</v>
      </c>
      <c r="N105" t="s">
        <v>701</v>
      </c>
      <c r="O105" t="s">
        <v>708</v>
      </c>
      <c r="P105" t="s">
        <v>712</v>
      </c>
      <c r="Q105" t="s">
        <v>728</v>
      </c>
      <c r="R105" t="s">
        <v>1178</v>
      </c>
      <c r="S105" s="6">
        <v>247.07</v>
      </c>
      <c r="T105" s="6">
        <v>495.19</v>
      </c>
      <c r="U105" s="6">
        <f t="shared" si="13"/>
        <v>495.19</v>
      </c>
      <c r="V105" s="8">
        <v>2.8000000000000001E-2</v>
      </c>
      <c r="W105" s="6">
        <v>4</v>
      </c>
      <c r="X105" s="6">
        <f t="shared" si="14"/>
        <v>1925.29872</v>
      </c>
      <c r="Y105">
        <f t="shared" si="15"/>
        <v>988.28</v>
      </c>
      <c r="Z105" s="6">
        <f t="shared" si="16"/>
        <v>937.01872000000003</v>
      </c>
      <c r="AA105">
        <f t="shared" si="17"/>
        <v>0.48668744764968214</v>
      </c>
      <c r="AB105" t="str">
        <f t="shared" si="18"/>
        <v>6-2023</v>
      </c>
      <c r="AC105" t="str">
        <f t="shared" si="19"/>
        <v>Q2-2023</v>
      </c>
      <c r="AD105" t="str">
        <f t="shared" si="20"/>
        <v>Americas →Canada →Toronto</v>
      </c>
      <c r="AE105" t="str">
        <f t="shared" si="21"/>
        <v>Low</v>
      </c>
      <c r="AF105" t="str">
        <f>TEXT(Table1[[#This Row],[OrderDate]],"MMM")</f>
        <v>Jun</v>
      </c>
      <c r="AG105" t="str">
        <f>TEXT(Table1[[#This Row],[OrderDate]],"YYYY")</f>
        <v>2023</v>
      </c>
      <c r="AI105" s="4">
        <f>IF(Table1[[#This Row],[RequiredDate]]&lt;Table1[[#This Row],[OrderDate]], Table1[[#This Row],[OrderDate]]+7, Table1[[#This Row],[RequiredDate]])</f>
        <v>45101</v>
      </c>
      <c r="AJ105">
        <f>IF(Dashboard!$D$3&gt;'Staging Data'!V105,'Staging Data'!V105,Dashboard!D$3)</f>
        <v>2.8000000000000001E-2</v>
      </c>
      <c r="AK105" s="19">
        <f>(100%+Dashboard!$D$4)*'Staging Data'!S105</f>
        <v>259.42349999999999</v>
      </c>
      <c r="AL105">
        <f>(100%+Dashboard!$D$5)*'Staging Data'!W105</f>
        <v>4.5999999999999996</v>
      </c>
    </row>
    <row r="106" spans="1:38" x14ac:dyDescent="0.35">
      <c r="A106" s="6" t="s">
        <v>93</v>
      </c>
      <c r="B106" s="4">
        <v>45091</v>
      </c>
      <c r="C106" s="4">
        <v>45093</v>
      </c>
      <c r="D106" s="4">
        <f>IF(Table1[[#This Row],[RequiredDate]]&lt;Table1[[#This Row],[OrderDate]],Table1[[#This Row],[RequiredDate]],Table1[[#This Row],[OrderDate]])</f>
        <v>45091</v>
      </c>
      <c r="E106" s="4">
        <f>IF(Table1[[#This Row],[RequiredDate]]&gt;Table1[[#This Row],[OrderDate]],Table1[[#This Row],[RequiredDate]],Table1[[#This Row],[OrderDate]])</f>
        <v>45093</v>
      </c>
      <c r="F106" s="21">
        <f>Table1[[#This Row],[New RD]]-Table1[[#This Row],[new   od]]</f>
        <v>2</v>
      </c>
      <c r="G106" s="4">
        <f>IF(Table1[[#This Row],[RequiredDate]]&lt;Table1[[#This Row],[OrderDate]], Table1[[#This Row],[OrderDate]]+7, Table1[[#This Row],[RequiredDate]])</f>
        <v>45093</v>
      </c>
      <c r="H106" s="21">
        <f t="shared" si="11"/>
        <v>2</v>
      </c>
      <c r="I106" s="6" t="str">
        <f>IF(Table1[[#This Row],[New LTD]]&lt;=7,"Yes","No")</f>
        <v>Yes</v>
      </c>
      <c r="J106" s="6" t="str">
        <f t="shared" si="12"/>
        <v>Yes</v>
      </c>
      <c r="K106" t="s">
        <v>649</v>
      </c>
      <c r="L106" t="s">
        <v>658</v>
      </c>
      <c r="M106" t="s">
        <v>693</v>
      </c>
      <c r="N106" t="s">
        <v>703</v>
      </c>
      <c r="O106" t="s">
        <v>711</v>
      </c>
      <c r="P106" t="s">
        <v>723</v>
      </c>
      <c r="Q106" t="s">
        <v>727</v>
      </c>
      <c r="R106" t="s">
        <v>812</v>
      </c>
      <c r="S106" s="6">
        <v>357.36</v>
      </c>
      <c r="T106" s="6">
        <v>703.62</v>
      </c>
      <c r="U106" s="6">
        <f t="shared" si="13"/>
        <v>703.62</v>
      </c>
      <c r="V106" s="8">
        <v>0.25700000000000001</v>
      </c>
      <c r="W106" s="6">
        <v>20</v>
      </c>
      <c r="X106" s="6">
        <f t="shared" si="14"/>
        <v>10455.7932</v>
      </c>
      <c r="Y106">
        <f t="shared" si="15"/>
        <v>7147.2000000000007</v>
      </c>
      <c r="Z106" s="6">
        <f t="shared" si="16"/>
        <v>3308.5931999999993</v>
      </c>
      <c r="AA106">
        <f t="shared" si="17"/>
        <v>0.31643636563125593</v>
      </c>
      <c r="AB106" t="str">
        <f t="shared" si="18"/>
        <v>6-2023</v>
      </c>
      <c r="AC106" t="str">
        <f t="shared" si="19"/>
        <v>Q2-2023</v>
      </c>
      <c r="AD106" t="str">
        <f t="shared" si="20"/>
        <v>Europe →United Kingdom →Manchester</v>
      </c>
      <c r="AE106" t="str">
        <f t="shared" si="21"/>
        <v>Low</v>
      </c>
      <c r="AF106" t="str">
        <f>TEXT(Table1[[#This Row],[OrderDate]],"MMM")</f>
        <v>Jun</v>
      </c>
      <c r="AG106" t="str">
        <f>TEXT(Table1[[#This Row],[OrderDate]],"YYYY")</f>
        <v>2023</v>
      </c>
      <c r="AI106" s="4">
        <f>IF(Table1[[#This Row],[RequiredDate]]&lt;Table1[[#This Row],[OrderDate]], Table1[[#This Row],[OrderDate]]+7, Table1[[#This Row],[RequiredDate]])</f>
        <v>45093</v>
      </c>
      <c r="AJ106">
        <f>IF(Dashboard!$D$3&gt;'Staging Data'!V106,'Staging Data'!V106,Dashboard!D$3)</f>
        <v>0.2</v>
      </c>
      <c r="AK106" s="19">
        <f>(100%+Dashboard!$D$4)*'Staging Data'!S106</f>
        <v>375.22800000000001</v>
      </c>
      <c r="AL106">
        <f>(100%+Dashboard!$D$5)*'Staging Data'!W106</f>
        <v>23</v>
      </c>
    </row>
    <row r="107" spans="1:38" x14ac:dyDescent="0.35">
      <c r="A107" s="6" t="s">
        <v>294</v>
      </c>
      <c r="B107" s="4">
        <v>45092</v>
      </c>
      <c r="C107" s="4">
        <v>45100</v>
      </c>
      <c r="D107" s="4">
        <f>IF(Table1[[#This Row],[RequiredDate]]&lt;Table1[[#This Row],[OrderDate]],Table1[[#This Row],[RequiredDate]],Table1[[#This Row],[OrderDate]])</f>
        <v>45092</v>
      </c>
      <c r="E107" s="4">
        <f>IF(Table1[[#This Row],[RequiredDate]]&gt;Table1[[#This Row],[OrderDate]],Table1[[#This Row],[RequiredDate]],Table1[[#This Row],[OrderDate]])</f>
        <v>45100</v>
      </c>
      <c r="F107" s="21">
        <f>Table1[[#This Row],[New RD]]-Table1[[#This Row],[new   od]]</f>
        <v>8</v>
      </c>
      <c r="G107" s="4">
        <f>IF(Table1[[#This Row],[RequiredDate]]&lt;Table1[[#This Row],[OrderDate]], Table1[[#This Row],[OrderDate]]+7, Table1[[#This Row],[RequiredDate]])</f>
        <v>45100</v>
      </c>
      <c r="H107" s="21">
        <f t="shared" si="11"/>
        <v>8</v>
      </c>
      <c r="I107" s="6" t="str">
        <f>IF(Table1[[#This Row],[New LTD]]&lt;=7,"Yes","No")</f>
        <v>No</v>
      </c>
      <c r="J107" s="6" t="str">
        <f t="shared" si="12"/>
        <v>No</v>
      </c>
      <c r="K107" t="s">
        <v>648</v>
      </c>
      <c r="L107" t="s">
        <v>660</v>
      </c>
      <c r="M107" t="s">
        <v>686</v>
      </c>
      <c r="N107" t="s">
        <v>704</v>
      </c>
      <c r="O107" t="s">
        <v>710</v>
      </c>
      <c r="P107" t="s">
        <v>719</v>
      </c>
      <c r="Q107" t="s">
        <v>732</v>
      </c>
      <c r="R107" t="s">
        <v>1014</v>
      </c>
      <c r="S107" s="6">
        <v>1097.0899999999999</v>
      </c>
      <c r="T107" s="6">
        <v>2182.31</v>
      </c>
      <c r="U107" s="6">
        <f t="shared" si="13"/>
        <v>2182.31</v>
      </c>
      <c r="V107" s="8">
        <v>0.112</v>
      </c>
      <c r="W107" s="6">
        <v>9</v>
      </c>
      <c r="X107" s="6">
        <f t="shared" si="14"/>
        <v>17441.021520000002</v>
      </c>
      <c r="Y107">
        <f t="shared" si="15"/>
        <v>9873.81</v>
      </c>
      <c r="Z107" s="6">
        <f t="shared" si="16"/>
        <v>7567.2115200000026</v>
      </c>
      <c r="AA107">
        <f t="shared" si="17"/>
        <v>0.43387432962699546</v>
      </c>
      <c r="AB107" t="str">
        <f t="shared" si="18"/>
        <v>6-2023</v>
      </c>
      <c r="AC107" t="str">
        <f t="shared" si="19"/>
        <v>Q2-2023</v>
      </c>
      <c r="AD107" t="str">
        <f t="shared" si="20"/>
        <v>Americas →USA →San Francisco</v>
      </c>
      <c r="AE107" t="str">
        <f t="shared" si="21"/>
        <v>High</v>
      </c>
      <c r="AF107" t="str">
        <f>TEXT(Table1[[#This Row],[OrderDate]],"MMM")</f>
        <v>Jun</v>
      </c>
      <c r="AG107" t="str">
        <f>TEXT(Table1[[#This Row],[OrderDate]],"YYYY")</f>
        <v>2023</v>
      </c>
      <c r="AI107" s="4">
        <f>IF(Table1[[#This Row],[RequiredDate]]&lt;Table1[[#This Row],[OrderDate]], Table1[[#This Row],[OrderDate]]+7, Table1[[#This Row],[RequiredDate]])</f>
        <v>45100</v>
      </c>
      <c r="AJ107">
        <f>IF(Dashboard!$D$3&gt;'Staging Data'!V107,'Staging Data'!V107,Dashboard!D$3)</f>
        <v>0.112</v>
      </c>
      <c r="AK107" s="19">
        <f>(100%+Dashboard!$D$4)*'Staging Data'!S107</f>
        <v>1151.9445000000001</v>
      </c>
      <c r="AL107">
        <f>(100%+Dashboard!$D$5)*'Staging Data'!W107</f>
        <v>10.35</v>
      </c>
    </row>
    <row r="108" spans="1:38" x14ac:dyDescent="0.35">
      <c r="A108" s="6" t="s">
        <v>592</v>
      </c>
      <c r="B108" s="4">
        <v>45092</v>
      </c>
      <c r="C108" s="4">
        <v>45119</v>
      </c>
      <c r="D108" s="4">
        <f>IF(Table1[[#This Row],[RequiredDate]]&lt;Table1[[#This Row],[OrderDate]],Table1[[#This Row],[RequiredDate]],Table1[[#This Row],[OrderDate]])</f>
        <v>45092</v>
      </c>
      <c r="E108" s="4">
        <f>IF(Table1[[#This Row],[RequiredDate]]&gt;Table1[[#This Row],[OrderDate]],Table1[[#This Row],[RequiredDate]],Table1[[#This Row],[OrderDate]])</f>
        <v>45119</v>
      </c>
      <c r="F108" s="21">
        <f>Table1[[#This Row],[New RD]]-Table1[[#This Row],[new   od]]</f>
        <v>27</v>
      </c>
      <c r="G108" s="4">
        <f>IF(Table1[[#This Row],[RequiredDate]]&lt;Table1[[#This Row],[OrderDate]], Table1[[#This Row],[OrderDate]]+7, Table1[[#This Row],[RequiredDate]])</f>
        <v>45119</v>
      </c>
      <c r="H108" s="21">
        <f t="shared" si="11"/>
        <v>27</v>
      </c>
      <c r="I108" s="6" t="str">
        <f>IF(Table1[[#This Row],[New LTD]]&lt;=7,"Yes","No")</f>
        <v>No</v>
      </c>
      <c r="J108" s="6" t="str">
        <f t="shared" si="12"/>
        <v>No</v>
      </c>
      <c r="K108" t="s">
        <v>649</v>
      </c>
      <c r="L108" t="s">
        <v>658</v>
      </c>
      <c r="M108" t="s">
        <v>693</v>
      </c>
      <c r="N108" t="s">
        <v>704</v>
      </c>
      <c r="O108" t="s">
        <v>711</v>
      </c>
      <c r="P108" t="s">
        <v>714</v>
      </c>
      <c r="Q108" t="s">
        <v>733</v>
      </c>
      <c r="R108" t="s">
        <v>1310</v>
      </c>
      <c r="S108" s="6">
        <v>751.28</v>
      </c>
      <c r="T108" s="6">
        <v>1111.8800000000001</v>
      </c>
      <c r="U108" s="6">
        <f t="shared" si="13"/>
        <v>1111.8800000000001</v>
      </c>
      <c r="V108" s="8">
        <v>0.13500000000000001</v>
      </c>
      <c r="W108" s="6">
        <v>7</v>
      </c>
      <c r="X108" s="6">
        <f t="shared" si="14"/>
        <v>6732.4334000000008</v>
      </c>
      <c r="Y108">
        <f t="shared" si="15"/>
        <v>5258.96</v>
      </c>
      <c r="Z108" s="6">
        <f t="shared" si="16"/>
        <v>1473.4734000000008</v>
      </c>
      <c r="AA108">
        <f t="shared" si="17"/>
        <v>0.21886193482433863</v>
      </c>
      <c r="AB108" t="str">
        <f t="shared" si="18"/>
        <v>6-2023</v>
      </c>
      <c r="AC108" t="str">
        <f t="shared" si="19"/>
        <v>Q2-2023</v>
      </c>
      <c r="AD108" t="str">
        <f t="shared" si="20"/>
        <v>Europe →United Kingdom →Manchester</v>
      </c>
      <c r="AE108" t="str">
        <f t="shared" si="21"/>
        <v>Medium</v>
      </c>
      <c r="AF108" t="str">
        <f>TEXT(Table1[[#This Row],[OrderDate]],"MMM")</f>
        <v>Jun</v>
      </c>
      <c r="AG108" t="str">
        <f>TEXT(Table1[[#This Row],[OrderDate]],"YYYY")</f>
        <v>2023</v>
      </c>
      <c r="AI108" s="4">
        <f>IF(Table1[[#This Row],[RequiredDate]]&lt;Table1[[#This Row],[OrderDate]], Table1[[#This Row],[OrderDate]]+7, Table1[[#This Row],[RequiredDate]])</f>
        <v>45119</v>
      </c>
      <c r="AJ108">
        <f>IF(Dashboard!$D$3&gt;'Staging Data'!V108,'Staging Data'!V108,Dashboard!D$3)</f>
        <v>0.13500000000000001</v>
      </c>
      <c r="AK108" s="19">
        <f>(100%+Dashboard!$D$4)*'Staging Data'!S108</f>
        <v>788.84400000000005</v>
      </c>
      <c r="AL108">
        <f>(100%+Dashboard!$D$5)*'Staging Data'!W108</f>
        <v>8.0499999999999989</v>
      </c>
    </row>
    <row r="109" spans="1:38" x14ac:dyDescent="0.35">
      <c r="A109" s="6" t="s">
        <v>54</v>
      </c>
      <c r="B109" s="4">
        <v>45094</v>
      </c>
      <c r="C109" s="4">
        <v>45101</v>
      </c>
      <c r="D109" s="4">
        <f>IF(Table1[[#This Row],[RequiredDate]]&lt;Table1[[#This Row],[OrderDate]],Table1[[#This Row],[RequiredDate]],Table1[[#This Row],[OrderDate]])</f>
        <v>45094</v>
      </c>
      <c r="E109" s="4">
        <f>IF(Table1[[#This Row],[RequiredDate]]&gt;Table1[[#This Row],[OrderDate]],Table1[[#This Row],[RequiredDate]],Table1[[#This Row],[OrderDate]])</f>
        <v>45101</v>
      </c>
      <c r="F109" s="21">
        <f>Table1[[#This Row],[New RD]]-Table1[[#This Row],[new   od]]</f>
        <v>7</v>
      </c>
      <c r="G109" s="4">
        <f>IF(Table1[[#This Row],[RequiredDate]]&lt;Table1[[#This Row],[OrderDate]], Table1[[#This Row],[OrderDate]]+7, Table1[[#This Row],[RequiredDate]])</f>
        <v>45101</v>
      </c>
      <c r="H109" s="21">
        <f t="shared" si="11"/>
        <v>7</v>
      </c>
      <c r="I109" s="6" t="str">
        <f>IF(Table1[[#This Row],[New LTD]]&lt;=7,"Yes","No")</f>
        <v>Yes</v>
      </c>
      <c r="J109" s="6" t="str">
        <f t="shared" si="12"/>
        <v>No</v>
      </c>
      <c r="K109" t="s">
        <v>648</v>
      </c>
      <c r="L109" t="s">
        <v>660</v>
      </c>
      <c r="M109" t="s">
        <v>686</v>
      </c>
      <c r="N109" t="s">
        <v>701</v>
      </c>
      <c r="O109" t="s">
        <v>707</v>
      </c>
      <c r="P109" t="s">
        <v>714</v>
      </c>
      <c r="Q109" t="s">
        <v>728</v>
      </c>
      <c r="R109" t="s">
        <v>773</v>
      </c>
      <c r="S109" s="6">
        <v>313.99</v>
      </c>
      <c r="T109" s="6">
        <v>454.42</v>
      </c>
      <c r="U109" s="6">
        <f t="shared" si="13"/>
        <v>454.42</v>
      </c>
      <c r="V109" s="8">
        <v>0.129</v>
      </c>
      <c r="W109" s="6">
        <v>9</v>
      </c>
      <c r="X109" s="6">
        <f t="shared" si="14"/>
        <v>3562.1983800000003</v>
      </c>
      <c r="Y109">
        <f t="shared" si="15"/>
        <v>2825.91</v>
      </c>
      <c r="Z109" s="6">
        <f t="shared" si="16"/>
        <v>736.28838000000042</v>
      </c>
      <c r="AA109">
        <f t="shared" si="17"/>
        <v>0.20669493988147858</v>
      </c>
      <c r="AB109" t="str">
        <f t="shared" si="18"/>
        <v>6-2023</v>
      </c>
      <c r="AC109" t="str">
        <f t="shared" si="19"/>
        <v>Q2-2023</v>
      </c>
      <c r="AD109" t="str">
        <f t="shared" si="20"/>
        <v>Americas →USA →San Francisco</v>
      </c>
      <c r="AE109" t="str">
        <f t="shared" si="21"/>
        <v>Low</v>
      </c>
      <c r="AF109" t="str">
        <f>TEXT(Table1[[#This Row],[OrderDate]],"MMM")</f>
        <v>Jun</v>
      </c>
      <c r="AG109" t="str">
        <f>TEXT(Table1[[#This Row],[OrderDate]],"YYYY")</f>
        <v>2023</v>
      </c>
      <c r="AI109" s="4">
        <f>IF(Table1[[#This Row],[RequiredDate]]&lt;Table1[[#This Row],[OrderDate]], Table1[[#This Row],[OrderDate]]+7, Table1[[#This Row],[RequiredDate]])</f>
        <v>45101</v>
      </c>
      <c r="AJ109">
        <f>IF(Dashboard!$D$3&gt;'Staging Data'!V109,'Staging Data'!V109,Dashboard!D$3)</f>
        <v>0.129</v>
      </c>
      <c r="AK109" s="19">
        <f>(100%+Dashboard!$D$4)*'Staging Data'!S109</f>
        <v>329.68950000000001</v>
      </c>
      <c r="AL109">
        <f>(100%+Dashboard!$D$5)*'Staging Data'!W109</f>
        <v>10.35</v>
      </c>
    </row>
    <row r="110" spans="1:38" x14ac:dyDescent="0.35">
      <c r="A110" s="6" t="s">
        <v>311</v>
      </c>
      <c r="B110" s="4">
        <v>45097</v>
      </c>
      <c r="C110" s="4">
        <v>45115</v>
      </c>
      <c r="D110" s="4">
        <f>IF(Table1[[#This Row],[RequiredDate]]&lt;Table1[[#This Row],[OrderDate]],Table1[[#This Row],[RequiredDate]],Table1[[#This Row],[OrderDate]])</f>
        <v>45097</v>
      </c>
      <c r="E110" s="4">
        <f>IF(Table1[[#This Row],[RequiredDate]]&gt;Table1[[#This Row],[OrderDate]],Table1[[#This Row],[RequiredDate]],Table1[[#This Row],[OrderDate]])</f>
        <v>45115</v>
      </c>
      <c r="F110" s="21">
        <f>Table1[[#This Row],[New RD]]-Table1[[#This Row],[new   od]]</f>
        <v>18</v>
      </c>
      <c r="G110" s="4">
        <f>IF(Table1[[#This Row],[RequiredDate]]&lt;Table1[[#This Row],[OrderDate]], Table1[[#This Row],[OrderDate]]+7, Table1[[#This Row],[RequiredDate]])</f>
        <v>45115</v>
      </c>
      <c r="H110" s="21">
        <f t="shared" si="11"/>
        <v>18</v>
      </c>
      <c r="I110" s="6" t="str">
        <f>IF(Table1[[#This Row],[New LTD]]&lt;=7,"Yes","No")</f>
        <v>No</v>
      </c>
      <c r="J110" s="6" t="str">
        <f t="shared" si="12"/>
        <v>No</v>
      </c>
      <c r="K110" t="s">
        <v>648</v>
      </c>
      <c r="L110" t="s">
        <v>660</v>
      </c>
      <c r="M110" t="s">
        <v>697</v>
      </c>
      <c r="N110" t="s">
        <v>703</v>
      </c>
      <c r="O110" t="s">
        <v>711</v>
      </c>
      <c r="P110" t="s">
        <v>721</v>
      </c>
      <c r="Q110" t="s">
        <v>732</v>
      </c>
      <c r="R110" t="s">
        <v>1031</v>
      </c>
      <c r="S110" s="6">
        <v>337</v>
      </c>
      <c r="T110" s="6">
        <v>511.03</v>
      </c>
      <c r="U110" s="6">
        <f t="shared" si="13"/>
        <v>511.03</v>
      </c>
      <c r="V110" s="8">
        <v>0.108</v>
      </c>
      <c r="W110" s="6">
        <v>7</v>
      </c>
      <c r="X110" s="6">
        <f t="shared" si="14"/>
        <v>3190.8713200000002</v>
      </c>
      <c r="Y110">
        <f t="shared" si="15"/>
        <v>2359</v>
      </c>
      <c r="Z110" s="6">
        <f t="shared" si="16"/>
        <v>831.8713200000002</v>
      </c>
      <c r="AA110">
        <f t="shared" si="17"/>
        <v>0.26070349963219458</v>
      </c>
      <c r="AB110" t="str">
        <f t="shared" si="18"/>
        <v>6-2023</v>
      </c>
      <c r="AC110" t="str">
        <f t="shared" si="19"/>
        <v>Q2-2023</v>
      </c>
      <c r="AD110" t="str">
        <f t="shared" si="20"/>
        <v>Americas →USA →Austin</v>
      </c>
      <c r="AE110" t="str">
        <f t="shared" si="21"/>
        <v>Low</v>
      </c>
      <c r="AF110" t="str">
        <f>TEXT(Table1[[#This Row],[OrderDate]],"MMM")</f>
        <v>Jun</v>
      </c>
      <c r="AG110" t="str">
        <f>TEXT(Table1[[#This Row],[OrderDate]],"YYYY")</f>
        <v>2023</v>
      </c>
      <c r="AI110" s="4">
        <f>IF(Table1[[#This Row],[RequiredDate]]&lt;Table1[[#This Row],[OrderDate]], Table1[[#This Row],[OrderDate]]+7, Table1[[#This Row],[RequiredDate]])</f>
        <v>45115</v>
      </c>
      <c r="AJ110">
        <f>IF(Dashboard!$D$3&gt;'Staging Data'!V110,'Staging Data'!V110,Dashboard!D$3)</f>
        <v>0.108</v>
      </c>
      <c r="AK110" s="19">
        <f>(100%+Dashboard!$D$4)*'Staging Data'!S110</f>
        <v>353.85</v>
      </c>
      <c r="AL110">
        <f>(100%+Dashboard!$D$5)*'Staging Data'!W110</f>
        <v>8.0499999999999989</v>
      </c>
    </row>
    <row r="111" spans="1:38" x14ac:dyDescent="0.35">
      <c r="A111" s="6" t="s">
        <v>397</v>
      </c>
      <c r="B111" s="4">
        <v>45097</v>
      </c>
      <c r="C111" s="4">
        <v>45115</v>
      </c>
      <c r="D111" s="4">
        <f>IF(Table1[[#This Row],[RequiredDate]]&lt;Table1[[#This Row],[OrderDate]],Table1[[#This Row],[RequiredDate]],Table1[[#This Row],[OrderDate]])</f>
        <v>45097</v>
      </c>
      <c r="E111" s="4">
        <f>IF(Table1[[#This Row],[RequiredDate]]&gt;Table1[[#This Row],[OrderDate]],Table1[[#This Row],[RequiredDate]],Table1[[#This Row],[OrderDate]])</f>
        <v>45115</v>
      </c>
      <c r="F111" s="21">
        <f>Table1[[#This Row],[New RD]]-Table1[[#This Row],[new   od]]</f>
        <v>18</v>
      </c>
      <c r="G111" s="4">
        <f>IF(Table1[[#This Row],[RequiredDate]]&lt;Table1[[#This Row],[OrderDate]], Table1[[#This Row],[OrderDate]]+7, Table1[[#This Row],[RequiredDate]])</f>
        <v>45115</v>
      </c>
      <c r="H111" s="21">
        <f t="shared" si="11"/>
        <v>18</v>
      </c>
      <c r="I111" s="6" t="str">
        <f>IF(Table1[[#This Row],[New LTD]]&lt;=7,"Yes","No")</f>
        <v>No</v>
      </c>
      <c r="J111" s="6" t="str">
        <f t="shared" si="12"/>
        <v>No</v>
      </c>
      <c r="K111" t="s">
        <v>648</v>
      </c>
      <c r="L111" t="s">
        <v>660</v>
      </c>
      <c r="M111" t="s">
        <v>700</v>
      </c>
      <c r="N111" t="s">
        <v>704</v>
      </c>
      <c r="O111" t="s">
        <v>709</v>
      </c>
      <c r="P111" t="s">
        <v>719</v>
      </c>
      <c r="Q111" t="s">
        <v>729</v>
      </c>
      <c r="R111" t="s">
        <v>1116</v>
      </c>
      <c r="S111" s="6">
        <v>1145.53</v>
      </c>
      <c r="T111" s="6">
        <v>1278.3</v>
      </c>
      <c r="U111" s="6">
        <f t="shared" si="13"/>
        <v>1278.3</v>
      </c>
      <c r="V111" s="8">
        <v>0.09</v>
      </c>
      <c r="W111" s="6">
        <v>41</v>
      </c>
      <c r="X111" s="6">
        <f t="shared" si="14"/>
        <v>47693.373</v>
      </c>
      <c r="Y111">
        <f t="shared" si="15"/>
        <v>46966.729999999996</v>
      </c>
      <c r="Z111" s="6">
        <f t="shared" si="16"/>
        <v>726.64300000000367</v>
      </c>
      <c r="AA111">
        <f t="shared" si="17"/>
        <v>1.5235722581416158E-2</v>
      </c>
      <c r="AB111" t="str">
        <f t="shared" si="18"/>
        <v>6-2023</v>
      </c>
      <c r="AC111" t="str">
        <f t="shared" si="19"/>
        <v>Q2-2023</v>
      </c>
      <c r="AD111" t="str">
        <f t="shared" si="20"/>
        <v>Americas →USA →New York</v>
      </c>
      <c r="AE111" t="str">
        <f t="shared" si="21"/>
        <v>Medium</v>
      </c>
      <c r="AF111" t="str">
        <f>TEXT(Table1[[#This Row],[OrderDate]],"MMM")</f>
        <v>Jun</v>
      </c>
      <c r="AG111" t="str">
        <f>TEXT(Table1[[#This Row],[OrderDate]],"YYYY")</f>
        <v>2023</v>
      </c>
      <c r="AI111" s="4">
        <f>IF(Table1[[#This Row],[RequiredDate]]&lt;Table1[[#This Row],[OrderDate]], Table1[[#This Row],[OrderDate]]+7, Table1[[#This Row],[RequiredDate]])</f>
        <v>45115</v>
      </c>
      <c r="AJ111">
        <f>IF(Dashboard!$D$3&gt;'Staging Data'!V111,'Staging Data'!V111,Dashboard!D$3)</f>
        <v>0.09</v>
      </c>
      <c r="AK111" s="19">
        <f>(100%+Dashboard!$D$4)*'Staging Data'!S111</f>
        <v>1202.8064999999999</v>
      </c>
      <c r="AL111">
        <f>(100%+Dashboard!$D$5)*'Staging Data'!W111</f>
        <v>47.15</v>
      </c>
    </row>
    <row r="112" spans="1:38" x14ac:dyDescent="0.35">
      <c r="A112" s="6" t="s">
        <v>510</v>
      </c>
      <c r="B112" s="4">
        <v>45097</v>
      </c>
      <c r="C112" s="4">
        <v>45111</v>
      </c>
      <c r="D112" s="4">
        <f>IF(Table1[[#This Row],[RequiredDate]]&lt;Table1[[#This Row],[OrderDate]],Table1[[#This Row],[RequiredDate]],Table1[[#This Row],[OrderDate]])</f>
        <v>45097</v>
      </c>
      <c r="E112" s="4">
        <f>IF(Table1[[#This Row],[RequiredDate]]&gt;Table1[[#This Row],[OrderDate]],Table1[[#This Row],[RequiredDate]],Table1[[#This Row],[OrderDate]])</f>
        <v>45111</v>
      </c>
      <c r="F112" s="21">
        <f>Table1[[#This Row],[New RD]]-Table1[[#This Row],[new   od]]</f>
        <v>14</v>
      </c>
      <c r="G112" s="4">
        <f>IF(Table1[[#This Row],[RequiredDate]]&lt;Table1[[#This Row],[OrderDate]], Table1[[#This Row],[OrderDate]]+7, Table1[[#This Row],[RequiredDate]])</f>
        <v>45111</v>
      </c>
      <c r="H112" s="21">
        <f t="shared" si="11"/>
        <v>14</v>
      </c>
      <c r="I112" s="6" t="str">
        <f>IF(Table1[[#This Row],[New LTD]]&lt;=7,"Yes","No")</f>
        <v>No</v>
      </c>
      <c r="J112" s="6" t="str">
        <f t="shared" si="12"/>
        <v>No</v>
      </c>
      <c r="K112" t="s">
        <v>648</v>
      </c>
      <c r="L112" t="s">
        <v>655</v>
      </c>
      <c r="M112" t="s">
        <v>672</v>
      </c>
      <c r="N112" t="s">
        <v>703</v>
      </c>
      <c r="O112" t="s">
        <v>711</v>
      </c>
      <c r="P112" t="s">
        <v>712</v>
      </c>
      <c r="Q112" t="s">
        <v>729</v>
      </c>
      <c r="R112" t="s">
        <v>1229</v>
      </c>
      <c r="S112" s="6">
        <v>1292.8599999999999</v>
      </c>
      <c r="T112" s="6">
        <v>2981.01</v>
      </c>
      <c r="U112" s="6">
        <f t="shared" si="13"/>
        <v>2981.01</v>
      </c>
      <c r="V112" s="8">
        <v>0.14199999999999999</v>
      </c>
      <c r="W112" s="6">
        <v>12</v>
      </c>
      <c r="X112" s="6">
        <f t="shared" si="14"/>
        <v>30692.47896</v>
      </c>
      <c r="Y112">
        <f t="shared" si="15"/>
        <v>15514.32</v>
      </c>
      <c r="Z112" s="6">
        <f t="shared" si="16"/>
        <v>15178.158960000001</v>
      </c>
      <c r="AA112">
        <f t="shared" si="17"/>
        <v>0.49452372288927687</v>
      </c>
      <c r="AB112" t="str">
        <f t="shared" si="18"/>
        <v>6-2023</v>
      </c>
      <c r="AC112" t="str">
        <f t="shared" si="19"/>
        <v>Q2-2023</v>
      </c>
      <c r="AD112" t="str">
        <f t="shared" si="20"/>
        <v>Americas →Brazil →Brasília</v>
      </c>
      <c r="AE112" t="str">
        <f t="shared" si="21"/>
        <v>High</v>
      </c>
      <c r="AF112" t="str">
        <f>TEXT(Table1[[#This Row],[OrderDate]],"MMM")</f>
        <v>Jun</v>
      </c>
      <c r="AG112" t="str">
        <f>TEXT(Table1[[#This Row],[OrderDate]],"YYYY")</f>
        <v>2023</v>
      </c>
      <c r="AI112" s="4">
        <f>IF(Table1[[#This Row],[RequiredDate]]&lt;Table1[[#This Row],[OrderDate]], Table1[[#This Row],[OrderDate]]+7, Table1[[#This Row],[RequiredDate]])</f>
        <v>45111</v>
      </c>
      <c r="AJ112">
        <f>IF(Dashboard!$D$3&gt;'Staging Data'!V112,'Staging Data'!V112,Dashboard!D$3)</f>
        <v>0.14199999999999999</v>
      </c>
      <c r="AK112" s="19">
        <f>(100%+Dashboard!$D$4)*'Staging Data'!S112</f>
        <v>1357.5029999999999</v>
      </c>
      <c r="AL112">
        <f>(100%+Dashboard!$D$5)*'Staging Data'!W112</f>
        <v>13.799999999999999</v>
      </c>
    </row>
    <row r="113" spans="1:38" x14ac:dyDescent="0.35">
      <c r="A113" s="6" t="s">
        <v>200</v>
      </c>
      <c r="B113" s="4">
        <v>45099</v>
      </c>
      <c r="C113" s="4">
        <v>45128</v>
      </c>
      <c r="D113" s="4">
        <f>IF(Table1[[#This Row],[RequiredDate]]&lt;Table1[[#This Row],[OrderDate]],Table1[[#This Row],[RequiredDate]],Table1[[#This Row],[OrderDate]])</f>
        <v>45099</v>
      </c>
      <c r="E113" s="4">
        <f>IF(Table1[[#This Row],[RequiredDate]]&gt;Table1[[#This Row],[OrderDate]],Table1[[#This Row],[RequiredDate]],Table1[[#This Row],[OrderDate]])</f>
        <v>45128</v>
      </c>
      <c r="F113" s="21">
        <f>Table1[[#This Row],[New RD]]-Table1[[#This Row],[new   od]]</f>
        <v>29</v>
      </c>
      <c r="G113" s="4">
        <f>IF(Table1[[#This Row],[RequiredDate]]&lt;Table1[[#This Row],[OrderDate]], Table1[[#This Row],[OrderDate]]+7, Table1[[#This Row],[RequiredDate]])</f>
        <v>45128</v>
      </c>
      <c r="H113" s="21">
        <f t="shared" si="11"/>
        <v>29</v>
      </c>
      <c r="I113" s="6" t="str">
        <f>IF(Table1[[#This Row],[New LTD]]&lt;=7,"Yes","No")</f>
        <v>No</v>
      </c>
      <c r="J113" s="6" t="str">
        <f t="shared" si="12"/>
        <v>No</v>
      </c>
      <c r="K113" t="s">
        <v>649</v>
      </c>
      <c r="L113" t="s">
        <v>657</v>
      </c>
      <c r="M113" t="s">
        <v>679</v>
      </c>
      <c r="N113" t="s">
        <v>701</v>
      </c>
      <c r="O113" t="s">
        <v>707</v>
      </c>
      <c r="P113" t="s">
        <v>713</v>
      </c>
      <c r="Q113" t="s">
        <v>733</v>
      </c>
      <c r="R113" t="s">
        <v>919</v>
      </c>
      <c r="S113" s="6">
        <v>734.34</v>
      </c>
      <c r="T113" s="6">
        <v>887.9</v>
      </c>
      <c r="U113" s="6">
        <f t="shared" si="13"/>
        <v>887.9</v>
      </c>
      <c r="V113" s="8">
        <v>2.5000000000000001E-2</v>
      </c>
      <c r="W113" s="6">
        <v>12</v>
      </c>
      <c r="X113" s="6">
        <f t="shared" si="14"/>
        <v>10388.429999999998</v>
      </c>
      <c r="Y113">
        <f t="shared" si="15"/>
        <v>8812.08</v>
      </c>
      <c r="Z113" s="6">
        <f t="shared" si="16"/>
        <v>1576.3499999999985</v>
      </c>
      <c r="AA113">
        <f t="shared" si="17"/>
        <v>0.15174092716608753</v>
      </c>
      <c r="AB113" t="str">
        <f t="shared" si="18"/>
        <v>6-2023</v>
      </c>
      <c r="AC113" t="str">
        <f t="shared" si="19"/>
        <v>Q2-2023</v>
      </c>
      <c r="AD113" t="str">
        <f t="shared" si="20"/>
        <v>Europe →France →Lyon</v>
      </c>
      <c r="AE113" t="str">
        <f t="shared" si="21"/>
        <v>Medium</v>
      </c>
      <c r="AF113" t="str">
        <f>TEXT(Table1[[#This Row],[OrderDate]],"MMM")</f>
        <v>Jun</v>
      </c>
      <c r="AG113" t="str">
        <f>TEXT(Table1[[#This Row],[OrderDate]],"YYYY")</f>
        <v>2023</v>
      </c>
      <c r="AI113" s="4">
        <f>IF(Table1[[#This Row],[RequiredDate]]&lt;Table1[[#This Row],[OrderDate]], Table1[[#This Row],[OrderDate]]+7, Table1[[#This Row],[RequiredDate]])</f>
        <v>45128</v>
      </c>
      <c r="AJ113">
        <f>IF(Dashboard!$D$3&gt;'Staging Data'!V113,'Staging Data'!V113,Dashboard!D$3)</f>
        <v>2.5000000000000001E-2</v>
      </c>
      <c r="AK113" s="19">
        <f>(100%+Dashboard!$D$4)*'Staging Data'!S113</f>
        <v>771.05700000000002</v>
      </c>
      <c r="AL113">
        <f>(100%+Dashboard!$D$5)*'Staging Data'!W113</f>
        <v>13.799999999999999</v>
      </c>
    </row>
    <row r="114" spans="1:38" x14ac:dyDescent="0.35">
      <c r="A114" s="6" t="s">
        <v>61</v>
      </c>
      <c r="B114" s="4">
        <v>45100</v>
      </c>
      <c r="C114" s="4">
        <v>45110</v>
      </c>
      <c r="D114" s="4">
        <f>IF(Table1[[#This Row],[RequiredDate]]&lt;Table1[[#This Row],[OrderDate]],Table1[[#This Row],[RequiredDate]],Table1[[#This Row],[OrderDate]])</f>
        <v>45100</v>
      </c>
      <c r="E114" s="4">
        <f>IF(Table1[[#This Row],[RequiredDate]]&gt;Table1[[#This Row],[OrderDate]],Table1[[#This Row],[RequiredDate]],Table1[[#This Row],[OrderDate]])</f>
        <v>45110</v>
      </c>
      <c r="F114" s="21">
        <f>Table1[[#This Row],[New RD]]-Table1[[#This Row],[new   od]]</f>
        <v>10</v>
      </c>
      <c r="G114" s="4">
        <f>IF(Table1[[#This Row],[RequiredDate]]&lt;Table1[[#This Row],[OrderDate]], Table1[[#This Row],[OrderDate]]+7, Table1[[#This Row],[RequiredDate]])</f>
        <v>45110</v>
      </c>
      <c r="H114" s="21">
        <f t="shared" si="11"/>
        <v>10</v>
      </c>
      <c r="I114" s="6" t="str">
        <f>IF(Table1[[#This Row],[New LTD]]&lt;=7,"Yes","No")</f>
        <v>No</v>
      </c>
      <c r="J114" s="6" t="str">
        <f t="shared" si="12"/>
        <v>No</v>
      </c>
      <c r="K114" t="s">
        <v>646</v>
      </c>
      <c r="L114" t="s">
        <v>651</v>
      </c>
      <c r="M114" t="s">
        <v>669</v>
      </c>
      <c r="N114" t="s">
        <v>704</v>
      </c>
      <c r="O114" t="s">
        <v>708</v>
      </c>
      <c r="P114" t="s">
        <v>713</v>
      </c>
      <c r="Q114" t="s">
        <v>728</v>
      </c>
      <c r="R114" t="s">
        <v>780</v>
      </c>
      <c r="S114" s="6">
        <v>337.75</v>
      </c>
      <c r="T114" s="6">
        <v>548.89</v>
      </c>
      <c r="U114" s="6">
        <f t="shared" si="13"/>
        <v>548.89</v>
      </c>
      <c r="V114" s="8">
        <v>0</v>
      </c>
      <c r="W114" s="6">
        <v>13</v>
      </c>
      <c r="X114" s="6">
        <f t="shared" si="14"/>
        <v>7135.57</v>
      </c>
      <c r="Y114">
        <f t="shared" si="15"/>
        <v>4390.75</v>
      </c>
      <c r="Z114" s="6">
        <f t="shared" si="16"/>
        <v>2744.8199999999997</v>
      </c>
      <c r="AA114">
        <f t="shared" si="17"/>
        <v>0.38466723751571352</v>
      </c>
      <c r="AB114" t="str">
        <f t="shared" si="18"/>
        <v>6-2023</v>
      </c>
      <c r="AC114" t="str">
        <f t="shared" si="19"/>
        <v>Q2-2023</v>
      </c>
      <c r="AD114" t="str">
        <f t="shared" si="20"/>
        <v>Africa →Nigeria →Abuja</v>
      </c>
      <c r="AE114" t="str">
        <f t="shared" si="21"/>
        <v>Low</v>
      </c>
      <c r="AF114" t="str">
        <f>TEXT(Table1[[#This Row],[OrderDate]],"MMM")</f>
        <v>Jun</v>
      </c>
      <c r="AG114" t="str">
        <f>TEXT(Table1[[#This Row],[OrderDate]],"YYYY")</f>
        <v>2023</v>
      </c>
      <c r="AI114" s="4">
        <f>IF(Table1[[#This Row],[RequiredDate]]&lt;Table1[[#This Row],[OrderDate]], Table1[[#This Row],[OrderDate]]+7, Table1[[#This Row],[RequiredDate]])</f>
        <v>45110</v>
      </c>
      <c r="AJ114">
        <f>IF(Dashboard!$D$3&gt;'Staging Data'!V114,'Staging Data'!V114,Dashboard!D$3)</f>
        <v>0</v>
      </c>
      <c r="AK114" s="19">
        <f>(100%+Dashboard!$D$4)*'Staging Data'!S114</f>
        <v>354.63749999999999</v>
      </c>
      <c r="AL114">
        <f>(100%+Dashboard!$D$5)*'Staging Data'!W114</f>
        <v>14.95</v>
      </c>
    </row>
    <row r="115" spans="1:38" x14ac:dyDescent="0.35">
      <c r="A115" s="6" t="s">
        <v>642</v>
      </c>
      <c r="B115" s="4">
        <v>45100</v>
      </c>
      <c r="C115" s="4">
        <v>45125</v>
      </c>
      <c r="D115" s="4">
        <f>IF(Table1[[#This Row],[RequiredDate]]&lt;Table1[[#This Row],[OrderDate]],Table1[[#This Row],[RequiredDate]],Table1[[#This Row],[OrderDate]])</f>
        <v>45100</v>
      </c>
      <c r="E115" s="4">
        <f>IF(Table1[[#This Row],[RequiredDate]]&gt;Table1[[#This Row],[OrderDate]],Table1[[#This Row],[RequiredDate]],Table1[[#This Row],[OrderDate]])</f>
        <v>45125</v>
      </c>
      <c r="F115" s="21">
        <f>Table1[[#This Row],[New RD]]-Table1[[#This Row],[new   od]]</f>
        <v>25</v>
      </c>
      <c r="G115" s="4">
        <f>IF(Table1[[#This Row],[RequiredDate]]&lt;Table1[[#This Row],[OrderDate]], Table1[[#This Row],[OrderDate]]+7, Table1[[#This Row],[RequiredDate]])</f>
        <v>45125</v>
      </c>
      <c r="H115" s="21">
        <f t="shared" si="11"/>
        <v>25</v>
      </c>
      <c r="I115" s="6" t="str">
        <f>IF(Table1[[#This Row],[New LTD]]&lt;=7,"Yes","No")</f>
        <v>No</v>
      </c>
      <c r="J115" s="6" t="str">
        <f t="shared" si="12"/>
        <v>No</v>
      </c>
      <c r="K115" t="s">
        <v>648</v>
      </c>
      <c r="L115" t="s">
        <v>653</v>
      </c>
      <c r="M115" t="s">
        <v>688</v>
      </c>
      <c r="N115" t="s">
        <v>706</v>
      </c>
      <c r="O115" t="s">
        <v>708</v>
      </c>
      <c r="P115" t="s">
        <v>725</v>
      </c>
      <c r="Q115" t="s">
        <v>730</v>
      </c>
      <c r="R115" t="s">
        <v>1360</v>
      </c>
      <c r="S115" s="6">
        <v>807.02</v>
      </c>
      <c r="T115" s="6">
        <v>1435.54</v>
      </c>
      <c r="U115" s="6">
        <f t="shared" si="13"/>
        <v>1435.54</v>
      </c>
      <c r="V115" s="8">
        <v>0</v>
      </c>
      <c r="W115" s="6">
        <v>23</v>
      </c>
      <c r="X115" s="6">
        <f t="shared" si="14"/>
        <v>33017.42</v>
      </c>
      <c r="Y115">
        <f t="shared" si="15"/>
        <v>18561.46</v>
      </c>
      <c r="Z115" s="6">
        <f t="shared" si="16"/>
        <v>14455.96</v>
      </c>
      <c r="AA115">
        <f t="shared" si="17"/>
        <v>0.43782827368098415</v>
      </c>
      <c r="AB115" t="str">
        <f t="shared" si="18"/>
        <v>6-2023</v>
      </c>
      <c r="AC115" t="str">
        <f t="shared" si="19"/>
        <v>Q2-2023</v>
      </c>
      <c r="AD115" t="str">
        <f t="shared" si="20"/>
        <v>Americas →Canada →Vancouver</v>
      </c>
      <c r="AE115" t="str">
        <f t="shared" si="21"/>
        <v>Medium</v>
      </c>
      <c r="AF115" t="str">
        <f>TEXT(Table1[[#This Row],[OrderDate]],"MMM")</f>
        <v>Jun</v>
      </c>
      <c r="AG115" t="str">
        <f>TEXT(Table1[[#This Row],[OrderDate]],"YYYY")</f>
        <v>2023</v>
      </c>
      <c r="AI115" s="4">
        <f>IF(Table1[[#This Row],[RequiredDate]]&lt;Table1[[#This Row],[OrderDate]], Table1[[#This Row],[OrderDate]]+7, Table1[[#This Row],[RequiredDate]])</f>
        <v>45125</v>
      </c>
      <c r="AJ115">
        <f>IF(Dashboard!$D$3&gt;'Staging Data'!V115,'Staging Data'!V115,Dashboard!D$3)</f>
        <v>0</v>
      </c>
      <c r="AK115" s="19">
        <f>(100%+Dashboard!$D$4)*'Staging Data'!S115</f>
        <v>847.37099999999998</v>
      </c>
      <c r="AL115">
        <f>(100%+Dashboard!$D$5)*'Staging Data'!W115</f>
        <v>26.45</v>
      </c>
    </row>
    <row r="116" spans="1:38" x14ac:dyDescent="0.35">
      <c r="A116" s="6" t="s">
        <v>107</v>
      </c>
      <c r="B116" s="4">
        <v>45101</v>
      </c>
      <c r="C116" s="4">
        <v>45100</v>
      </c>
      <c r="D116" s="4">
        <f>IF(Table1[[#This Row],[RequiredDate]]&lt;Table1[[#This Row],[OrderDate]],Table1[[#This Row],[RequiredDate]],Table1[[#This Row],[OrderDate]])</f>
        <v>45100</v>
      </c>
      <c r="E116" s="4">
        <f>IF(Table1[[#This Row],[RequiredDate]]&gt;Table1[[#This Row],[OrderDate]],Table1[[#This Row],[RequiredDate]],Table1[[#This Row],[OrderDate]])</f>
        <v>45101</v>
      </c>
      <c r="F116" s="21">
        <f>Table1[[#This Row],[New RD]]-Table1[[#This Row],[new   od]]</f>
        <v>1</v>
      </c>
      <c r="G116" s="4">
        <f>IF(Table1[[#This Row],[RequiredDate]]&lt;Table1[[#This Row],[OrderDate]], Table1[[#This Row],[OrderDate]]+7, Table1[[#This Row],[RequiredDate]])</f>
        <v>45108</v>
      </c>
      <c r="H116" s="21">
        <f t="shared" si="11"/>
        <v>7</v>
      </c>
      <c r="I116" s="6" t="str">
        <f>IF(Table1[[#This Row],[New LTD]]&lt;=7,"Yes","No")</f>
        <v>Yes</v>
      </c>
      <c r="J116" s="6" t="str">
        <f t="shared" si="12"/>
        <v>No</v>
      </c>
      <c r="K116" t="s">
        <v>648</v>
      </c>
      <c r="L116" t="s">
        <v>655</v>
      </c>
      <c r="M116" t="s">
        <v>692</v>
      </c>
      <c r="N116" t="s">
        <v>703</v>
      </c>
      <c r="O116" t="s">
        <v>707</v>
      </c>
      <c r="P116" t="s">
        <v>718</v>
      </c>
      <c r="Q116" t="s">
        <v>728</v>
      </c>
      <c r="R116" t="s">
        <v>826</v>
      </c>
      <c r="S116" s="6">
        <v>804.01</v>
      </c>
      <c r="T116" s="6">
        <v>1405.07</v>
      </c>
      <c r="U116" s="6">
        <f t="shared" si="13"/>
        <v>1405.07</v>
      </c>
      <c r="V116" s="8">
        <v>9.6000000000000002E-2</v>
      </c>
      <c r="W116" s="6">
        <v>8</v>
      </c>
      <c r="X116" s="6">
        <f t="shared" si="14"/>
        <v>10161.46624</v>
      </c>
      <c r="Y116">
        <f t="shared" si="15"/>
        <v>6432.08</v>
      </c>
      <c r="Z116" s="6">
        <f t="shared" si="16"/>
        <v>3729.3862399999998</v>
      </c>
      <c r="AA116">
        <f t="shared" si="17"/>
        <v>0.36701260939287439</v>
      </c>
      <c r="AB116" t="str">
        <f t="shared" si="18"/>
        <v>6-2023</v>
      </c>
      <c r="AC116" t="str">
        <f t="shared" si="19"/>
        <v>Q2-2023</v>
      </c>
      <c r="AD116" t="str">
        <f t="shared" si="20"/>
        <v>Americas →Brazil →Rio de Janeiro</v>
      </c>
      <c r="AE116" t="str">
        <f t="shared" si="21"/>
        <v>Medium</v>
      </c>
      <c r="AF116" t="str">
        <f>TEXT(Table1[[#This Row],[OrderDate]],"MMM")</f>
        <v>Jun</v>
      </c>
      <c r="AG116" t="str">
        <f>TEXT(Table1[[#This Row],[OrderDate]],"YYYY")</f>
        <v>2023</v>
      </c>
      <c r="AI116" s="4">
        <f>IF(Table1[[#This Row],[RequiredDate]]&lt;Table1[[#This Row],[OrderDate]], Table1[[#This Row],[OrderDate]]+7, Table1[[#This Row],[RequiredDate]])</f>
        <v>45108</v>
      </c>
      <c r="AJ116">
        <f>IF(Dashboard!$D$3&gt;'Staging Data'!V116,'Staging Data'!V116,Dashboard!D$3)</f>
        <v>9.6000000000000002E-2</v>
      </c>
      <c r="AK116" s="19">
        <f>(100%+Dashboard!$D$4)*'Staging Data'!S116</f>
        <v>844.21050000000002</v>
      </c>
      <c r="AL116">
        <f>(100%+Dashboard!$D$5)*'Staging Data'!W116</f>
        <v>9.1999999999999993</v>
      </c>
    </row>
    <row r="117" spans="1:38" x14ac:dyDescent="0.35">
      <c r="A117" s="6" t="s">
        <v>299</v>
      </c>
      <c r="B117" s="4">
        <v>45101</v>
      </c>
      <c r="C117" s="4">
        <v>45128</v>
      </c>
      <c r="D117" s="4">
        <f>IF(Table1[[#This Row],[RequiredDate]]&lt;Table1[[#This Row],[OrderDate]],Table1[[#This Row],[RequiredDate]],Table1[[#This Row],[OrderDate]])</f>
        <v>45101</v>
      </c>
      <c r="E117" s="4">
        <f>IF(Table1[[#This Row],[RequiredDate]]&gt;Table1[[#This Row],[OrderDate]],Table1[[#This Row],[RequiredDate]],Table1[[#This Row],[OrderDate]])</f>
        <v>45128</v>
      </c>
      <c r="F117" s="21">
        <f>Table1[[#This Row],[New RD]]-Table1[[#This Row],[new   od]]</f>
        <v>27</v>
      </c>
      <c r="G117" s="4">
        <f>IF(Table1[[#This Row],[RequiredDate]]&lt;Table1[[#This Row],[OrderDate]], Table1[[#This Row],[OrderDate]]+7, Table1[[#This Row],[RequiredDate]])</f>
        <v>45128</v>
      </c>
      <c r="H117" s="21">
        <f t="shared" si="11"/>
        <v>27</v>
      </c>
      <c r="I117" s="6" t="str">
        <f>IF(Table1[[#This Row],[New LTD]]&lt;=7,"Yes","No")</f>
        <v>No</v>
      </c>
      <c r="J117" s="6" t="str">
        <f t="shared" si="12"/>
        <v>Yes</v>
      </c>
      <c r="K117" t="s">
        <v>647</v>
      </c>
      <c r="L117" t="s">
        <v>652</v>
      </c>
      <c r="M117" t="s">
        <v>694</v>
      </c>
      <c r="N117" t="s">
        <v>704</v>
      </c>
      <c r="O117" t="s">
        <v>709</v>
      </c>
      <c r="P117" t="s">
        <v>713</v>
      </c>
      <c r="Q117" t="s">
        <v>730</v>
      </c>
      <c r="R117" t="s">
        <v>1019</v>
      </c>
      <c r="S117" s="6">
        <v>554.76</v>
      </c>
      <c r="T117" s="6">
        <v>728.69</v>
      </c>
      <c r="U117" s="6">
        <f t="shared" si="13"/>
        <v>728.69</v>
      </c>
      <c r="V117" s="8">
        <v>0.22</v>
      </c>
      <c r="W117" s="6">
        <v>7</v>
      </c>
      <c r="X117" s="6">
        <f t="shared" si="14"/>
        <v>3978.6474000000003</v>
      </c>
      <c r="Y117">
        <f t="shared" si="15"/>
        <v>3883.3199999999997</v>
      </c>
      <c r="Z117" s="6">
        <f t="shared" si="16"/>
        <v>95.32740000000058</v>
      </c>
      <c r="AA117">
        <f t="shared" si="17"/>
        <v>2.395975074343119E-2</v>
      </c>
      <c r="AB117" t="str">
        <f t="shared" si="18"/>
        <v>6-2023</v>
      </c>
      <c r="AC117" t="str">
        <f t="shared" si="19"/>
        <v>Q2-2023</v>
      </c>
      <c r="AD117" t="str">
        <f t="shared" si="20"/>
        <v>Asia →Japan →Nagoya</v>
      </c>
      <c r="AE117" t="str">
        <f t="shared" si="21"/>
        <v>Low</v>
      </c>
      <c r="AF117" t="str">
        <f>TEXT(Table1[[#This Row],[OrderDate]],"MMM")</f>
        <v>Jun</v>
      </c>
      <c r="AG117" t="str">
        <f>TEXT(Table1[[#This Row],[OrderDate]],"YYYY")</f>
        <v>2023</v>
      </c>
      <c r="AI117" s="4">
        <f>IF(Table1[[#This Row],[RequiredDate]]&lt;Table1[[#This Row],[OrderDate]], Table1[[#This Row],[OrderDate]]+7, Table1[[#This Row],[RequiredDate]])</f>
        <v>45128</v>
      </c>
      <c r="AJ117">
        <f>IF(Dashboard!$D$3&gt;'Staging Data'!V117,'Staging Data'!V117,Dashboard!D$3)</f>
        <v>0.2</v>
      </c>
      <c r="AK117" s="19">
        <f>(100%+Dashboard!$D$4)*'Staging Data'!S117</f>
        <v>582.49800000000005</v>
      </c>
      <c r="AL117">
        <f>(100%+Dashboard!$D$5)*'Staging Data'!W117</f>
        <v>8.0499999999999989</v>
      </c>
    </row>
    <row r="118" spans="1:38" x14ac:dyDescent="0.35">
      <c r="A118" s="6" t="s">
        <v>326</v>
      </c>
      <c r="B118" s="4">
        <v>45101</v>
      </c>
      <c r="C118" s="4">
        <v>45099</v>
      </c>
      <c r="D118" s="4">
        <f>IF(Table1[[#This Row],[RequiredDate]]&lt;Table1[[#This Row],[OrderDate]],Table1[[#This Row],[RequiredDate]],Table1[[#This Row],[OrderDate]])</f>
        <v>45099</v>
      </c>
      <c r="E118" s="4">
        <f>IF(Table1[[#This Row],[RequiredDate]]&gt;Table1[[#This Row],[OrderDate]],Table1[[#This Row],[RequiredDate]],Table1[[#This Row],[OrderDate]])</f>
        <v>45101</v>
      </c>
      <c r="F118" s="21">
        <f>Table1[[#This Row],[New RD]]-Table1[[#This Row],[new   od]]</f>
        <v>2</v>
      </c>
      <c r="G118" s="4">
        <f>IF(Table1[[#This Row],[RequiredDate]]&lt;Table1[[#This Row],[OrderDate]], Table1[[#This Row],[OrderDate]]+7, Table1[[#This Row],[RequiredDate]])</f>
        <v>45108</v>
      </c>
      <c r="H118" s="21">
        <f t="shared" si="11"/>
        <v>7</v>
      </c>
      <c r="I118" s="6" t="str">
        <f>IF(Table1[[#This Row],[New LTD]]&lt;=7,"Yes","No")</f>
        <v>Yes</v>
      </c>
      <c r="J118" s="6" t="str">
        <f t="shared" si="12"/>
        <v>No</v>
      </c>
      <c r="K118" t="s">
        <v>648</v>
      </c>
      <c r="L118" t="s">
        <v>653</v>
      </c>
      <c r="M118" t="s">
        <v>667</v>
      </c>
      <c r="N118" t="s">
        <v>703</v>
      </c>
      <c r="O118" t="s">
        <v>707</v>
      </c>
      <c r="P118" t="s">
        <v>724</v>
      </c>
      <c r="Q118" t="s">
        <v>733</v>
      </c>
      <c r="R118" t="s">
        <v>1046</v>
      </c>
      <c r="S118" s="6">
        <v>471.42</v>
      </c>
      <c r="T118" s="6">
        <v>824.81</v>
      </c>
      <c r="U118" s="6">
        <f t="shared" si="13"/>
        <v>824.81</v>
      </c>
      <c r="V118" s="8">
        <v>8.7999999999999995E-2</v>
      </c>
      <c r="W118" s="6">
        <v>15</v>
      </c>
      <c r="X118" s="6">
        <f t="shared" si="14"/>
        <v>11283.400799999999</v>
      </c>
      <c r="Y118">
        <f t="shared" si="15"/>
        <v>7071.3</v>
      </c>
      <c r="Z118" s="6">
        <f t="shared" si="16"/>
        <v>4212.1007999999993</v>
      </c>
      <c r="AA118">
        <f t="shared" si="17"/>
        <v>0.37330064531608231</v>
      </c>
      <c r="AB118" t="str">
        <f t="shared" si="18"/>
        <v>6-2023</v>
      </c>
      <c r="AC118" t="str">
        <f t="shared" si="19"/>
        <v>Q2-2023</v>
      </c>
      <c r="AD118" t="str">
        <f t="shared" si="20"/>
        <v>Americas →Canada →Toronto</v>
      </c>
      <c r="AE118" t="str">
        <f t="shared" si="21"/>
        <v>Medium</v>
      </c>
      <c r="AF118" t="str">
        <f>TEXT(Table1[[#This Row],[OrderDate]],"MMM")</f>
        <v>Jun</v>
      </c>
      <c r="AG118" t="str">
        <f>TEXT(Table1[[#This Row],[OrderDate]],"YYYY")</f>
        <v>2023</v>
      </c>
      <c r="AI118" s="4">
        <f>IF(Table1[[#This Row],[RequiredDate]]&lt;Table1[[#This Row],[OrderDate]], Table1[[#This Row],[OrderDate]]+7, Table1[[#This Row],[RequiredDate]])</f>
        <v>45108</v>
      </c>
      <c r="AJ118">
        <f>IF(Dashboard!$D$3&gt;'Staging Data'!V118,'Staging Data'!V118,Dashboard!D$3)</f>
        <v>8.7999999999999995E-2</v>
      </c>
      <c r="AK118" s="19">
        <f>(100%+Dashboard!$D$4)*'Staging Data'!S118</f>
        <v>494.99100000000004</v>
      </c>
      <c r="AL118">
        <f>(100%+Dashboard!$D$5)*'Staging Data'!W118</f>
        <v>17.25</v>
      </c>
    </row>
    <row r="119" spans="1:38" x14ac:dyDescent="0.35">
      <c r="A119" s="6" t="s">
        <v>104</v>
      </c>
      <c r="B119" s="4">
        <v>45106</v>
      </c>
      <c r="C119" s="4">
        <v>45109</v>
      </c>
      <c r="D119" s="4">
        <f>IF(Table1[[#This Row],[RequiredDate]]&lt;Table1[[#This Row],[OrderDate]],Table1[[#This Row],[RequiredDate]],Table1[[#This Row],[OrderDate]])</f>
        <v>45106</v>
      </c>
      <c r="E119" s="4">
        <f>IF(Table1[[#This Row],[RequiredDate]]&gt;Table1[[#This Row],[OrderDate]],Table1[[#This Row],[RequiredDate]],Table1[[#This Row],[OrderDate]])</f>
        <v>45109</v>
      </c>
      <c r="F119" s="21">
        <f>Table1[[#This Row],[New RD]]-Table1[[#This Row],[new   od]]</f>
        <v>3</v>
      </c>
      <c r="G119" s="4">
        <f>IF(Table1[[#This Row],[RequiredDate]]&lt;Table1[[#This Row],[OrderDate]], Table1[[#This Row],[OrderDate]]+7, Table1[[#This Row],[RequiredDate]])</f>
        <v>45109</v>
      </c>
      <c r="H119" s="21">
        <f t="shared" si="11"/>
        <v>3</v>
      </c>
      <c r="I119" s="6" t="str">
        <f>IF(Table1[[#This Row],[New LTD]]&lt;=7,"Yes","No")</f>
        <v>Yes</v>
      </c>
      <c r="J119" s="6" t="str">
        <f t="shared" si="12"/>
        <v>No</v>
      </c>
      <c r="K119" t="s">
        <v>647</v>
      </c>
      <c r="L119" t="s">
        <v>652</v>
      </c>
      <c r="M119" t="s">
        <v>694</v>
      </c>
      <c r="N119" t="s">
        <v>702</v>
      </c>
      <c r="O119" t="s">
        <v>709</v>
      </c>
      <c r="P119" t="s">
        <v>721</v>
      </c>
      <c r="Q119" t="s">
        <v>732</v>
      </c>
      <c r="R119" t="s">
        <v>823</v>
      </c>
      <c r="S119" s="6">
        <v>55.65</v>
      </c>
      <c r="T119" s="6">
        <v>83.57</v>
      </c>
      <c r="U119" s="6">
        <f t="shared" si="13"/>
        <v>83.57</v>
      </c>
      <c r="V119" s="8">
        <v>6.6000000000000003E-2</v>
      </c>
      <c r="W119" s="6">
        <v>8</v>
      </c>
      <c r="X119" s="6">
        <f t="shared" si="14"/>
        <v>624.43503999999996</v>
      </c>
      <c r="Y119">
        <f t="shared" si="15"/>
        <v>445.2</v>
      </c>
      <c r="Z119" s="6">
        <f t="shared" si="16"/>
        <v>179.23503999999997</v>
      </c>
      <c r="AA119">
        <f t="shared" si="17"/>
        <v>0.2870355257449998</v>
      </c>
      <c r="AB119" t="str">
        <f t="shared" si="18"/>
        <v>6-2023</v>
      </c>
      <c r="AC119" t="str">
        <f t="shared" si="19"/>
        <v>Q2-2023</v>
      </c>
      <c r="AD119" t="str">
        <f t="shared" si="20"/>
        <v>Asia →Japan →Nagoya</v>
      </c>
      <c r="AE119" t="str">
        <f t="shared" si="21"/>
        <v>Low</v>
      </c>
      <c r="AF119" t="str">
        <f>TEXT(Table1[[#This Row],[OrderDate]],"MMM")</f>
        <v>Jun</v>
      </c>
      <c r="AG119" t="str">
        <f>TEXT(Table1[[#This Row],[OrderDate]],"YYYY")</f>
        <v>2023</v>
      </c>
      <c r="AI119" s="4">
        <f>IF(Table1[[#This Row],[RequiredDate]]&lt;Table1[[#This Row],[OrderDate]], Table1[[#This Row],[OrderDate]]+7, Table1[[#This Row],[RequiredDate]])</f>
        <v>45109</v>
      </c>
      <c r="AJ119">
        <f>IF(Dashboard!$D$3&gt;'Staging Data'!V119,'Staging Data'!V119,Dashboard!D$3)</f>
        <v>6.6000000000000003E-2</v>
      </c>
      <c r="AK119" s="19">
        <f>(100%+Dashboard!$D$4)*'Staging Data'!S119</f>
        <v>58.432499999999997</v>
      </c>
      <c r="AL119">
        <f>(100%+Dashboard!$D$5)*'Staging Data'!W119</f>
        <v>9.1999999999999993</v>
      </c>
    </row>
    <row r="120" spans="1:38" x14ac:dyDescent="0.35">
      <c r="A120" s="6" t="s">
        <v>376</v>
      </c>
      <c r="B120" s="4">
        <v>45108</v>
      </c>
      <c r="C120" s="4">
        <v>45115</v>
      </c>
      <c r="D120" s="4">
        <f>IF(Table1[[#This Row],[RequiredDate]]&lt;Table1[[#This Row],[OrderDate]],Table1[[#This Row],[RequiredDate]],Table1[[#This Row],[OrderDate]])</f>
        <v>45108</v>
      </c>
      <c r="E120" s="4">
        <f>IF(Table1[[#This Row],[RequiredDate]]&gt;Table1[[#This Row],[OrderDate]],Table1[[#This Row],[RequiredDate]],Table1[[#This Row],[OrderDate]])</f>
        <v>45115</v>
      </c>
      <c r="F120" s="21">
        <f>Table1[[#This Row],[New RD]]-Table1[[#This Row],[new   od]]</f>
        <v>7</v>
      </c>
      <c r="G120" s="4">
        <f>IF(Table1[[#This Row],[RequiredDate]]&lt;Table1[[#This Row],[OrderDate]], Table1[[#This Row],[OrderDate]]+7, Table1[[#This Row],[RequiredDate]])</f>
        <v>45115</v>
      </c>
      <c r="H120" s="21">
        <f t="shared" si="11"/>
        <v>7</v>
      </c>
      <c r="I120" s="6" t="str">
        <f>IF(Table1[[#This Row],[New LTD]]&lt;=7,"Yes","No")</f>
        <v>Yes</v>
      </c>
      <c r="J120" s="6" t="str">
        <f t="shared" si="12"/>
        <v>No</v>
      </c>
      <c r="K120" t="s">
        <v>646</v>
      </c>
      <c r="L120" t="s">
        <v>651</v>
      </c>
      <c r="M120" t="s">
        <v>663</v>
      </c>
      <c r="N120" t="s">
        <v>701</v>
      </c>
      <c r="O120" t="s">
        <v>707</v>
      </c>
      <c r="P120" t="s">
        <v>720</v>
      </c>
      <c r="Q120" t="s">
        <v>731</v>
      </c>
      <c r="R120" t="s">
        <v>1096</v>
      </c>
      <c r="S120" s="6">
        <v>834.26</v>
      </c>
      <c r="T120" s="6">
        <v>1780.56</v>
      </c>
      <c r="U120" s="6">
        <f t="shared" si="13"/>
        <v>1780.56</v>
      </c>
      <c r="V120" s="8">
        <v>1.4E-2</v>
      </c>
      <c r="W120" s="6">
        <v>47</v>
      </c>
      <c r="X120" s="6">
        <f t="shared" si="14"/>
        <v>82514.711519999997</v>
      </c>
      <c r="Y120">
        <f t="shared" si="15"/>
        <v>39210.22</v>
      </c>
      <c r="Z120" s="6">
        <f t="shared" si="16"/>
        <v>43304.491519999996</v>
      </c>
      <c r="AA120">
        <f t="shared" si="17"/>
        <v>0.5248093427497933</v>
      </c>
      <c r="AB120" t="str">
        <f t="shared" si="18"/>
        <v>7-2023</v>
      </c>
      <c r="AC120" t="str">
        <f t="shared" si="19"/>
        <v>Q3-2023</v>
      </c>
      <c r="AD120" t="str">
        <f t="shared" si="20"/>
        <v>Africa →Nigeria →Port Harcourt</v>
      </c>
      <c r="AE120" t="str">
        <f t="shared" si="21"/>
        <v>High</v>
      </c>
      <c r="AF120" t="str">
        <f>TEXT(Table1[[#This Row],[OrderDate]],"MMM")</f>
        <v>Jul</v>
      </c>
      <c r="AG120" t="str">
        <f>TEXT(Table1[[#This Row],[OrderDate]],"YYYY")</f>
        <v>2023</v>
      </c>
      <c r="AI120" s="4">
        <f>IF(Table1[[#This Row],[RequiredDate]]&lt;Table1[[#This Row],[OrderDate]], Table1[[#This Row],[OrderDate]]+7, Table1[[#This Row],[RequiredDate]])</f>
        <v>45115</v>
      </c>
      <c r="AJ120">
        <f>IF(Dashboard!$D$3&gt;'Staging Data'!V120,'Staging Data'!V120,Dashboard!D$3)</f>
        <v>1.4E-2</v>
      </c>
      <c r="AK120" s="19">
        <f>(100%+Dashboard!$D$4)*'Staging Data'!S120</f>
        <v>875.97300000000007</v>
      </c>
      <c r="AL120">
        <f>(100%+Dashboard!$D$5)*'Staging Data'!W120</f>
        <v>54.05</v>
      </c>
    </row>
    <row r="121" spans="1:38" x14ac:dyDescent="0.35">
      <c r="A121" s="6" t="s">
        <v>550</v>
      </c>
      <c r="B121" s="4">
        <v>45108</v>
      </c>
      <c r="C121" s="4">
        <v>45118</v>
      </c>
      <c r="D121" s="4">
        <f>IF(Table1[[#This Row],[RequiredDate]]&lt;Table1[[#This Row],[OrderDate]],Table1[[#This Row],[RequiredDate]],Table1[[#This Row],[OrderDate]])</f>
        <v>45108</v>
      </c>
      <c r="E121" s="4">
        <f>IF(Table1[[#This Row],[RequiredDate]]&gt;Table1[[#This Row],[OrderDate]],Table1[[#This Row],[RequiredDate]],Table1[[#This Row],[OrderDate]])</f>
        <v>45118</v>
      </c>
      <c r="F121" s="21">
        <f>Table1[[#This Row],[New RD]]-Table1[[#This Row],[new   od]]</f>
        <v>10</v>
      </c>
      <c r="G121" s="4">
        <f>IF(Table1[[#This Row],[RequiredDate]]&lt;Table1[[#This Row],[OrderDate]], Table1[[#This Row],[OrderDate]]+7, Table1[[#This Row],[RequiredDate]])</f>
        <v>45118</v>
      </c>
      <c r="H121" s="21">
        <f t="shared" si="11"/>
        <v>10</v>
      </c>
      <c r="I121" s="6" t="str">
        <f>IF(Table1[[#This Row],[New LTD]]&lt;=7,"Yes","No")</f>
        <v>No</v>
      </c>
      <c r="J121" s="6" t="str">
        <f t="shared" si="12"/>
        <v>No</v>
      </c>
      <c r="K121" t="s">
        <v>649</v>
      </c>
      <c r="L121" t="s">
        <v>657</v>
      </c>
      <c r="M121" t="s">
        <v>690</v>
      </c>
      <c r="N121" t="s">
        <v>701</v>
      </c>
      <c r="O121" t="s">
        <v>711</v>
      </c>
      <c r="P121" t="s">
        <v>721</v>
      </c>
      <c r="Q121" t="s">
        <v>729</v>
      </c>
      <c r="R121" t="s">
        <v>1269</v>
      </c>
      <c r="S121" s="6">
        <v>479.5</v>
      </c>
      <c r="T121" s="6">
        <v>656.66</v>
      </c>
      <c r="U121" s="6">
        <f t="shared" si="13"/>
        <v>656.66</v>
      </c>
      <c r="V121" s="8">
        <v>0.14899999999999999</v>
      </c>
      <c r="W121" s="6">
        <v>14</v>
      </c>
      <c r="X121" s="6">
        <f t="shared" si="14"/>
        <v>7823.4472399999995</v>
      </c>
      <c r="Y121">
        <f t="shared" si="15"/>
        <v>6713</v>
      </c>
      <c r="Z121" s="6">
        <f t="shared" si="16"/>
        <v>1110.4472399999995</v>
      </c>
      <c r="AA121">
        <f t="shared" si="17"/>
        <v>0.14193835606412289</v>
      </c>
      <c r="AB121" t="str">
        <f t="shared" si="18"/>
        <v>7-2023</v>
      </c>
      <c r="AC121" t="str">
        <f t="shared" si="19"/>
        <v>Q3-2023</v>
      </c>
      <c r="AD121" t="str">
        <f t="shared" si="20"/>
        <v>Europe →France →Paris</v>
      </c>
      <c r="AE121" t="str">
        <f t="shared" si="21"/>
        <v>Low</v>
      </c>
      <c r="AF121" t="str">
        <f>TEXT(Table1[[#This Row],[OrderDate]],"MMM")</f>
        <v>Jul</v>
      </c>
      <c r="AG121" t="str">
        <f>TEXT(Table1[[#This Row],[OrderDate]],"YYYY")</f>
        <v>2023</v>
      </c>
      <c r="AI121" s="4">
        <f>IF(Table1[[#This Row],[RequiredDate]]&lt;Table1[[#This Row],[OrderDate]], Table1[[#This Row],[OrderDate]]+7, Table1[[#This Row],[RequiredDate]])</f>
        <v>45118</v>
      </c>
      <c r="AJ121">
        <f>IF(Dashboard!$D$3&gt;'Staging Data'!V121,'Staging Data'!V121,Dashboard!D$3)</f>
        <v>0.14899999999999999</v>
      </c>
      <c r="AK121" s="19">
        <f>(100%+Dashboard!$D$4)*'Staging Data'!S121</f>
        <v>503.47500000000002</v>
      </c>
      <c r="AL121">
        <f>(100%+Dashboard!$D$5)*'Staging Data'!W121</f>
        <v>16.099999999999998</v>
      </c>
    </row>
    <row r="122" spans="1:38" x14ac:dyDescent="0.35">
      <c r="A122" s="6" t="s">
        <v>558</v>
      </c>
      <c r="B122" s="4">
        <v>45108</v>
      </c>
      <c r="C122" s="4">
        <v>45115</v>
      </c>
      <c r="D122" s="4">
        <f>IF(Table1[[#This Row],[RequiredDate]]&lt;Table1[[#This Row],[OrderDate]],Table1[[#This Row],[RequiredDate]],Table1[[#This Row],[OrderDate]])</f>
        <v>45108</v>
      </c>
      <c r="E122" s="4">
        <f>IF(Table1[[#This Row],[RequiredDate]]&gt;Table1[[#This Row],[OrderDate]],Table1[[#This Row],[RequiredDate]],Table1[[#This Row],[OrderDate]])</f>
        <v>45115</v>
      </c>
      <c r="F122" s="21">
        <f>Table1[[#This Row],[New RD]]-Table1[[#This Row],[new   od]]</f>
        <v>7</v>
      </c>
      <c r="G122" s="4">
        <f>IF(Table1[[#This Row],[RequiredDate]]&lt;Table1[[#This Row],[OrderDate]], Table1[[#This Row],[OrderDate]]+7, Table1[[#This Row],[RequiredDate]])</f>
        <v>45115</v>
      </c>
      <c r="H122" s="21">
        <f t="shared" si="11"/>
        <v>7</v>
      </c>
      <c r="I122" s="6" t="str">
        <f>IF(Table1[[#This Row],[New LTD]]&lt;=7,"Yes","No")</f>
        <v>Yes</v>
      </c>
      <c r="J122" s="6" t="str">
        <f t="shared" si="12"/>
        <v>No</v>
      </c>
      <c r="K122" t="s">
        <v>649</v>
      </c>
      <c r="L122" t="s">
        <v>656</v>
      </c>
      <c r="M122" t="s">
        <v>698</v>
      </c>
      <c r="N122" t="s">
        <v>705</v>
      </c>
      <c r="O122" t="s">
        <v>710</v>
      </c>
      <c r="P122" t="s">
        <v>725</v>
      </c>
      <c r="Q122" t="s">
        <v>731</v>
      </c>
      <c r="R122" t="s">
        <v>1276</v>
      </c>
      <c r="S122" s="6">
        <v>460.21</v>
      </c>
      <c r="T122" s="6">
        <v>1139.1500000000001</v>
      </c>
      <c r="U122" s="6">
        <f t="shared" si="13"/>
        <v>1139.1500000000001</v>
      </c>
      <c r="V122" s="8">
        <v>0.115</v>
      </c>
      <c r="W122" s="6">
        <v>14</v>
      </c>
      <c r="X122" s="6">
        <f t="shared" si="14"/>
        <v>14114.068500000001</v>
      </c>
      <c r="Y122">
        <f t="shared" si="15"/>
        <v>6442.94</v>
      </c>
      <c r="Z122" s="6">
        <f t="shared" si="16"/>
        <v>7671.1285000000016</v>
      </c>
      <c r="AA122">
        <f t="shared" si="17"/>
        <v>0.54350937151821255</v>
      </c>
      <c r="AB122" t="str">
        <f t="shared" si="18"/>
        <v>7-2023</v>
      </c>
      <c r="AC122" t="str">
        <f t="shared" si="19"/>
        <v>Q3-2023</v>
      </c>
      <c r="AD122" t="str">
        <f t="shared" si="20"/>
        <v>Europe →Germany →Frankfurt</v>
      </c>
      <c r="AE122" t="str">
        <f t="shared" si="21"/>
        <v>Medium</v>
      </c>
      <c r="AF122" t="str">
        <f>TEXT(Table1[[#This Row],[OrderDate]],"MMM")</f>
        <v>Jul</v>
      </c>
      <c r="AG122" t="str">
        <f>TEXT(Table1[[#This Row],[OrderDate]],"YYYY")</f>
        <v>2023</v>
      </c>
      <c r="AI122" s="4">
        <f>IF(Table1[[#This Row],[RequiredDate]]&lt;Table1[[#This Row],[OrderDate]], Table1[[#This Row],[OrderDate]]+7, Table1[[#This Row],[RequiredDate]])</f>
        <v>45115</v>
      </c>
      <c r="AJ122">
        <f>IF(Dashboard!$D$3&gt;'Staging Data'!V122,'Staging Data'!V122,Dashboard!D$3)</f>
        <v>0.115</v>
      </c>
      <c r="AK122" s="19">
        <f>(100%+Dashboard!$D$4)*'Staging Data'!S122</f>
        <v>483.22050000000002</v>
      </c>
      <c r="AL122">
        <f>(100%+Dashboard!$D$5)*'Staging Data'!W122</f>
        <v>16.099999999999998</v>
      </c>
    </row>
    <row r="123" spans="1:38" x14ac:dyDescent="0.35">
      <c r="A123" s="6" t="s">
        <v>220</v>
      </c>
      <c r="B123" s="4">
        <v>45109</v>
      </c>
      <c r="C123" s="4">
        <v>45139</v>
      </c>
      <c r="D123" s="4">
        <f>IF(Table1[[#This Row],[RequiredDate]]&lt;Table1[[#This Row],[OrderDate]],Table1[[#This Row],[RequiredDate]],Table1[[#This Row],[OrderDate]])</f>
        <v>45109</v>
      </c>
      <c r="E123" s="4">
        <f>IF(Table1[[#This Row],[RequiredDate]]&gt;Table1[[#This Row],[OrderDate]],Table1[[#This Row],[RequiredDate]],Table1[[#This Row],[OrderDate]])</f>
        <v>45139</v>
      </c>
      <c r="F123" s="21">
        <f>Table1[[#This Row],[New RD]]-Table1[[#This Row],[new   od]]</f>
        <v>30</v>
      </c>
      <c r="G123" s="4">
        <f>IF(Table1[[#This Row],[RequiredDate]]&lt;Table1[[#This Row],[OrderDate]], Table1[[#This Row],[OrderDate]]+7, Table1[[#This Row],[RequiredDate]])</f>
        <v>45139</v>
      </c>
      <c r="H123" s="21">
        <f t="shared" si="11"/>
        <v>30</v>
      </c>
      <c r="I123" s="6" t="str">
        <f>IF(Table1[[#This Row],[New LTD]]&lt;=7,"Yes","No")</f>
        <v>No</v>
      </c>
      <c r="J123" s="6" t="str">
        <f t="shared" si="12"/>
        <v>No</v>
      </c>
      <c r="K123" t="s">
        <v>649</v>
      </c>
      <c r="L123" t="s">
        <v>658</v>
      </c>
      <c r="M123" t="s">
        <v>674</v>
      </c>
      <c r="N123" t="s">
        <v>705</v>
      </c>
      <c r="O123" t="s">
        <v>707</v>
      </c>
      <c r="P123" t="s">
        <v>717</v>
      </c>
      <c r="Q123" t="s">
        <v>727</v>
      </c>
      <c r="R123" t="s">
        <v>940</v>
      </c>
      <c r="S123" s="6">
        <v>137.46</v>
      </c>
      <c r="T123" s="6">
        <v>188.3</v>
      </c>
      <c r="U123" s="6">
        <f t="shared" si="13"/>
        <v>188.3</v>
      </c>
      <c r="V123" s="8">
        <v>3.7999999999999999E-2</v>
      </c>
      <c r="W123" s="6">
        <v>37</v>
      </c>
      <c r="X123" s="6">
        <f t="shared" si="14"/>
        <v>6702.3501999999999</v>
      </c>
      <c r="Y123">
        <f t="shared" si="15"/>
        <v>5086.0200000000004</v>
      </c>
      <c r="Z123" s="6">
        <f t="shared" si="16"/>
        <v>1616.3301999999994</v>
      </c>
      <c r="AA123">
        <f t="shared" si="17"/>
        <v>0.24115872071262398</v>
      </c>
      <c r="AB123" t="str">
        <f t="shared" si="18"/>
        <v>7-2023</v>
      </c>
      <c r="AC123" t="str">
        <f t="shared" si="19"/>
        <v>Q3-2023</v>
      </c>
      <c r="AD123" t="str">
        <f t="shared" si="20"/>
        <v>Europe →United Kingdom →Birmingham</v>
      </c>
      <c r="AE123" t="str">
        <f t="shared" si="21"/>
        <v>Low</v>
      </c>
      <c r="AF123" t="str">
        <f>TEXT(Table1[[#This Row],[OrderDate]],"MMM")</f>
        <v>Jul</v>
      </c>
      <c r="AG123" t="str">
        <f>TEXT(Table1[[#This Row],[OrderDate]],"YYYY")</f>
        <v>2023</v>
      </c>
      <c r="AI123" s="4">
        <f>IF(Table1[[#This Row],[RequiredDate]]&lt;Table1[[#This Row],[OrderDate]], Table1[[#This Row],[OrderDate]]+7, Table1[[#This Row],[RequiredDate]])</f>
        <v>45139</v>
      </c>
      <c r="AJ123">
        <f>IF(Dashboard!$D$3&gt;'Staging Data'!V123,'Staging Data'!V123,Dashboard!D$3)</f>
        <v>3.7999999999999999E-2</v>
      </c>
      <c r="AK123" s="19">
        <f>(100%+Dashboard!$D$4)*'Staging Data'!S123</f>
        <v>144.33300000000003</v>
      </c>
      <c r="AL123">
        <f>(100%+Dashboard!$D$5)*'Staging Data'!W123</f>
        <v>42.55</v>
      </c>
    </row>
    <row r="124" spans="1:38" x14ac:dyDescent="0.35">
      <c r="A124" s="6" t="s">
        <v>166</v>
      </c>
      <c r="B124" s="4">
        <v>45110</v>
      </c>
      <c r="C124" s="4">
        <v>45130</v>
      </c>
      <c r="D124" s="4">
        <f>IF(Table1[[#This Row],[RequiredDate]]&lt;Table1[[#This Row],[OrderDate]],Table1[[#This Row],[RequiredDate]],Table1[[#This Row],[OrderDate]])</f>
        <v>45110</v>
      </c>
      <c r="E124" s="4">
        <f>IF(Table1[[#This Row],[RequiredDate]]&gt;Table1[[#This Row],[OrderDate]],Table1[[#This Row],[RequiredDate]],Table1[[#This Row],[OrderDate]])</f>
        <v>45130</v>
      </c>
      <c r="F124" s="21">
        <f>Table1[[#This Row],[New RD]]-Table1[[#This Row],[new   od]]</f>
        <v>20</v>
      </c>
      <c r="G124" s="4">
        <f>IF(Table1[[#This Row],[RequiredDate]]&lt;Table1[[#This Row],[OrderDate]], Table1[[#This Row],[OrderDate]]+7, Table1[[#This Row],[RequiredDate]])</f>
        <v>45130</v>
      </c>
      <c r="H124" s="21">
        <f t="shared" si="11"/>
        <v>20</v>
      </c>
      <c r="I124" s="6" t="str">
        <f>IF(Table1[[#This Row],[New LTD]]&lt;=7,"Yes","No")</f>
        <v>No</v>
      </c>
      <c r="J124" s="6" t="str">
        <f t="shared" si="12"/>
        <v>No</v>
      </c>
      <c r="K124" t="s">
        <v>646</v>
      </c>
      <c r="L124" t="s">
        <v>661</v>
      </c>
      <c r="M124" t="s">
        <v>682</v>
      </c>
      <c r="N124" t="s">
        <v>705</v>
      </c>
      <c r="O124" t="s">
        <v>710</v>
      </c>
      <c r="P124" t="s">
        <v>721</v>
      </c>
      <c r="Q124" t="s">
        <v>731</v>
      </c>
      <c r="R124" t="s">
        <v>885</v>
      </c>
      <c r="S124" s="6">
        <v>1001.96</v>
      </c>
      <c r="T124" s="6">
        <v>1254.95</v>
      </c>
      <c r="U124" s="6">
        <f t="shared" si="13"/>
        <v>1254.95</v>
      </c>
      <c r="V124" s="8">
        <v>4.4999999999999998E-2</v>
      </c>
      <c r="W124" s="6">
        <v>18</v>
      </c>
      <c r="X124" s="6">
        <f t="shared" si="14"/>
        <v>21572.590500000002</v>
      </c>
      <c r="Y124">
        <f t="shared" si="15"/>
        <v>18035.28</v>
      </c>
      <c r="Z124" s="6">
        <f t="shared" si="16"/>
        <v>3537.3105000000032</v>
      </c>
      <c r="AA124">
        <f t="shared" si="17"/>
        <v>0.16397244920585699</v>
      </c>
      <c r="AB124" t="str">
        <f t="shared" si="18"/>
        <v>7-2023</v>
      </c>
      <c r="AC124" t="str">
        <f t="shared" si="19"/>
        <v>Q3-2023</v>
      </c>
      <c r="AD124" t="str">
        <f t="shared" si="20"/>
        <v>Africa →South Africa →Johannesburg</v>
      </c>
      <c r="AE124" t="str">
        <f t="shared" si="21"/>
        <v>Medium</v>
      </c>
      <c r="AF124" t="str">
        <f>TEXT(Table1[[#This Row],[OrderDate]],"MMM")</f>
        <v>Jul</v>
      </c>
      <c r="AG124" t="str">
        <f>TEXT(Table1[[#This Row],[OrderDate]],"YYYY")</f>
        <v>2023</v>
      </c>
      <c r="AI124" s="4">
        <f>IF(Table1[[#This Row],[RequiredDate]]&lt;Table1[[#This Row],[OrderDate]], Table1[[#This Row],[OrderDate]]+7, Table1[[#This Row],[RequiredDate]])</f>
        <v>45130</v>
      </c>
      <c r="AJ124">
        <f>IF(Dashboard!$D$3&gt;'Staging Data'!V124,'Staging Data'!V124,Dashboard!D$3)</f>
        <v>4.4999999999999998E-2</v>
      </c>
      <c r="AK124" s="19">
        <f>(100%+Dashboard!$D$4)*'Staging Data'!S124</f>
        <v>1052.058</v>
      </c>
      <c r="AL124">
        <f>(100%+Dashboard!$D$5)*'Staging Data'!W124</f>
        <v>20.7</v>
      </c>
    </row>
    <row r="125" spans="1:38" x14ac:dyDescent="0.35">
      <c r="A125" s="6" t="s">
        <v>159</v>
      </c>
      <c r="B125" s="4">
        <v>45112</v>
      </c>
      <c r="C125" s="4">
        <v>45121</v>
      </c>
      <c r="D125" s="4">
        <f>IF(Table1[[#This Row],[RequiredDate]]&lt;Table1[[#This Row],[OrderDate]],Table1[[#This Row],[RequiredDate]],Table1[[#This Row],[OrderDate]])</f>
        <v>45112</v>
      </c>
      <c r="E125" s="4">
        <f>IF(Table1[[#This Row],[RequiredDate]]&gt;Table1[[#This Row],[OrderDate]],Table1[[#This Row],[RequiredDate]],Table1[[#This Row],[OrderDate]])</f>
        <v>45121</v>
      </c>
      <c r="F125" s="21">
        <f>Table1[[#This Row],[New RD]]-Table1[[#This Row],[new   od]]</f>
        <v>9</v>
      </c>
      <c r="G125" s="4">
        <f>IF(Table1[[#This Row],[RequiredDate]]&lt;Table1[[#This Row],[OrderDate]], Table1[[#This Row],[OrderDate]]+7, Table1[[#This Row],[RequiredDate]])</f>
        <v>45121</v>
      </c>
      <c r="H125" s="21">
        <f t="shared" si="11"/>
        <v>9</v>
      </c>
      <c r="I125" s="6" t="str">
        <f>IF(Table1[[#This Row],[New LTD]]&lt;=7,"Yes","No")</f>
        <v>No</v>
      </c>
      <c r="J125" s="6" t="str">
        <f t="shared" si="12"/>
        <v>No</v>
      </c>
      <c r="K125" t="s">
        <v>648</v>
      </c>
      <c r="L125" t="s">
        <v>655</v>
      </c>
      <c r="M125" t="s">
        <v>672</v>
      </c>
      <c r="N125" t="s">
        <v>706</v>
      </c>
      <c r="O125" t="s">
        <v>711</v>
      </c>
      <c r="P125" t="s">
        <v>717</v>
      </c>
      <c r="Q125" t="s">
        <v>729</v>
      </c>
      <c r="R125" t="s">
        <v>878</v>
      </c>
      <c r="S125" s="6">
        <v>578.85</v>
      </c>
      <c r="T125" s="6">
        <v>998.76</v>
      </c>
      <c r="U125" s="6">
        <f t="shared" si="13"/>
        <v>998.76</v>
      </c>
      <c r="V125" s="8">
        <v>8.2000000000000003E-2</v>
      </c>
      <c r="W125" s="6">
        <v>28</v>
      </c>
      <c r="X125" s="6">
        <f t="shared" si="14"/>
        <v>25672.127039999999</v>
      </c>
      <c r="Y125">
        <f t="shared" si="15"/>
        <v>16207.800000000001</v>
      </c>
      <c r="Z125" s="6">
        <f t="shared" si="16"/>
        <v>9464.3270399999983</v>
      </c>
      <c r="AA125">
        <f t="shared" si="17"/>
        <v>0.36866158480960831</v>
      </c>
      <c r="AB125" t="str">
        <f t="shared" si="18"/>
        <v>7-2023</v>
      </c>
      <c r="AC125" t="str">
        <f t="shared" si="19"/>
        <v>Q3-2023</v>
      </c>
      <c r="AD125" t="str">
        <f t="shared" si="20"/>
        <v>Americas →Brazil →Brasília</v>
      </c>
      <c r="AE125" t="str">
        <f t="shared" si="21"/>
        <v>Medium</v>
      </c>
      <c r="AF125" t="str">
        <f>TEXT(Table1[[#This Row],[OrderDate]],"MMM")</f>
        <v>Jul</v>
      </c>
      <c r="AG125" t="str">
        <f>TEXT(Table1[[#This Row],[OrderDate]],"YYYY")</f>
        <v>2023</v>
      </c>
      <c r="AI125" s="4">
        <f>IF(Table1[[#This Row],[RequiredDate]]&lt;Table1[[#This Row],[OrderDate]], Table1[[#This Row],[OrderDate]]+7, Table1[[#This Row],[RequiredDate]])</f>
        <v>45121</v>
      </c>
      <c r="AJ125">
        <f>IF(Dashboard!$D$3&gt;'Staging Data'!V125,'Staging Data'!V125,Dashboard!D$3)</f>
        <v>8.2000000000000003E-2</v>
      </c>
      <c r="AK125" s="19">
        <f>(100%+Dashboard!$D$4)*'Staging Data'!S125</f>
        <v>607.79250000000002</v>
      </c>
      <c r="AL125">
        <f>(100%+Dashboard!$D$5)*'Staging Data'!W125</f>
        <v>32.199999999999996</v>
      </c>
    </row>
    <row r="126" spans="1:38" x14ac:dyDescent="0.35">
      <c r="A126" s="6" t="s">
        <v>552</v>
      </c>
      <c r="B126" s="4">
        <v>45114</v>
      </c>
      <c r="C126" s="4">
        <v>45120</v>
      </c>
      <c r="D126" s="4">
        <f>IF(Table1[[#This Row],[RequiredDate]]&lt;Table1[[#This Row],[OrderDate]],Table1[[#This Row],[RequiredDate]],Table1[[#This Row],[OrderDate]])</f>
        <v>45114</v>
      </c>
      <c r="E126" s="4">
        <f>IF(Table1[[#This Row],[RequiredDate]]&gt;Table1[[#This Row],[OrderDate]],Table1[[#This Row],[RequiredDate]],Table1[[#This Row],[OrderDate]])</f>
        <v>45120</v>
      </c>
      <c r="F126" s="21">
        <f>Table1[[#This Row],[New RD]]-Table1[[#This Row],[new   od]]</f>
        <v>6</v>
      </c>
      <c r="G126" s="4">
        <f>IF(Table1[[#This Row],[RequiredDate]]&lt;Table1[[#This Row],[OrderDate]], Table1[[#This Row],[OrderDate]]+7, Table1[[#This Row],[RequiredDate]])</f>
        <v>45120</v>
      </c>
      <c r="H126" s="21">
        <f t="shared" si="11"/>
        <v>6</v>
      </c>
      <c r="I126" s="6" t="str">
        <f>IF(Table1[[#This Row],[New LTD]]&lt;=7,"Yes","No")</f>
        <v>Yes</v>
      </c>
      <c r="J126" s="6" t="str">
        <f t="shared" si="12"/>
        <v>No</v>
      </c>
      <c r="K126" t="s">
        <v>646</v>
      </c>
      <c r="L126" t="s">
        <v>661</v>
      </c>
      <c r="M126" t="s">
        <v>695</v>
      </c>
      <c r="N126" t="s">
        <v>705</v>
      </c>
      <c r="O126" t="s">
        <v>709</v>
      </c>
      <c r="P126" t="s">
        <v>717</v>
      </c>
      <c r="Q126" t="s">
        <v>733</v>
      </c>
      <c r="R126" t="s">
        <v>1270</v>
      </c>
      <c r="S126" s="6">
        <v>612.59</v>
      </c>
      <c r="T126" s="6">
        <v>1424.74</v>
      </c>
      <c r="U126" s="6">
        <f t="shared" si="13"/>
        <v>1424.74</v>
      </c>
      <c r="V126" s="8">
        <v>4.3999999999999997E-2</v>
      </c>
      <c r="W126" s="6">
        <v>15</v>
      </c>
      <c r="X126" s="6">
        <f t="shared" si="14"/>
        <v>20430.771599999996</v>
      </c>
      <c r="Y126">
        <f t="shared" si="15"/>
        <v>9188.85</v>
      </c>
      <c r="Z126" s="6">
        <f t="shared" si="16"/>
        <v>11241.921599999996</v>
      </c>
      <c r="AA126">
        <f t="shared" si="17"/>
        <v>0.55024459281802152</v>
      </c>
      <c r="AB126" t="str">
        <f t="shared" si="18"/>
        <v>7-2023</v>
      </c>
      <c r="AC126" t="str">
        <f t="shared" si="19"/>
        <v>Q3-2023</v>
      </c>
      <c r="AD126" t="str">
        <f t="shared" si="20"/>
        <v>Africa →South Africa →Cape Town</v>
      </c>
      <c r="AE126" t="str">
        <f t="shared" si="21"/>
        <v>Medium</v>
      </c>
      <c r="AF126" t="str">
        <f>TEXT(Table1[[#This Row],[OrderDate]],"MMM")</f>
        <v>Jul</v>
      </c>
      <c r="AG126" t="str">
        <f>TEXT(Table1[[#This Row],[OrderDate]],"YYYY")</f>
        <v>2023</v>
      </c>
      <c r="AI126" s="4">
        <f>IF(Table1[[#This Row],[RequiredDate]]&lt;Table1[[#This Row],[OrderDate]], Table1[[#This Row],[OrderDate]]+7, Table1[[#This Row],[RequiredDate]])</f>
        <v>45120</v>
      </c>
      <c r="AJ126">
        <f>IF(Dashboard!$D$3&gt;'Staging Data'!V126,'Staging Data'!V126,Dashboard!D$3)</f>
        <v>4.3999999999999997E-2</v>
      </c>
      <c r="AK126" s="19">
        <f>(100%+Dashboard!$D$4)*'Staging Data'!S126</f>
        <v>643.21950000000004</v>
      </c>
      <c r="AL126">
        <f>(100%+Dashboard!$D$5)*'Staging Data'!W126</f>
        <v>17.25</v>
      </c>
    </row>
    <row r="127" spans="1:38" x14ac:dyDescent="0.35">
      <c r="A127" s="6" t="s">
        <v>555</v>
      </c>
      <c r="B127" s="4">
        <v>45115</v>
      </c>
      <c r="C127" s="4">
        <v>45116</v>
      </c>
      <c r="D127" s="4">
        <f>IF(Table1[[#This Row],[RequiredDate]]&lt;Table1[[#This Row],[OrderDate]],Table1[[#This Row],[RequiredDate]],Table1[[#This Row],[OrderDate]])</f>
        <v>45115</v>
      </c>
      <c r="E127" s="4">
        <f>IF(Table1[[#This Row],[RequiredDate]]&gt;Table1[[#This Row],[OrderDate]],Table1[[#This Row],[RequiredDate]],Table1[[#This Row],[OrderDate]])</f>
        <v>45116</v>
      </c>
      <c r="F127" s="21">
        <f>Table1[[#This Row],[New RD]]-Table1[[#This Row],[new   od]]</f>
        <v>1</v>
      </c>
      <c r="G127" s="4">
        <f>IF(Table1[[#This Row],[RequiredDate]]&lt;Table1[[#This Row],[OrderDate]], Table1[[#This Row],[OrderDate]]+7, Table1[[#This Row],[RequiredDate]])</f>
        <v>45116</v>
      </c>
      <c r="H127" s="21">
        <f t="shared" si="11"/>
        <v>1</v>
      </c>
      <c r="I127" s="6" t="str">
        <f>IF(Table1[[#This Row],[New LTD]]&lt;=7,"Yes","No")</f>
        <v>Yes</v>
      </c>
      <c r="J127" s="6" t="str">
        <f t="shared" si="12"/>
        <v>No</v>
      </c>
      <c r="K127" t="s">
        <v>646</v>
      </c>
      <c r="L127" t="s">
        <v>650</v>
      </c>
      <c r="M127" t="s">
        <v>664</v>
      </c>
      <c r="N127" t="s">
        <v>704</v>
      </c>
      <c r="O127" t="s">
        <v>708</v>
      </c>
      <c r="P127" t="s">
        <v>726</v>
      </c>
      <c r="Q127" t="s">
        <v>731</v>
      </c>
      <c r="R127" t="s">
        <v>1273</v>
      </c>
      <c r="S127" s="6">
        <v>1258.72</v>
      </c>
      <c r="T127" s="6">
        <v>2797.41</v>
      </c>
      <c r="U127" s="6">
        <f t="shared" si="13"/>
        <v>2797.41</v>
      </c>
      <c r="V127" s="8">
        <v>0</v>
      </c>
      <c r="W127" s="6">
        <v>7</v>
      </c>
      <c r="X127" s="6">
        <f t="shared" si="14"/>
        <v>19581.87</v>
      </c>
      <c r="Y127">
        <f t="shared" si="15"/>
        <v>8811.0400000000009</v>
      </c>
      <c r="Z127" s="6">
        <f t="shared" si="16"/>
        <v>10770.829999999998</v>
      </c>
      <c r="AA127">
        <f t="shared" si="17"/>
        <v>0.55004093071805704</v>
      </c>
      <c r="AB127" t="str">
        <f t="shared" si="18"/>
        <v>7-2023</v>
      </c>
      <c r="AC127" t="str">
        <f t="shared" si="19"/>
        <v>Q3-2023</v>
      </c>
      <c r="AD127" t="str">
        <f t="shared" si="20"/>
        <v>Africa →Kenya →Nairobi</v>
      </c>
      <c r="AE127" t="str">
        <f t="shared" si="21"/>
        <v>High</v>
      </c>
      <c r="AF127" t="str">
        <f>TEXT(Table1[[#This Row],[OrderDate]],"MMM")</f>
        <v>Jul</v>
      </c>
      <c r="AG127" t="str">
        <f>TEXT(Table1[[#This Row],[OrderDate]],"YYYY")</f>
        <v>2023</v>
      </c>
      <c r="AI127" s="4">
        <f>IF(Table1[[#This Row],[RequiredDate]]&lt;Table1[[#This Row],[OrderDate]], Table1[[#This Row],[OrderDate]]+7, Table1[[#This Row],[RequiredDate]])</f>
        <v>45116</v>
      </c>
      <c r="AJ127">
        <f>IF(Dashboard!$D$3&gt;'Staging Data'!V127,'Staging Data'!V127,Dashboard!D$3)</f>
        <v>0</v>
      </c>
      <c r="AK127" s="19">
        <f>(100%+Dashboard!$D$4)*'Staging Data'!S127</f>
        <v>1321.6560000000002</v>
      </c>
      <c r="AL127">
        <f>(100%+Dashboard!$D$5)*'Staging Data'!W127</f>
        <v>8.0499999999999989</v>
      </c>
    </row>
    <row r="128" spans="1:38" x14ac:dyDescent="0.35">
      <c r="A128" s="6" t="s">
        <v>474</v>
      </c>
      <c r="B128" s="4">
        <v>45116</v>
      </c>
      <c r="C128" s="4">
        <v>45126</v>
      </c>
      <c r="D128" s="4">
        <f>IF(Table1[[#This Row],[RequiredDate]]&lt;Table1[[#This Row],[OrderDate]],Table1[[#This Row],[RequiredDate]],Table1[[#This Row],[OrderDate]])</f>
        <v>45116</v>
      </c>
      <c r="E128" s="4">
        <f>IF(Table1[[#This Row],[RequiredDate]]&gt;Table1[[#This Row],[OrderDate]],Table1[[#This Row],[RequiredDate]],Table1[[#This Row],[OrderDate]])</f>
        <v>45126</v>
      </c>
      <c r="F128" s="21">
        <f>Table1[[#This Row],[New RD]]-Table1[[#This Row],[new   od]]</f>
        <v>10</v>
      </c>
      <c r="G128" s="4">
        <f>IF(Table1[[#This Row],[RequiredDate]]&lt;Table1[[#This Row],[OrderDate]], Table1[[#This Row],[OrderDate]]+7, Table1[[#This Row],[RequiredDate]])</f>
        <v>45126</v>
      </c>
      <c r="H128" s="21">
        <f t="shared" si="11"/>
        <v>10</v>
      </c>
      <c r="I128" s="6" t="str">
        <f>IF(Table1[[#This Row],[New LTD]]&lt;=7,"Yes","No")</f>
        <v>No</v>
      </c>
      <c r="J128" s="6" t="str">
        <f t="shared" si="12"/>
        <v>No</v>
      </c>
      <c r="K128" t="s">
        <v>647</v>
      </c>
      <c r="L128" t="s">
        <v>652</v>
      </c>
      <c r="M128" t="s">
        <v>689</v>
      </c>
      <c r="N128" t="s">
        <v>706</v>
      </c>
      <c r="O128" t="s">
        <v>710</v>
      </c>
      <c r="P128" t="s">
        <v>725</v>
      </c>
      <c r="Q128" t="s">
        <v>727</v>
      </c>
      <c r="R128" t="s">
        <v>1193</v>
      </c>
      <c r="S128" s="6">
        <v>141.26</v>
      </c>
      <c r="T128" s="6">
        <v>206.88</v>
      </c>
      <c r="U128" s="6">
        <f t="shared" si="13"/>
        <v>206.88</v>
      </c>
      <c r="V128" s="8">
        <v>0.107</v>
      </c>
      <c r="W128" s="6">
        <v>9</v>
      </c>
      <c r="X128" s="6">
        <f t="shared" si="14"/>
        <v>1662.6945600000001</v>
      </c>
      <c r="Y128">
        <f t="shared" si="15"/>
        <v>1271.3399999999999</v>
      </c>
      <c r="Z128" s="6">
        <f t="shared" si="16"/>
        <v>391.35456000000022</v>
      </c>
      <c r="AA128">
        <f t="shared" si="17"/>
        <v>0.23537369365062469</v>
      </c>
      <c r="AB128" t="str">
        <f t="shared" si="18"/>
        <v>7-2023</v>
      </c>
      <c r="AC128" t="str">
        <f t="shared" si="19"/>
        <v>Q3-2023</v>
      </c>
      <c r="AD128" t="str">
        <f t="shared" si="20"/>
        <v>Asia →Japan →Tokyo</v>
      </c>
      <c r="AE128" t="str">
        <f t="shared" si="21"/>
        <v>Low</v>
      </c>
      <c r="AF128" t="str">
        <f>TEXT(Table1[[#This Row],[OrderDate]],"MMM")</f>
        <v>Jul</v>
      </c>
      <c r="AG128" t="str">
        <f>TEXT(Table1[[#This Row],[OrderDate]],"YYYY")</f>
        <v>2023</v>
      </c>
      <c r="AI128" s="4">
        <f>IF(Table1[[#This Row],[RequiredDate]]&lt;Table1[[#This Row],[OrderDate]], Table1[[#This Row],[OrderDate]]+7, Table1[[#This Row],[RequiredDate]])</f>
        <v>45126</v>
      </c>
      <c r="AJ128">
        <f>IF(Dashboard!$D$3&gt;'Staging Data'!V128,'Staging Data'!V128,Dashboard!D$3)</f>
        <v>0.107</v>
      </c>
      <c r="AK128" s="19">
        <f>(100%+Dashboard!$D$4)*'Staging Data'!S128</f>
        <v>148.32300000000001</v>
      </c>
      <c r="AL128">
        <f>(100%+Dashboard!$D$5)*'Staging Data'!W128</f>
        <v>10.35</v>
      </c>
    </row>
    <row r="129" spans="1:38" x14ac:dyDescent="0.35">
      <c r="A129" s="6" t="s">
        <v>64</v>
      </c>
      <c r="B129" s="4">
        <v>45117</v>
      </c>
      <c r="C129" s="4">
        <v>45139</v>
      </c>
      <c r="D129" s="4">
        <f>IF(Table1[[#This Row],[RequiredDate]]&lt;Table1[[#This Row],[OrderDate]],Table1[[#This Row],[RequiredDate]],Table1[[#This Row],[OrderDate]])</f>
        <v>45117</v>
      </c>
      <c r="E129" s="4">
        <f>IF(Table1[[#This Row],[RequiredDate]]&gt;Table1[[#This Row],[OrderDate]],Table1[[#This Row],[RequiredDate]],Table1[[#This Row],[OrderDate]])</f>
        <v>45139</v>
      </c>
      <c r="F129" s="21">
        <f>Table1[[#This Row],[New RD]]-Table1[[#This Row],[new   od]]</f>
        <v>22</v>
      </c>
      <c r="G129" s="4">
        <f>IF(Table1[[#This Row],[RequiredDate]]&lt;Table1[[#This Row],[OrderDate]], Table1[[#This Row],[OrderDate]]+7, Table1[[#This Row],[RequiredDate]])</f>
        <v>45139</v>
      </c>
      <c r="H129" s="21">
        <f t="shared" si="11"/>
        <v>22</v>
      </c>
      <c r="I129" s="6" t="str">
        <f>IF(Table1[[#This Row],[New LTD]]&lt;=7,"Yes","No")</f>
        <v>No</v>
      </c>
      <c r="J129" s="6" t="str">
        <f t="shared" si="12"/>
        <v>No</v>
      </c>
      <c r="K129" t="s">
        <v>649</v>
      </c>
      <c r="L129" t="s">
        <v>657</v>
      </c>
      <c r="M129" t="s">
        <v>673</v>
      </c>
      <c r="N129" t="s">
        <v>704</v>
      </c>
      <c r="O129" t="s">
        <v>709</v>
      </c>
      <c r="P129" t="s">
        <v>717</v>
      </c>
      <c r="Q129" t="s">
        <v>728</v>
      </c>
      <c r="R129" t="s">
        <v>783</v>
      </c>
      <c r="S129" s="6">
        <v>1303.56</v>
      </c>
      <c r="T129" s="6">
        <v>1791.37</v>
      </c>
      <c r="U129" s="6">
        <f t="shared" si="13"/>
        <v>1791.37</v>
      </c>
      <c r="V129" s="8">
        <v>0.126</v>
      </c>
      <c r="W129" s="6">
        <v>22</v>
      </c>
      <c r="X129" s="6">
        <f t="shared" si="14"/>
        <v>34444.462359999998</v>
      </c>
      <c r="Y129">
        <f t="shared" si="15"/>
        <v>28678.32</v>
      </c>
      <c r="Z129" s="6">
        <f t="shared" si="16"/>
        <v>5766.142359999998</v>
      </c>
      <c r="AA129">
        <f t="shared" si="17"/>
        <v>0.16740404596055358</v>
      </c>
      <c r="AB129" t="str">
        <f t="shared" si="18"/>
        <v>7-2023</v>
      </c>
      <c r="AC129" t="str">
        <f t="shared" si="19"/>
        <v>Q3-2023</v>
      </c>
      <c r="AD129" t="str">
        <f t="shared" si="20"/>
        <v>Europe →France →Marseille</v>
      </c>
      <c r="AE129" t="str">
        <f t="shared" si="21"/>
        <v>High</v>
      </c>
      <c r="AF129" t="str">
        <f>TEXT(Table1[[#This Row],[OrderDate]],"MMM")</f>
        <v>Jul</v>
      </c>
      <c r="AG129" t="str">
        <f>TEXT(Table1[[#This Row],[OrderDate]],"YYYY")</f>
        <v>2023</v>
      </c>
      <c r="AI129" s="4">
        <f>IF(Table1[[#This Row],[RequiredDate]]&lt;Table1[[#This Row],[OrderDate]], Table1[[#This Row],[OrderDate]]+7, Table1[[#This Row],[RequiredDate]])</f>
        <v>45139</v>
      </c>
      <c r="AJ129">
        <f>IF(Dashboard!$D$3&gt;'Staging Data'!V129,'Staging Data'!V129,Dashboard!D$3)</f>
        <v>0.126</v>
      </c>
      <c r="AK129" s="19">
        <f>(100%+Dashboard!$D$4)*'Staging Data'!S129</f>
        <v>1368.7380000000001</v>
      </c>
      <c r="AL129">
        <f>(100%+Dashboard!$D$5)*'Staging Data'!W129</f>
        <v>25.299999999999997</v>
      </c>
    </row>
    <row r="130" spans="1:38" x14ac:dyDescent="0.35">
      <c r="A130" s="6" t="s">
        <v>353</v>
      </c>
      <c r="B130" s="4">
        <v>45121</v>
      </c>
      <c r="C130" s="4">
        <v>45128</v>
      </c>
      <c r="D130" s="4">
        <f>IF(Table1[[#This Row],[RequiredDate]]&lt;Table1[[#This Row],[OrderDate]],Table1[[#This Row],[RequiredDate]],Table1[[#This Row],[OrderDate]])</f>
        <v>45121</v>
      </c>
      <c r="E130" s="4">
        <f>IF(Table1[[#This Row],[RequiredDate]]&gt;Table1[[#This Row],[OrderDate]],Table1[[#This Row],[RequiredDate]],Table1[[#This Row],[OrderDate]])</f>
        <v>45128</v>
      </c>
      <c r="F130" s="21">
        <f>Table1[[#This Row],[New RD]]-Table1[[#This Row],[new   od]]</f>
        <v>7</v>
      </c>
      <c r="G130" s="4">
        <f>IF(Table1[[#This Row],[RequiredDate]]&lt;Table1[[#This Row],[OrderDate]], Table1[[#This Row],[OrderDate]]+7, Table1[[#This Row],[RequiredDate]])</f>
        <v>45128</v>
      </c>
      <c r="H130" s="21">
        <f t="shared" ref="H130:H193" si="22">G130-B130</f>
        <v>7</v>
      </c>
      <c r="I130" s="6" t="str">
        <f>IF(Table1[[#This Row],[New LTD]]&lt;=7,"Yes","No")</f>
        <v>Yes</v>
      </c>
      <c r="J130" s="6" t="str">
        <f t="shared" ref="J130:J193" si="23">IF(V130&gt;20%,"Yes","No")</f>
        <v>Yes</v>
      </c>
      <c r="K130" t="s">
        <v>646</v>
      </c>
      <c r="L130" t="s">
        <v>661</v>
      </c>
      <c r="M130" t="s">
        <v>687</v>
      </c>
      <c r="N130" t="s">
        <v>706</v>
      </c>
      <c r="O130" t="s">
        <v>709</v>
      </c>
      <c r="P130" t="s">
        <v>1423</v>
      </c>
      <c r="Q130" t="s">
        <v>732</v>
      </c>
      <c r="R130" t="s">
        <v>1073</v>
      </c>
      <c r="S130" s="6">
        <v>620.74</v>
      </c>
      <c r="T130" s="6">
        <v>1330.07</v>
      </c>
      <c r="U130" s="6">
        <f t="shared" ref="U130:U193" si="24">ABS(T130)</f>
        <v>1330.07</v>
      </c>
      <c r="V130" s="8">
        <v>0.29899999999999999</v>
      </c>
      <c r="W130" s="6">
        <v>28</v>
      </c>
      <c r="X130" s="6">
        <f t="shared" ref="X130:X193" si="25">U130*W130*(1-V130)</f>
        <v>26106.613960000002</v>
      </c>
      <c r="Y130">
        <f t="shared" ref="Y130:Y193" si="26">S130*W130</f>
        <v>17380.72</v>
      </c>
      <c r="Z130" s="6">
        <f t="shared" ref="Z130:Z193" si="27">X130-Y130</f>
        <v>8725.8939600000012</v>
      </c>
      <c r="AA130">
        <f t="shared" ref="AA130:AA193" si="28">IF(X130=0, 0, Z130/ X130)</f>
        <v>0.33424073965967516</v>
      </c>
      <c r="AB130" t="str">
        <f t="shared" ref="AB130:AB193" si="29">_xlfn.CONCAT(MONTH(B130),"-",YEAR(B130))</f>
        <v>7-2023</v>
      </c>
      <c r="AC130" t="str">
        <f t="shared" ref="AC130:AC193" si="30">"Q"&amp;ROUNDUP(MONTH(B130)/3,0)&amp;"-"&amp;YEAR(B130)</f>
        <v>Q3-2023</v>
      </c>
      <c r="AD130" t="str">
        <f t="shared" ref="AD130:AD193" si="31">_xlfn.CONCAT(K130," →",L130," →",M130)</f>
        <v>Africa →South Africa →Durban</v>
      </c>
      <c r="AE130" t="str">
        <f t="shared" ref="AE130:AE193" si="32">IF(T130&lt;=LowerCutOff,"Low", IF(T130&lt;=HigherCutOff,"Medium","High"))</f>
        <v>Medium</v>
      </c>
      <c r="AF130" t="str">
        <f>TEXT(Table1[[#This Row],[OrderDate]],"MMM")</f>
        <v>Jul</v>
      </c>
      <c r="AG130" t="str">
        <f>TEXT(Table1[[#This Row],[OrderDate]],"YYYY")</f>
        <v>2023</v>
      </c>
      <c r="AI130" s="4">
        <f>IF(Table1[[#This Row],[RequiredDate]]&lt;Table1[[#This Row],[OrderDate]], Table1[[#This Row],[OrderDate]]+7, Table1[[#This Row],[RequiredDate]])</f>
        <v>45128</v>
      </c>
      <c r="AJ130">
        <f>IF(Dashboard!$D$3&gt;'Staging Data'!V130,'Staging Data'!V130,Dashboard!D$3)</f>
        <v>0.2</v>
      </c>
      <c r="AK130" s="19">
        <f>(100%+Dashboard!$D$4)*'Staging Data'!S130</f>
        <v>651.77700000000004</v>
      </c>
      <c r="AL130">
        <f>(100%+Dashboard!$D$5)*'Staging Data'!W130</f>
        <v>32.199999999999996</v>
      </c>
    </row>
    <row r="131" spans="1:38" x14ac:dyDescent="0.35">
      <c r="A131" s="6" t="s">
        <v>366</v>
      </c>
      <c r="B131" s="4">
        <v>45121</v>
      </c>
      <c r="C131" s="4">
        <v>45121</v>
      </c>
      <c r="D131" s="4">
        <f>IF(Table1[[#This Row],[RequiredDate]]&lt;Table1[[#This Row],[OrderDate]],Table1[[#This Row],[RequiredDate]],Table1[[#This Row],[OrderDate]])</f>
        <v>45121</v>
      </c>
      <c r="E131" s="4">
        <f>IF(Table1[[#This Row],[RequiredDate]]&gt;Table1[[#This Row],[OrderDate]],Table1[[#This Row],[RequiredDate]],Table1[[#This Row],[OrderDate]])</f>
        <v>45121</v>
      </c>
      <c r="F131" s="21">
        <f>Table1[[#This Row],[New RD]]-Table1[[#This Row],[new   od]]</f>
        <v>0</v>
      </c>
      <c r="G131" s="4">
        <f>IF(Table1[[#This Row],[RequiredDate]]&lt;Table1[[#This Row],[OrderDate]], Table1[[#This Row],[OrderDate]]+7, Table1[[#This Row],[RequiredDate]])</f>
        <v>45121</v>
      </c>
      <c r="H131" s="21">
        <f t="shared" si="22"/>
        <v>0</v>
      </c>
      <c r="I131" s="6" t="str">
        <f>IF(Table1[[#This Row],[New LTD]]&lt;=7,"Yes","No")</f>
        <v>Yes</v>
      </c>
      <c r="J131" s="6" t="str">
        <f t="shared" si="23"/>
        <v>No</v>
      </c>
      <c r="K131" t="s">
        <v>646</v>
      </c>
      <c r="L131" t="s">
        <v>651</v>
      </c>
      <c r="M131" t="s">
        <v>665</v>
      </c>
      <c r="N131" t="s">
        <v>702</v>
      </c>
      <c r="O131" t="s">
        <v>707</v>
      </c>
      <c r="P131" t="s">
        <v>714</v>
      </c>
      <c r="Q131" t="s">
        <v>733</v>
      </c>
      <c r="R131" t="s">
        <v>1086</v>
      </c>
      <c r="S131" s="6">
        <v>956.38</v>
      </c>
      <c r="T131" s="6">
        <v>1454.22</v>
      </c>
      <c r="U131" s="6">
        <f t="shared" si="24"/>
        <v>1454.22</v>
      </c>
      <c r="V131" s="8">
        <v>3.9E-2</v>
      </c>
      <c r="W131" s="6">
        <v>19</v>
      </c>
      <c r="X131" s="6">
        <f t="shared" si="25"/>
        <v>26552.60298</v>
      </c>
      <c r="Y131">
        <f t="shared" si="26"/>
        <v>18171.22</v>
      </c>
      <c r="Z131" s="6">
        <f t="shared" si="27"/>
        <v>8381.3829799999985</v>
      </c>
      <c r="AA131">
        <f t="shared" si="28"/>
        <v>0.31565202802576603</v>
      </c>
      <c r="AB131" t="str">
        <f t="shared" si="29"/>
        <v>7-2023</v>
      </c>
      <c r="AC131" t="str">
        <f t="shared" si="30"/>
        <v>Q3-2023</v>
      </c>
      <c r="AD131" t="str">
        <f t="shared" si="31"/>
        <v>Africa →Nigeria →Lagos</v>
      </c>
      <c r="AE131" t="str">
        <f t="shared" si="32"/>
        <v>Medium</v>
      </c>
      <c r="AF131" t="str">
        <f>TEXT(Table1[[#This Row],[OrderDate]],"MMM")</f>
        <v>Jul</v>
      </c>
      <c r="AG131" t="str">
        <f>TEXT(Table1[[#This Row],[OrderDate]],"YYYY")</f>
        <v>2023</v>
      </c>
      <c r="AI131" s="4">
        <f>IF(Table1[[#This Row],[RequiredDate]]&lt;Table1[[#This Row],[OrderDate]], Table1[[#This Row],[OrderDate]]+7, Table1[[#This Row],[RequiredDate]])</f>
        <v>45121</v>
      </c>
      <c r="AJ131">
        <f>IF(Dashboard!$D$3&gt;'Staging Data'!V131,'Staging Data'!V131,Dashboard!D$3)</f>
        <v>3.9E-2</v>
      </c>
      <c r="AK131" s="19">
        <f>(100%+Dashboard!$D$4)*'Staging Data'!S131</f>
        <v>1004.1990000000001</v>
      </c>
      <c r="AL131">
        <f>(100%+Dashboard!$D$5)*'Staging Data'!W131</f>
        <v>21.849999999999998</v>
      </c>
    </row>
    <row r="132" spans="1:38" x14ac:dyDescent="0.35">
      <c r="A132" s="6" t="s">
        <v>492</v>
      </c>
      <c r="B132" s="4">
        <v>45123</v>
      </c>
      <c r="C132" s="4">
        <v>45151</v>
      </c>
      <c r="D132" s="4">
        <f>IF(Table1[[#This Row],[RequiredDate]]&lt;Table1[[#This Row],[OrderDate]],Table1[[#This Row],[RequiredDate]],Table1[[#This Row],[OrderDate]])</f>
        <v>45123</v>
      </c>
      <c r="E132" s="4">
        <f>IF(Table1[[#This Row],[RequiredDate]]&gt;Table1[[#This Row],[OrderDate]],Table1[[#This Row],[RequiredDate]],Table1[[#This Row],[OrderDate]])</f>
        <v>45151</v>
      </c>
      <c r="F132" s="21">
        <f>Table1[[#This Row],[New RD]]-Table1[[#This Row],[new   od]]</f>
        <v>28</v>
      </c>
      <c r="G132" s="4">
        <f>IF(Table1[[#This Row],[RequiredDate]]&lt;Table1[[#This Row],[OrderDate]], Table1[[#This Row],[OrderDate]]+7, Table1[[#This Row],[RequiredDate]])</f>
        <v>45151</v>
      </c>
      <c r="H132" s="21">
        <f t="shared" si="22"/>
        <v>28</v>
      </c>
      <c r="I132" s="6" t="str">
        <f>IF(Table1[[#This Row],[New LTD]]&lt;=7,"Yes","No")</f>
        <v>No</v>
      </c>
      <c r="J132" s="6" t="str">
        <f t="shared" si="23"/>
        <v>Yes</v>
      </c>
      <c r="K132" t="s">
        <v>649</v>
      </c>
      <c r="L132" t="s">
        <v>658</v>
      </c>
      <c r="M132" t="s">
        <v>693</v>
      </c>
      <c r="N132" t="s">
        <v>703</v>
      </c>
      <c r="O132" t="s">
        <v>708</v>
      </c>
      <c r="P132" t="s">
        <v>713</v>
      </c>
      <c r="Q132" t="s">
        <v>731</v>
      </c>
      <c r="R132" t="s">
        <v>1211</v>
      </c>
      <c r="S132" s="6">
        <v>1039.03</v>
      </c>
      <c r="T132" s="6">
        <v>2545.81</v>
      </c>
      <c r="U132" s="6">
        <f t="shared" si="24"/>
        <v>2545.81</v>
      </c>
      <c r="V132" s="8">
        <v>0.216</v>
      </c>
      <c r="W132" s="6">
        <v>21</v>
      </c>
      <c r="X132" s="6">
        <f t="shared" si="25"/>
        <v>41914.215840000004</v>
      </c>
      <c r="Y132">
        <f t="shared" si="26"/>
        <v>21819.63</v>
      </c>
      <c r="Z132" s="6">
        <f t="shared" si="27"/>
        <v>20094.585840000003</v>
      </c>
      <c r="AA132">
        <f t="shared" si="28"/>
        <v>0.47942172929364774</v>
      </c>
      <c r="AB132" t="str">
        <f t="shared" si="29"/>
        <v>7-2023</v>
      </c>
      <c r="AC132" t="str">
        <f t="shared" si="30"/>
        <v>Q3-2023</v>
      </c>
      <c r="AD132" t="str">
        <f t="shared" si="31"/>
        <v>Europe →United Kingdom →Manchester</v>
      </c>
      <c r="AE132" t="str">
        <f t="shared" si="32"/>
        <v>High</v>
      </c>
      <c r="AF132" t="str">
        <f>TEXT(Table1[[#This Row],[OrderDate]],"MMM")</f>
        <v>Jul</v>
      </c>
      <c r="AG132" t="str">
        <f>TEXT(Table1[[#This Row],[OrderDate]],"YYYY")</f>
        <v>2023</v>
      </c>
      <c r="AI132" s="4">
        <f>IF(Table1[[#This Row],[RequiredDate]]&lt;Table1[[#This Row],[OrderDate]], Table1[[#This Row],[OrderDate]]+7, Table1[[#This Row],[RequiredDate]])</f>
        <v>45151</v>
      </c>
      <c r="AJ132">
        <f>IF(Dashboard!$D$3&gt;'Staging Data'!V132,'Staging Data'!V132,Dashboard!D$3)</f>
        <v>0.2</v>
      </c>
      <c r="AK132" s="19">
        <f>(100%+Dashboard!$D$4)*'Staging Data'!S132</f>
        <v>1090.9815000000001</v>
      </c>
      <c r="AL132">
        <f>(100%+Dashboard!$D$5)*'Staging Data'!W132</f>
        <v>24.15</v>
      </c>
    </row>
    <row r="133" spans="1:38" x14ac:dyDescent="0.35">
      <c r="A133" s="6" t="s">
        <v>303</v>
      </c>
      <c r="B133" s="4">
        <v>45125</v>
      </c>
      <c r="C133" s="4">
        <v>45148</v>
      </c>
      <c r="D133" s="4">
        <f>IF(Table1[[#This Row],[RequiredDate]]&lt;Table1[[#This Row],[OrderDate]],Table1[[#This Row],[RequiredDate]],Table1[[#This Row],[OrderDate]])</f>
        <v>45125</v>
      </c>
      <c r="E133" s="4">
        <f>IF(Table1[[#This Row],[RequiredDate]]&gt;Table1[[#This Row],[OrderDate]],Table1[[#This Row],[RequiredDate]],Table1[[#This Row],[OrderDate]])</f>
        <v>45148</v>
      </c>
      <c r="F133" s="21">
        <f>Table1[[#This Row],[New RD]]-Table1[[#This Row],[new   od]]</f>
        <v>23</v>
      </c>
      <c r="G133" s="4">
        <f>IF(Table1[[#This Row],[RequiredDate]]&lt;Table1[[#This Row],[OrderDate]], Table1[[#This Row],[OrderDate]]+7, Table1[[#This Row],[RequiredDate]])</f>
        <v>45148</v>
      </c>
      <c r="H133" s="21">
        <f t="shared" si="22"/>
        <v>23</v>
      </c>
      <c r="I133" s="6" t="str">
        <f>IF(Table1[[#This Row],[New LTD]]&lt;=7,"Yes","No")</f>
        <v>No</v>
      </c>
      <c r="J133" s="6" t="str">
        <f t="shared" si="23"/>
        <v>No</v>
      </c>
      <c r="K133" t="s">
        <v>646</v>
      </c>
      <c r="L133" t="s">
        <v>661</v>
      </c>
      <c r="M133" t="s">
        <v>682</v>
      </c>
      <c r="N133" t="s">
        <v>705</v>
      </c>
      <c r="O133" t="s">
        <v>707</v>
      </c>
      <c r="P133" t="s">
        <v>716</v>
      </c>
      <c r="Q133" t="s">
        <v>727</v>
      </c>
      <c r="R133" t="s">
        <v>1023</v>
      </c>
      <c r="S133" s="6">
        <v>1271.56</v>
      </c>
      <c r="T133" s="6">
        <v>995.47</v>
      </c>
      <c r="U133" s="6">
        <f t="shared" si="24"/>
        <v>995.47</v>
      </c>
      <c r="V133" s="8">
        <v>0.192</v>
      </c>
      <c r="W133" s="6">
        <v>13</v>
      </c>
      <c r="X133" s="6">
        <f t="shared" si="25"/>
        <v>10456.416880000001</v>
      </c>
      <c r="Y133">
        <f t="shared" si="26"/>
        <v>16530.28</v>
      </c>
      <c r="Z133" s="6">
        <f t="shared" si="27"/>
        <v>-6073.8631199999982</v>
      </c>
      <c r="AA133">
        <f t="shared" si="28"/>
        <v>-0.58087423155607754</v>
      </c>
      <c r="AB133" t="str">
        <f t="shared" si="29"/>
        <v>7-2023</v>
      </c>
      <c r="AC133" t="str">
        <f t="shared" si="30"/>
        <v>Q3-2023</v>
      </c>
      <c r="AD133" t="str">
        <f t="shared" si="31"/>
        <v>Africa →South Africa →Johannesburg</v>
      </c>
      <c r="AE133" t="str">
        <f t="shared" si="32"/>
        <v>Medium</v>
      </c>
      <c r="AF133" t="str">
        <f>TEXT(Table1[[#This Row],[OrderDate]],"MMM")</f>
        <v>Jul</v>
      </c>
      <c r="AG133" t="str">
        <f>TEXT(Table1[[#This Row],[OrderDate]],"YYYY")</f>
        <v>2023</v>
      </c>
      <c r="AI133" s="4">
        <f>IF(Table1[[#This Row],[RequiredDate]]&lt;Table1[[#This Row],[OrderDate]], Table1[[#This Row],[OrderDate]]+7, Table1[[#This Row],[RequiredDate]])</f>
        <v>45148</v>
      </c>
      <c r="AJ133">
        <f>IF(Dashboard!$D$3&gt;'Staging Data'!V133,'Staging Data'!V133,Dashboard!D$3)</f>
        <v>0.192</v>
      </c>
      <c r="AK133" s="19">
        <f>(100%+Dashboard!$D$4)*'Staging Data'!S133</f>
        <v>1335.1379999999999</v>
      </c>
      <c r="AL133">
        <f>(100%+Dashboard!$D$5)*'Staging Data'!W133</f>
        <v>14.95</v>
      </c>
    </row>
    <row r="134" spans="1:38" x14ac:dyDescent="0.35">
      <c r="A134" s="6" t="s">
        <v>316</v>
      </c>
      <c r="B134" s="4">
        <v>45125</v>
      </c>
      <c r="C134" s="4">
        <v>45129</v>
      </c>
      <c r="D134" s="4">
        <f>IF(Table1[[#This Row],[RequiredDate]]&lt;Table1[[#This Row],[OrderDate]],Table1[[#This Row],[RequiredDate]],Table1[[#This Row],[OrderDate]])</f>
        <v>45125</v>
      </c>
      <c r="E134" s="4">
        <f>IF(Table1[[#This Row],[RequiredDate]]&gt;Table1[[#This Row],[OrderDate]],Table1[[#This Row],[RequiredDate]],Table1[[#This Row],[OrderDate]])</f>
        <v>45129</v>
      </c>
      <c r="F134" s="21">
        <f>Table1[[#This Row],[New RD]]-Table1[[#This Row],[new   od]]</f>
        <v>4</v>
      </c>
      <c r="G134" s="4">
        <f>IF(Table1[[#This Row],[RequiredDate]]&lt;Table1[[#This Row],[OrderDate]], Table1[[#This Row],[OrderDate]]+7, Table1[[#This Row],[RequiredDate]])</f>
        <v>45129</v>
      </c>
      <c r="H134" s="21">
        <f t="shared" si="22"/>
        <v>4</v>
      </c>
      <c r="I134" s="6" t="str">
        <f>IF(Table1[[#This Row],[New LTD]]&lt;=7,"Yes","No")</f>
        <v>Yes</v>
      </c>
      <c r="J134" s="6" t="str">
        <f t="shared" si="23"/>
        <v>No</v>
      </c>
      <c r="K134" t="s">
        <v>648</v>
      </c>
      <c r="L134" t="s">
        <v>655</v>
      </c>
      <c r="M134" t="s">
        <v>670</v>
      </c>
      <c r="N134" t="s">
        <v>704</v>
      </c>
      <c r="O134" t="s">
        <v>711</v>
      </c>
      <c r="P134" t="s">
        <v>721</v>
      </c>
      <c r="Q134" t="s">
        <v>729</v>
      </c>
      <c r="R134" t="s">
        <v>1036</v>
      </c>
      <c r="S134" s="6">
        <v>1269.55</v>
      </c>
      <c r="T134" s="6">
        <v>2071.1</v>
      </c>
      <c r="U134" s="6">
        <f t="shared" si="24"/>
        <v>2071.1</v>
      </c>
      <c r="V134" s="8">
        <v>0.129</v>
      </c>
      <c r="W134" s="6">
        <v>22</v>
      </c>
      <c r="X134" s="6">
        <f t="shared" si="25"/>
        <v>39686.4182</v>
      </c>
      <c r="Y134">
        <f t="shared" si="26"/>
        <v>27930.1</v>
      </c>
      <c r="Z134" s="6">
        <f t="shared" si="27"/>
        <v>11756.318200000002</v>
      </c>
      <c r="AA134">
        <f t="shared" si="28"/>
        <v>0.29623026549672354</v>
      </c>
      <c r="AB134" t="str">
        <f t="shared" si="29"/>
        <v>7-2023</v>
      </c>
      <c r="AC134" t="str">
        <f t="shared" si="30"/>
        <v>Q3-2023</v>
      </c>
      <c r="AD134" t="str">
        <f t="shared" si="31"/>
        <v>Americas →Brazil →São Paulo</v>
      </c>
      <c r="AE134" t="str">
        <f t="shared" si="32"/>
        <v>High</v>
      </c>
      <c r="AF134" t="str">
        <f>TEXT(Table1[[#This Row],[OrderDate]],"MMM")</f>
        <v>Jul</v>
      </c>
      <c r="AG134" t="str">
        <f>TEXT(Table1[[#This Row],[OrderDate]],"YYYY")</f>
        <v>2023</v>
      </c>
      <c r="AI134" s="4">
        <f>IF(Table1[[#This Row],[RequiredDate]]&lt;Table1[[#This Row],[OrderDate]], Table1[[#This Row],[OrderDate]]+7, Table1[[#This Row],[RequiredDate]])</f>
        <v>45129</v>
      </c>
      <c r="AJ134">
        <f>IF(Dashboard!$D$3&gt;'Staging Data'!V134,'Staging Data'!V134,Dashboard!D$3)</f>
        <v>0.129</v>
      </c>
      <c r="AK134" s="19">
        <f>(100%+Dashboard!$D$4)*'Staging Data'!S134</f>
        <v>1333.0274999999999</v>
      </c>
      <c r="AL134">
        <f>(100%+Dashboard!$D$5)*'Staging Data'!W134</f>
        <v>25.299999999999997</v>
      </c>
    </row>
    <row r="135" spans="1:38" x14ac:dyDescent="0.35">
      <c r="A135" s="6" t="s">
        <v>202</v>
      </c>
      <c r="B135" s="4">
        <v>45126</v>
      </c>
      <c r="C135" s="4">
        <v>45138</v>
      </c>
      <c r="D135" s="4">
        <f>IF(Table1[[#This Row],[RequiredDate]]&lt;Table1[[#This Row],[OrderDate]],Table1[[#This Row],[RequiredDate]],Table1[[#This Row],[OrderDate]])</f>
        <v>45126</v>
      </c>
      <c r="E135" s="4">
        <f>IF(Table1[[#This Row],[RequiredDate]]&gt;Table1[[#This Row],[OrderDate]],Table1[[#This Row],[RequiredDate]],Table1[[#This Row],[OrderDate]])</f>
        <v>45138</v>
      </c>
      <c r="F135" s="21">
        <f>Table1[[#This Row],[New RD]]-Table1[[#This Row],[new   od]]</f>
        <v>12</v>
      </c>
      <c r="G135" s="4">
        <f>IF(Table1[[#This Row],[RequiredDate]]&lt;Table1[[#This Row],[OrderDate]], Table1[[#This Row],[OrderDate]]+7, Table1[[#This Row],[RequiredDate]])</f>
        <v>45138</v>
      </c>
      <c r="H135" s="21">
        <f t="shared" si="22"/>
        <v>12</v>
      </c>
      <c r="I135" s="6" t="str">
        <f>IF(Table1[[#This Row],[New LTD]]&lt;=7,"Yes","No")</f>
        <v>No</v>
      </c>
      <c r="J135" s="6" t="str">
        <f t="shared" si="23"/>
        <v>No</v>
      </c>
      <c r="K135" t="s">
        <v>648</v>
      </c>
      <c r="L135" t="s">
        <v>655</v>
      </c>
      <c r="M135" t="s">
        <v>692</v>
      </c>
      <c r="N135" t="s">
        <v>701</v>
      </c>
      <c r="O135" t="s">
        <v>707</v>
      </c>
      <c r="P135" t="s">
        <v>712</v>
      </c>
      <c r="Q135" t="s">
        <v>732</v>
      </c>
      <c r="R135" t="s">
        <v>922</v>
      </c>
      <c r="S135" s="6">
        <v>1334.64</v>
      </c>
      <c r="T135" s="6">
        <v>2273.42</v>
      </c>
      <c r="U135" s="6">
        <f t="shared" si="24"/>
        <v>2273.42</v>
      </c>
      <c r="V135" s="8">
        <v>0.11799999999999999</v>
      </c>
      <c r="W135" s="6">
        <v>14</v>
      </c>
      <c r="X135" s="6">
        <f t="shared" si="25"/>
        <v>28072.190160000002</v>
      </c>
      <c r="Y135">
        <f t="shared" si="26"/>
        <v>18684.960000000003</v>
      </c>
      <c r="Z135" s="6">
        <f t="shared" si="27"/>
        <v>9387.2301599999992</v>
      </c>
      <c r="AA135">
        <f t="shared" si="28"/>
        <v>0.33439607335575267</v>
      </c>
      <c r="AB135" t="str">
        <f t="shared" si="29"/>
        <v>7-2023</v>
      </c>
      <c r="AC135" t="str">
        <f t="shared" si="30"/>
        <v>Q3-2023</v>
      </c>
      <c r="AD135" t="str">
        <f t="shared" si="31"/>
        <v>Americas →Brazil →Rio de Janeiro</v>
      </c>
      <c r="AE135" t="str">
        <f t="shared" si="32"/>
        <v>High</v>
      </c>
      <c r="AF135" t="str">
        <f>TEXT(Table1[[#This Row],[OrderDate]],"MMM")</f>
        <v>Jul</v>
      </c>
      <c r="AG135" t="str">
        <f>TEXT(Table1[[#This Row],[OrderDate]],"YYYY")</f>
        <v>2023</v>
      </c>
      <c r="AI135" s="4">
        <f>IF(Table1[[#This Row],[RequiredDate]]&lt;Table1[[#This Row],[OrderDate]], Table1[[#This Row],[OrderDate]]+7, Table1[[#This Row],[RequiredDate]])</f>
        <v>45138</v>
      </c>
      <c r="AJ135">
        <f>IF(Dashboard!$D$3&gt;'Staging Data'!V135,'Staging Data'!V135,Dashboard!D$3)</f>
        <v>0.11799999999999999</v>
      </c>
      <c r="AK135" s="19">
        <f>(100%+Dashboard!$D$4)*'Staging Data'!S135</f>
        <v>1401.3720000000001</v>
      </c>
      <c r="AL135">
        <f>(100%+Dashboard!$D$5)*'Staging Data'!W135</f>
        <v>16.099999999999998</v>
      </c>
    </row>
    <row r="136" spans="1:38" x14ac:dyDescent="0.35">
      <c r="A136" s="6" t="s">
        <v>464</v>
      </c>
      <c r="B136" s="4">
        <v>45129</v>
      </c>
      <c r="C136" s="4">
        <v>45128</v>
      </c>
      <c r="D136" s="4">
        <f>IF(Table1[[#This Row],[RequiredDate]]&lt;Table1[[#This Row],[OrderDate]],Table1[[#This Row],[RequiredDate]],Table1[[#This Row],[OrderDate]])</f>
        <v>45128</v>
      </c>
      <c r="E136" s="4">
        <f>IF(Table1[[#This Row],[RequiredDate]]&gt;Table1[[#This Row],[OrderDate]],Table1[[#This Row],[RequiredDate]],Table1[[#This Row],[OrderDate]])</f>
        <v>45129</v>
      </c>
      <c r="F136" s="21">
        <f>Table1[[#This Row],[New RD]]-Table1[[#This Row],[new   od]]</f>
        <v>1</v>
      </c>
      <c r="G136" s="4">
        <f>IF(Table1[[#This Row],[RequiredDate]]&lt;Table1[[#This Row],[OrderDate]], Table1[[#This Row],[OrderDate]]+7, Table1[[#This Row],[RequiredDate]])</f>
        <v>45136</v>
      </c>
      <c r="H136" s="21">
        <f t="shared" si="22"/>
        <v>7</v>
      </c>
      <c r="I136" s="6" t="str">
        <f>IF(Table1[[#This Row],[New LTD]]&lt;=7,"Yes","No")</f>
        <v>Yes</v>
      </c>
      <c r="J136" s="6" t="str">
        <f t="shared" si="23"/>
        <v>No</v>
      </c>
      <c r="K136" t="s">
        <v>647</v>
      </c>
      <c r="L136" t="s">
        <v>654</v>
      </c>
      <c r="M136" t="s">
        <v>680</v>
      </c>
      <c r="N136" t="s">
        <v>705</v>
      </c>
      <c r="O136" t="s">
        <v>710</v>
      </c>
      <c r="P136" t="s">
        <v>718</v>
      </c>
      <c r="Q136" t="s">
        <v>728</v>
      </c>
      <c r="R136" t="s">
        <v>1183</v>
      </c>
      <c r="S136" s="6">
        <v>946.99</v>
      </c>
      <c r="T136" s="6">
        <v>2132.19</v>
      </c>
      <c r="U136" s="6">
        <f t="shared" si="24"/>
        <v>2132.19</v>
      </c>
      <c r="V136" s="8">
        <v>0.16500000000000001</v>
      </c>
      <c r="W136" s="6">
        <v>7</v>
      </c>
      <c r="X136" s="6">
        <f t="shared" si="25"/>
        <v>12462.65055</v>
      </c>
      <c r="Y136">
        <f t="shared" si="26"/>
        <v>6628.93</v>
      </c>
      <c r="Z136" s="6">
        <f t="shared" si="27"/>
        <v>5833.72055</v>
      </c>
      <c r="AA136">
        <f t="shared" si="28"/>
        <v>0.46809629513362228</v>
      </c>
      <c r="AB136" t="str">
        <f t="shared" si="29"/>
        <v>7-2023</v>
      </c>
      <c r="AC136" t="str">
        <f t="shared" si="30"/>
        <v>Q3-2023</v>
      </c>
      <c r="AD136" t="str">
        <f t="shared" si="31"/>
        <v>Asia →India →Delhi</v>
      </c>
      <c r="AE136" t="str">
        <f t="shared" si="32"/>
        <v>High</v>
      </c>
      <c r="AF136" t="str">
        <f>TEXT(Table1[[#This Row],[OrderDate]],"MMM")</f>
        <v>Jul</v>
      </c>
      <c r="AG136" t="str">
        <f>TEXT(Table1[[#This Row],[OrderDate]],"YYYY")</f>
        <v>2023</v>
      </c>
      <c r="AI136" s="4">
        <f>IF(Table1[[#This Row],[RequiredDate]]&lt;Table1[[#This Row],[OrderDate]], Table1[[#This Row],[OrderDate]]+7, Table1[[#This Row],[RequiredDate]])</f>
        <v>45136</v>
      </c>
      <c r="AJ136">
        <f>IF(Dashboard!$D$3&gt;'Staging Data'!V136,'Staging Data'!V136,Dashboard!D$3)</f>
        <v>0.16500000000000001</v>
      </c>
      <c r="AK136" s="19">
        <f>(100%+Dashboard!$D$4)*'Staging Data'!S136</f>
        <v>994.33950000000004</v>
      </c>
      <c r="AL136">
        <f>(100%+Dashboard!$D$5)*'Staging Data'!W136</f>
        <v>8.0499999999999989</v>
      </c>
    </row>
    <row r="137" spans="1:38" x14ac:dyDescent="0.35">
      <c r="A137" s="6" t="s">
        <v>287</v>
      </c>
      <c r="B137" s="4">
        <v>45131</v>
      </c>
      <c r="C137" s="4">
        <v>45151</v>
      </c>
      <c r="D137" s="4">
        <f>IF(Table1[[#This Row],[RequiredDate]]&lt;Table1[[#This Row],[OrderDate]],Table1[[#This Row],[RequiredDate]],Table1[[#This Row],[OrderDate]])</f>
        <v>45131</v>
      </c>
      <c r="E137" s="4">
        <f>IF(Table1[[#This Row],[RequiredDate]]&gt;Table1[[#This Row],[OrderDate]],Table1[[#This Row],[RequiredDate]],Table1[[#This Row],[OrderDate]])</f>
        <v>45151</v>
      </c>
      <c r="F137" s="21">
        <f>Table1[[#This Row],[New RD]]-Table1[[#This Row],[new   od]]</f>
        <v>20</v>
      </c>
      <c r="G137" s="4">
        <f>IF(Table1[[#This Row],[RequiredDate]]&lt;Table1[[#This Row],[OrderDate]], Table1[[#This Row],[OrderDate]]+7, Table1[[#This Row],[RequiredDate]])</f>
        <v>45151</v>
      </c>
      <c r="H137" s="21">
        <f t="shared" si="22"/>
        <v>20</v>
      </c>
      <c r="I137" s="6" t="str">
        <f>IF(Table1[[#This Row],[New LTD]]&lt;=7,"Yes","No")</f>
        <v>No</v>
      </c>
      <c r="J137" s="6" t="str">
        <f t="shared" si="23"/>
        <v>No</v>
      </c>
      <c r="K137" t="s">
        <v>648</v>
      </c>
      <c r="L137" t="s">
        <v>653</v>
      </c>
      <c r="M137" t="s">
        <v>681</v>
      </c>
      <c r="N137" t="s">
        <v>702</v>
      </c>
      <c r="O137" t="s">
        <v>711</v>
      </c>
      <c r="P137" t="s">
        <v>712</v>
      </c>
      <c r="Q137" t="s">
        <v>732</v>
      </c>
      <c r="R137" t="s">
        <v>1007</v>
      </c>
      <c r="S137" s="6">
        <v>1082.3800000000001</v>
      </c>
      <c r="T137" s="6">
        <v>1766.55</v>
      </c>
      <c r="U137" s="6">
        <f t="shared" si="24"/>
        <v>1766.55</v>
      </c>
      <c r="V137" s="8">
        <v>0.16400000000000001</v>
      </c>
      <c r="W137" s="6">
        <v>20</v>
      </c>
      <c r="X137" s="6">
        <f t="shared" si="25"/>
        <v>29536.716</v>
      </c>
      <c r="Y137">
        <f t="shared" si="26"/>
        <v>21647.600000000002</v>
      </c>
      <c r="Z137" s="6">
        <f t="shared" si="27"/>
        <v>7889.1159999999982</v>
      </c>
      <c r="AA137">
        <f t="shared" si="28"/>
        <v>0.26709523157550752</v>
      </c>
      <c r="AB137" t="str">
        <f t="shared" si="29"/>
        <v>7-2023</v>
      </c>
      <c r="AC137" t="str">
        <f t="shared" si="30"/>
        <v>Q3-2023</v>
      </c>
      <c r="AD137" t="str">
        <f t="shared" si="31"/>
        <v>Americas →Canada →Montreal</v>
      </c>
      <c r="AE137" t="str">
        <f t="shared" si="32"/>
        <v>High</v>
      </c>
      <c r="AF137" t="str">
        <f>TEXT(Table1[[#This Row],[OrderDate]],"MMM")</f>
        <v>Jul</v>
      </c>
      <c r="AG137" t="str">
        <f>TEXT(Table1[[#This Row],[OrderDate]],"YYYY")</f>
        <v>2023</v>
      </c>
      <c r="AI137" s="4">
        <f>IF(Table1[[#This Row],[RequiredDate]]&lt;Table1[[#This Row],[OrderDate]], Table1[[#This Row],[OrderDate]]+7, Table1[[#This Row],[RequiredDate]])</f>
        <v>45151</v>
      </c>
      <c r="AJ137">
        <f>IF(Dashboard!$D$3&gt;'Staging Data'!V137,'Staging Data'!V137,Dashboard!D$3)</f>
        <v>0.16400000000000001</v>
      </c>
      <c r="AK137" s="19">
        <f>(100%+Dashboard!$D$4)*'Staging Data'!S137</f>
        <v>1136.4990000000003</v>
      </c>
      <c r="AL137">
        <f>(100%+Dashboard!$D$5)*'Staging Data'!W137</f>
        <v>23</v>
      </c>
    </row>
    <row r="138" spans="1:38" x14ac:dyDescent="0.35">
      <c r="A138" s="6" t="s">
        <v>354</v>
      </c>
      <c r="B138" s="4">
        <v>45131</v>
      </c>
      <c r="C138" s="4">
        <v>45157</v>
      </c>
      <c r="D138" s="4">
        <f>IF(Table1[[#This Row],[RequiredDate]]&lt;Table1[[#This Row],[OrderDate]],Table1[[#This Row],[RequiredDate]],Table1[[#This Row],[OrderDate]])</f>
        <v>45131</v>
      </c>
      <c r="E138" s="4">
        <f>IF(Table1[[#This Row],[RequiredDate]]&gt;Table1[[#This Row],[OrderDate]],Table1[[#This Row],[RequiredDate]],Table1[[#This Row],[OrderDate]])</f>
        <v>45157</v>
      </c>
      <c r="F138" s="21">
        <f>Table1[[#This Row],[New RD]]-Table1[[#This Row],[new   od]]</f>
        <v>26</v>
      </c>
      <c r="G138" s="4">
        <f>IF(Table1[[#This Row],[RequiredDate]]&lt;Table1[[#This Row],[OrderDate]], Table1[[#This Row],[OrderDate]]+7, Table1[[#This Row],[RequiredDate]])</f>
        <v>45157</v>
      </c>
      <c r="H138" s="21">
        <f t="shared" si="22"/>
        <v>26</v>
      </c>
      <c r="I138" s="6" t="str">
        <f>IF(Table1[[#This Row],[New LTD]]&lt;=7,"Yes","No")</f>
        <v>No</v>
      </c>
      <c r="J138" s="6" t="str">
        <f t="shared" si="23"/>
        <v>Yes</v>
      </c>
      <c r="K138" t="s">
        <v>646</v>
      </c>
      <c r="L138" t="s">
        <v>650</v>
      </c>
      <c r="M138" t="s">
        <v>664</v>
      </c>
      <c r="N138" t="s">
        <v>706</v>
      </c>
      <c r="O138" t="s">
        <v>710</v>
      </c>
      <c r="P138" t="s">
        <v>724</v>
      </c>
      <c r="Q138" t="s">
        <v>733</v>
      </c>
      <c r="R138" t="s">
        <v>1074</v>
      </c>
      <c r="S138" s="6">
        <v>661.45</v>
      </c>
      <c r="T138" s="6">
        <v>1634.86</v>
      </c>
      <c r="U138" s="6">
        <f t="shared" si="24"/>
        <v>1634.86</v>
      </c>
      <c r="V138" s="8">
        <v>0.56499999999999995</v>
      </c>
      <c r="W138" s="6">
        <v>24</v>
      </c>
      <c r="X138" s="6">
        <f t="shared" si="25"/>
        <v>17067.938400000003</v>
      </c>
      <c r="Y138">
        <f t="shared" si="26"/>
        <v>15874.800000000001</v>
      </c>
      <c r="Z138" s="6">
        <f t="shared" si="27"/>
        <v>1193.1384000000016</v>
      </c>
      <c r="AA138">
        <f t="shared" si="28"/>
        <v>6.9905244092045793E-2</v>
      </c>
      <c r="AB138" t="str">
        <f t="shared" si="29"/>
        <v>7-2023</v>
      </c>
      <c r="AC138" t="str">
        <f t="shared" si="30"/>
        <v>Q3-2023</v>
      </c>
      <c r="AD138" t="str">
        <f t="shared" si="31"/>
        <v>Africa →Kenya →Nairobi</v>
      </c>
      <c r="AE138" t="str">
        <f t="shared" si="32"/>
        <v>High</v>
      </c>
      <c r="AF138" t="str">
        <f>TEXT(Table1[[#This Row],[OrderDate]],"MMM")</f>
        <v>Jul</v>
      </c>
      <c r="AG138" t="str">
        <f>TEXT(Table1[[#This Row],[OrderDate]],"YYYY")</f>
        <v>2023</v>
      </c>
      <c r="AI138" s="4">
        <f>IF(Table1[[#This Row],[RequiredDate]]&lt;Table1[[#This Row],[OrderDate]], Table1[[#This Row],[OrderDate]]+7, Table1[[#This Row],[RequiredDate]])</f>
        <v>45157</v>
      </c>
      <c r="AJ138">
        <f>IF(Dashboard!$D$3&gt;'Staging Data'!V138,'Staging Data'!V138,Dashboard!D$3)</f>
        <v>0.2</v>
      </c>
      <c r="AK138" s="19">
        <f>(100%+Dashboard!$D$4)*'Staging Data'!S138</f>
        <v>694.52250000000004</v>
      </c>
      <c r="AL138">
        <f>(100%+Dashboard!$D$5)*'Staging Data'!W138</f>
        <v>27.599999999999998</v>
      </c>
    </row>
    <row r="139" spans="1:38" x14ac:dyDescent="0.35">
      <c r="A139" s="6" t="s">
        <v>352</v>
      </c>
      <c r="B139" s="4">
        <v>45132</v>
      </c>
      <c r="C139" s="4">
        <v>45148</v>
      </c>
      <c r="D139" s="4">
        <f>IF(Table1[[#This Row],[RequiredDate]]&lt;Table1[[#This Row],[OrderDate]],Table1[[#This Row],[RequiredDate]],Table1[[#This Row],[OrderDate]])</f>
        <v>45132</v>
      </c>
      <c r="E139" s="4">
        <f>IF(Table1[[#This Row],[RequiredDate]]&gt;Table1[[#This Row],[OrderDate]],Table1[[#This Row],[RequiredDate]],Table1[[#This Row],[OrderDate]])</f>
        <v>45148</v>
      </c>
      <c r="F139" s="21">
        <f>Table1[[#This Row],[New RD]]-Table1[[#This Row],[new   od]]</f>
        <v>16</v>
      </c>
      <c r="G139" s="4">
        <f>IF(Table1[[#This Row],[RequiredDate]]&lt;Table1[[#This Row],[OrderDate]], Table1[[#This Row],[OrderDate]]+7, Table1[[#This Row],[RequiredDate]])</f>
        <v>45148</v>
      </c>
      <c r="H139" s="21">
        <f t="shared" si="22"/>
        <v>16</v>
      </c>
      <c r="I139" s="6" t="str">
        <f>IF(Table1[[#This Row],[New LTD]]&lt;=7,"Yes","No")</f>
        <v>No</v>
      </c>
      <c r="J139" s="6" t="str">
        <f t="shared" si="23"/>
        <v>Yes</v>
      </c>
      <c r="K139" t="s">
        <v>646</v>
      </c>
      <c r="L139" t="s">
        <v>651</v>
      </c>
      <c r="M139" t="s">
        <v>663</v>
      </c>
      <c r="N139" t="s">
        <v>701</v>
      </c>
      <c r="O139" t="s">
        <v>710</v>
      </c>
      <c r="P139" t="s">
        <v>714</v>
      </c>
      <c r="Q139" t="s">
        <v>733</v>
      </c>
      <c r="R139" t="s">
        <v>1072</v>
      </c>
      <c r="S139" s="6">
        <v>506.83</v>
      </c>
      <c r="T139" s="6">
        <v>441.74</v>
      </c>
      <c r="U139" s="6">
        <f t="shared" si="24"/>
        <v>441.74</v>
      </c>
      <c r="V139" s="8">
        <v>0.24</v>
      </c>
      <c r="W139" s="6">
        <v>9</v>
      </c>
      <c r="X139" s="6">
        <f t="shared" si="25"/>
        <v>3021.5016000000001</v>
      </c>
      <c r="Y139">
        <f t="shared" si="26"/>
        <v>4561.47</v>
      </c>
      <c r="Z139" s="6">
        <f t="shared" si="27"/>
        <v>-1539.9684000000002</v>
      </c>
      <c r="AA139">
        <f t="shared" si="28"/>
        <v>-0.50966989393618067</v>
      </c>
      <c r="AB139" t="str">
        <f t="shared" si="29"/>
        <v>7-2023</v>
      </c>
      <c r="AC139" t="str">
        <f t="shared" si="30"/>
        <v>Q3-2023</v>
      </c>
      <c r="AD139" t="str">
        <f t="shared" si="31"/>
        <v>Africa →Nigeria →Port Harcourt</v>
      </c>
      <c r="AE139" t="str">
        <f t="shared" si="32"/>
        <v>Low</v>
      </c>
      <c r="AF139" t="str">
        <f>TEXT(Table1[[#This Row],[OrderDate]],"MMM")</f>
        <v>Jul</v>
      </c>
      <c r="AG139" t="str">
        <f>TEXT(Table1[[#This Row],[OrderDate]],"YYYY")</f>
        <v>2023</v>
      </c>
      <c r="AI139" s="4">
        <f>IF(Table1[[#This Row],[RequiredDate]]&lt;Table1[[#This Row],[OrderDate]], Table1[[#This Row],[OrderDate]]+7, Table1[[#This Row],[RequiredDate]])</f>
        <v>45148</v>
      </c>
      <c r="AJ139">
        <f>IF(Dashboard!$D$3&gt;'Staging Data'!V139,'Staging Data'!V139,Dashboard!D$3)</f>
        <v>0.2</v>
      </c>
      <c r="AK139" s="19">
        <f>(100%+Dashboard!$D$4)*'Staging Data'!S139</f>
        <v>532.17150000000004</v>
      </c>
      <c r="AL139">
        <f>(100%+Dashboard!$D$5)*'Staging Data'!W139</f>
        <v>10.35</v>
      </c>
    </row>
    <row r="140" spans="1:38" x14ac:dyDescent="0.35">
      <c r="A140" s="6" t="s">
        <v>157</v>
      </c>
      <c r="B140" s="4">
        <v>45133</v>
      </c>
      <c r="C140" s="4">
        <v>45163</v>
      </c>
      <c r="D140" s="4">
        <f>IF(Table1[[#This Row],[RequiredDate]]&lt;Table1[[#This Row],[OrderDate]],Table1[[#This Row],[RequiredDate]],Table1[[#This Row],[OrderDate]])</f>
        <v>45133</v>
      </c>
      <c r="E140" s="4">
        <f>IF(Table1[[#This Row],[RequiredDate]]&gt;Table1[[#This Row],[OrderDate]],Table1[[#This Row],[RequiredDate]],Table1[[#This Row],[OrderDate]])</f>
        <v>45163</v>
      </c>
      <c r="F140" s="21">
        <f>Table1[[#This Row],[New RD]]-Table1[[#This Row],[new   od]]</f>
        <v>30</v>
      </c>
      <c r="G140" s="4">
        <f>IF(Table1[[#This Row],[RequiredDate]]&lt;Table1[[#This Row],[OrderDate]], Table1[[#This Row],[OrderDate]]+7, Table1[[#This Row],[RequiredDate]])</f>
        <v>45163</v>
      </c>
      <c r="H140" s="21">
        <f t="shared" si="22"/>
        <v>30</v>
      </c>
      <c r="I140" s="6" t="str">
        <f>IF(Table1[[#This Row],[New LTD]]&lt;=7,"Yes","No")</f>
        <v>No</v>
      </c>
      <c r="J140" s="6" t="str">
        <f t="shared" si="23"/>
        <v>No</v>
      </c>
      <c r="K140" t="s">
        <v>648</v>
      </c>
      <c r="L140" t="s">
        <v>660</v>
      </c>
      <c r="M140" t="s">
        <v>700</v>
      </c>
      <c r="N140" t="s">
        <v>704</v>
      </c>
      <c r="O140" t="s">
        <v>707</v>
      </c>
      <c r="P140" t="s">
        <v>724</v>
      </c>
      <c r="Q140" t="s">
        <v>733</v>
      </c>
      <c r="R140" t="s">
        <v>876</v>
      </c>
      <c r="S140" s="6">
        <v>1261.48</v>
      </c>
      <c r="T140" s="6">
        <v>1643.18</v>
      </c>
      <c r="U140" s="6">
        <f t="shared" si="24"/>
        <v>1643.18</v>
      </c>
      <c r="V140" s="8">
        <v>0.151</v>
      </c>
      <c r="W140" s="6">
        <v>23</v>
      </c>
      <c r="X140" s="6">
        <f t="shared" si="25"/>
        <v>32086.37586</v>
      </c>
      <c r="Y140">
        <f t="shared" si="26"/>
        <v>29014.04</v>
      </c>
      <c r="Z140" s="6">
        <f t="shared" si="27"/>
        <v>3072.3358599999992</v>
      </c>
      <c r="AA140">
        <f t="shared" si="28"/>
        <v>9.5752037357079045E-2</v>
      </c>
      <c r="AB140" t="str">
        <f t="shared" si="29"/>
        <v>7-2023</v>
      </c>
      <c r="AC140" t="str">
        <f t="shared" si="30"/>
        <v>Q3-2023</v>
      </c>
      <c r="AD140" t="str">
        <f t="shared" si="31"/>
        <v>Americas →USA →New York</v>
      </c>
      <c r="AE140" t="str">
        <f t="shared" si="32"/>
        <v>High</v>
      </c>
      <c r="AF140" t="str">
        <f>TEXT(Table1[[#This Row],[OrderDate]],"MMM")</f>
        <v>Jul</v>
      </c>
      <c r="AG140" t="str">
        <f>TEXT(Table1[[#This Row],[OrderDate]],"YYYY")</f>
        <v>2023</v>
      </c>
      <c r="AI140" s="4">
        <f>IF(Table1[[#This Row],[RequiredDate]]&lt;Table1[[#This Row],[OrderDate]], Table1[[#This Row],[OrderDate]]+7, Table1[[#This Row],[RequiredDate]])</f>
        <v>45163</v>
      </c>
      <c r="AJ140">
        <f>IF(Dashboard!$D$3&gt;'Staging Data'!V140,'Staging Data'!V140,Dashboard!D$3)</f>
        <v>0.151</v>
      </c>
      <c r="AK140" s="19">
        <f>(100%+Dashboard!$D$4)*'Staging Data'!S140</f>
        <v>1324.5540000000001</v>
      </c>
      <c r="AL140">
        <f>(100%+Dashboard!$D$5)*'Staging Data'!W140</f>
        <v>26.45</v>
      </c>
    </row>
    <row r="141" spans="1:38" x14ac:dyDescent="0.35">
      <c r="A141" s="6" t="s">
        <v>240</v>
      </c>
      <c r="B141" s="4">
        <v>45137</v>
      </c>
      <c r="C141" s="4">
        <v>45145</v>
      </c>
      <c r="D141" s="4">
        <f>IF(Table1[[#This Row],[RequiredDate]]&lt;Table1[[#This Row],[OrderDate]],Table1[[#This Row],[RequiredDate]],Table1[[#This Row],[OrderDate]])</f>
        <v>45137</v>
      </c>
      <c r="E141" s="4">
        <f>IF(Table1[[#This Row],[RequiredDate]]&gt;Table1[[#This Row],[OrderDate]],Table1[[#This Row],[RequiredDate]],Table1[[#This Row],[OrderDate]])</f>
        <v>45145</v>
      </c>
      <c r="F141" s="21">
        <f>Table1[[#This Row],[New RD]]-Table1[[#This Row],[new   od]]</f>
        <v>8</v>
      </c>
      <c r="G141" s="4">
        <f>IF(Table1[[#This Row],[RequiredDate]]&lt;Table1[[#This Row],[OrderDate]], Table1[[#This Row],[OrderDate]]+7, Table1[[#This Row],[RequiredDate]])</f>
        <v>45145</v>
      </c>
      <c r="H141" s="21">
        <f t="shared" si="22"/>
        <v>8</v>
      </c>
      <c r="I141" s="6" t="str">
        <f>IF(Table1[[#This Row],[New LTD]]&lt;=7,"Yes","No")</f>
        <v>No</v>
      </c>
      <c r="J141" s="6" t="str">
        <f t="shared" si="23"/>
        <v>No</v>
      </c>
      <c r="K141" t="s">
        <v>647</v>
      </c>
      <c r="L141" t="s">
        <v>652</v>
      </c>
      <c r="M141" t="s">
        <v>694</v>
      </c>
      <c r="N141" t="s">
        <v>702</v>
      </c>
      <c r="O141" t="s">
        <v>709</v>
      </c>
      <c r="P141" t="s">
        <v>720</v>
      </c>
      <c r="Q141" t="s">
        <v>729</v>
      </c>
      <c r="R141" t="s">
        <v>960</v>
      </c>
      <c r="S141" s="6">
        <v>1352.44</v>
      </c>
      <c r="T141" s="6">
        <v>2698.01</v>
      </c>
      <c r="U141" s="6">
        <f t="shared" si="24"/>
        <v>2698.01</v>
      </c>
      <c r="V141" s="8">
        <v>0.13100000000000001</v>
      </c>
      <c r="W141" s="6">
        <v>13</v>
      </c>
      <c r="X141" s="6">
        <f t="shared" si="25"/>
        <v>30479.418970000002</v>
      </c>
      <c r="Y141">
        <f t="shared" si="26"/>
        <v>17581.72</v>
      </c>
      <c r="Z141" s="6">
        <f t="shared" si="27"/>
        <v>12897.698970000001</v>
      </c>
      <c r="AA141">
        <f t="shared" si="28"/>
        <v>0.42316091992090887</v>
      </c>
      <c r="AB141" t="str">
        <f t="shared" si="29"/>
        <v>7-2023</v>
      </c>
      <c r="AC141" t="str">
        <f t="shared" si="30"/>
        <v>Q3-2023</v>
      </c>
      <c r="AD141" t="str">
        <f t="shared" si="31"/>
        <v>Asia →Japan →Nagoya</v>
      </c>
      <c r="AE141" t="str">
        <f t="shared" si="32"/>
        <v>High</v>
      </c>
      <c r="AF141" t="str">
        <f>TEXT(Table1[[#This Row],[OrderDate]],"MMM")</f>
        <v>Jul</v>
      </c>
      <c r="AG141" t="str">
        <f>TEXT(Table1[[#This Row],[OrderDate]],"YYYY")</f>
        <v>2023</v>
      </c>
      <c r="AI141" s="4">
        <f>IF(Table1[[#This Row],[RequiredDate]]&lt;Table1[[#This Row],[OrderDate]], Table1[[#This Row],[OrderDate]]+7, Table1[[#This Row],[RequiredDate]])</f>
        <v>45145</v>
      </c>
      <c r="AJ141">
        <f>IF(Dashboard!$D$3&gt;'Staging Data'!V141,'Staging Data'!V141,Dashboard!D$3)</f>
        <v>0.13100000000000001</v>
      </c>
      <c r="AK141" s="19">
        <f>(100%+Dashboard!$D$4)*'Staging Data'!S141</f>
        <v>1420.0620000000001</v>
      </c>
      <c r="AL141">
        <f>(100%+Dashboard!$D$5)*'Staging Data'!W141</f>
        <v>14.95</v>
      </c>
    </row>
    <row r="142" spans="1:38" x14ac:dyDescent="0.35">
      <c r="A142" s="6" t="s">
        <v>628</v>
      </c>
      <c r="B142" s="4">
        <v>45137</v>
      </c>
      <c r="C142" s="4">
        <v>45157</v>
      </c>
      <c r="D142" s="4">
        <f>IF(Table1[[#This Row],[RequiredDate]]&lt;Table1[[#This Row],[OrderDate]],Table1[[#This Row],[RequiredDate]],Table1[[#This Row],[OrderDate]])</f>
        <v>45137</v>
      </c>
      <c r="E142" s="4">
        <f>IF(Table1[[#This Row],[RequiredDate]]&gt;Table1[[#This Row],[OrderDate]],Table1[[#This Row],[RequiredDate]],Table1[[#This Row],[OrderDate]])</f>
        <v>45157</v>
      </c>
      <c r="F142" s="21">
        <f>Table1[[#This Row],[New RD]]-Table1[[#This Row],[new   od]]</f>
        <v>20</v>
      </c>
      <c r="G142" s="4">
        <f>IF(Table1[[#This Row],[RequiredDate]]&lt;Table1[[#This Row],[OrderDate]], Table1[[#This Row],[OrderDate]]+7, Table1[[#This Row],[RequiredDate]])</f>
        <v>45157</v>
      </c>
      <c r="H142" s="21">
        <f t="shared" si="22"/>
        <v>20</v>
      </c>
      <c r="I142" s="6" t="str">
        <f>IF(Table1[[#This Row],[New LTD]]&lt;=7,"Yes","No")</f>
        <v>No</v>
      </c>
      <c r="J142" s="6" t="str">
        <f t="shared" si="23"/>
        <v>No</v>
      </c>
      <c r="K142" t="s">
        <v>649</v>
      </c>
      <c r="L142" t="s">
        <v>657</v>
      </c>
      <c r="M142" t="s">
        <v>690</v>
      </c>
      <c r="N142" t="s">
        <v>706</v>
      </c>
      <c r="O142" t="s">
        <v>709</v>
      </c>
      <c r="P142" t="s">
        <v>715</v>
      </c>
      <c r="Q142" t="s">
        <v>729</v>
      </c>
      <c r="R142" t="s">
        <v>1346</v>
      </c>
      <c r="S142" s="6">
        <v>1418.51</v>
      </c>
      <c r="T142" s="6">
        <v>2789.61</v>
      </c>
      <c r="U142" s="6">
        <f t="shared" si="24"/>
        <v>2789.61</v>
      </c>
      <c r="V142" s="8">
        <v>0.17100000000000001</v>
      </c>
      <c r="W142" s="6">
        <v>8</v>
      </c>
      <c r="X142" s="6">
        <f t="shared" si="25"/>
        <v>18500.693520000001</v>
      </c>
      <c r="Y142">
        <f t="shared" si="26"/>
        <v>11348.08</v>
      </c>
      <c r="Z142" s="6">
        <f t="shared" si="27"/>
        <v>7152.6135200000008</v>
      </c>
      <c r="AA142">
        <f t="shared" si="28"/>
        <v>0.38661326464695689</v>
      </c>
      <c r="AB142" t="str">
        <f t="shared" si="29"/>
        <v>7-2023</v>
      </c>
      <c r="AC142" t="str">
        <f t="shared" si="30"/>
        <v>Q3-2023</v>
      </c>
      <c r="AD142" t="str">
        <f t="shared" si="31"/>
        <v>Europe →France →Paris</v>
      </c>
      <c r="AE142" t="str">
        <f t="shared" si="32"/>
        <v>High</v>
      </c>
      <c r="AF142" t="str">
        <f>TEXT(Table1[[#This Row],[OrderDate]],"MMM")</f>
        <v>Jul</v>
      </c>
      <c r="AG142" t="str">
        <f>TEXT(Table1[[#This Row],[OrderDate]],"YYYY")</f>
        <v>2023</v>
      </c>
      <c r="AI142" s="4">
        <f>IF(Table1[[#This Row],[RequiredDate]]&lt;Table1[[#This Row],[OrderDate]], Table1[[#This Row],[OrderDate]]+7, Table1[[#This Row],[RequiredDate]])</f>
        <v>45157</v>
      </c>
      <c r="AJ142">
        <f>IF(Dashboard!$D$3&gt;'Staging Data'!V142,'Staging Data'!V142,Dashboard!D$3)</f>
        <v>0.17100000000000001</v>
      </c>
      <c r="AK142" s="19">
        <f>(100%+Dashboard!$D$4)*'Staging Data'!S142</f>
        <v>1489.4355</v>
      </c>
      <c r="AL142">
        <f>(100%+Dashboard!$D$5)*'Staging Data'!W142</f>
        <v>9.1999999999999993</v>
      </c>
    </row>
    <row r="143" spans="1:38" x14ac:dyDescent="0.35">
      <c r="A143" s="6" t="s">
        <v>591</v>
      </c>
      <c r="B143" s="4">
        <v>45140</v>
      </c>
      <c r="C143" s="4">
        <v>45157</v>
      </c>
      <c r="D143" s="4">
        <f>IF(Table1[[#This Row],[RequiredDate]]&lt;Table1[[#This Row],[OrderDate]],Table1[[#This Row],[RequiredDate]],Table1[[#This Row],[OrderDate]])</f>
        <v>45140</v>
      </c>
      <c r="E143" s="4">
        <f>IF(Table1[[#This Row],[RequiredDate]]&gt;Table1[[#This Row],[OrderDate]],Table1[[#This Row],[RequiredDate]],Table1[[#This Row],[OrderDate]])</f>
        <v>45157</v>
      </c>
      <c r="F143" s="21">
        <f>Table1[[#This Row],[New RD]]-Table1[[#This Row],[new   od]]</f>
        <v>17</v>
      </c>
      <c r="G143" s="4">
        <f>IF(Table1[[#This Row],[RequiredDate]]&lt;Table1[[#This Row],[OrderDate]], Table1[[#This Row],[OrderDate]]+7, Table1[[#This Row],[RequiredDate]])</f>
        <v>45157</v>
      </c>
      <c r="H143" s="21">
        <f t="shared" si="22"/>
        <v>17</v>
      </c>
      <c r="I143" s="6" t="str">
        <f>IF(Table1[[#This Row],[New LTD]]&lt;=7,"Yes","No")</f>
        <v>No</v>
      </c>
      <c r="J143" s="6" t="str">
        <f t="shared" si="23"/>
        <v>No</v>
      </c>
      <c r="K143" t="s">
        <v>648</v>
      </c>
      <c r="L143" t="s">
        <v>653</v>
      </c>
      <c r="M143" t="s">
        <v>688</v>
      </c>
      <c r="N143" t="s">
        <v>701</v>
      </c>
      <c r="O143" t="s">
        <v>708</v>
      </c>
      <c r="P143" t="s">
        <v>721</v>
      </c>
      <c r="Q143" t="s">
        <v>729</v>
      </c>
      <c r="R143" t="s">
        <v>1309</v>
      </c>
      <c r="S143" s="6">
        <v>175.38</v>
      </c>
      <c r="T143" s="6">
        <v>347.9</v>
      </c>
      <c r="U143" s="6">
        <f t="shared" si="24"/>
        <v>347.9</v>
      </c>
      <c r="V143" s="8">
        <v>7.1999999999999995E-2</v>
      </c>
      <c r="W143" s="6">
        <v>43</v>
      </c>
      <c r="X143" s="6">
        <f t="shared" si="25"/>
        <v>13882.6016</v>
      </c>
      <c r="Y143">
        <f t="shared" si="26"/>
        <v>7541.34</v>
      </c>
      <c r="Z143" s="6">
        <f t="shared" si="27"/>
        <v>6341.2615999999998</v>
      </c>
      <c r="AA143">
        <f t="shared" si="28"/>
        <v>0.45677761148169804</v>
      </c>
      <c r="AB143" t="str">
        <f t="shared" si="29"/>
        <v>8-2023</v>
      </c>
      <c r="AC143" t="str">
        <f t="shared" si="30"/>
        <v>Q3-2023</v>
      </c>
      <c r="AD143" t="str">
        <f t="shared" si="31"/>
        <v>Americas →Canada →Vancouver</v>
      </c>
      <c r="AE143" t="str">
        <f t="shared" si="32"/>
        <v>Low</v>
      </c>
      <c r="AF143" t="str">
        <f>TEXT(Table1[[#This Row],[OrderDate]],"MMM")</f>
        <v>Aug</v>
      </c>
      <c r="AG143" t="str">
        <f>TEXT(Table1[[#This Row],[OrderDate]],"YYYY")</f>
        <v>2023</v>
      </c>
      <c r="AI143" s="4">
        <f>IF(Table1[[#This Row],[RequiredDate]]&lt;Table1[[#This Row],[OrderDate]], Table1[[#This Row],[OrderDate]]+7, Table1[[#This Row],[RequiredDate]])</f>
        <v>45157</v>
      </c>
      <c r="AJ143">
        <f>IF(Dashboard!$D$3&gt;'Staging Data'!V143,'Staging Data'!V143,Dashboard!D$3)</f>
        <v>7.1999999999999995E-2</v>
      </c>
      <c r="AK143" s="19">
        <f>(100%+Dashboard!$D$4)*'Staging Data'!S143</f>
        <v>184.149</v>
      </c>
      <c r="AL143">
        <f>(100%+Dashboard!$D$5)*'Staging Data'!W143</f>
        <v>49.449999999999996</v>
      </c>
    </row>
    <row r="144" spans="1:38" x14ac:dyDescent="0.35">
      <c r="A144" s="6" t="s">
        <v>284</v>
      </c>
      <c r="B144" s="4">
        <v>45141</v>
      </c>
      <c r="C144" s="4">
        <v>45152</v>
      </c>
      <c r="D144" s="4">
        <f>IF(Table1[[#This Row],[RequiredDate]]&lt;Table1[[#This Row],[OrderDate]],Table1[[#This Row],[RequiredDate]],Table1[[#This Row],[OrderDate]])</f>
        <v>45141</v>
      </c>
      <c r="E144" s="4">
        <f>IF(Table1[[#This Row],[RequiredDate]]&gt;Table1[[#This Row],[OrderDate]],Table1[[#This Row],[RequiredDate]],Table1[[#This Row],[OrderDate]])</f>
        <v>45152</v>
      </c>
      <c r="F144" s="21">
        <f>Table1[[#This Row],[New RD]]-Table1[[#This Row],[new   od]]</f>
        <v>11</v>
      </c>
      <c r="G144" s="4">
        <f>IF(Table1[[#This Row],[RequiredDate]]&lt;Table1[[#This Row],[OrderDate]], Table1[[#This Row],[OrderDate]]+7, Table1[[#This Row],[RequiredDate]])</f>
        <v>45152</v>
      </c>
      <c r="H144" s="21">
        <f t="shared" si="22"/>
        <v>11</v>
      </c>
      <c r="I144" s="6" t="str">
        <f>IF(Table1[[#This Row],[New LTD]]&lt;=7,"Yes","No")</f>
        <v>No</v>
      </c>
      <c r="J144" s="6" t="str">
        <f t="shared" si="23"/>
        <v>No</v>
      </c>
      <c r="K144" t="s">
        <v>648</v>
      </c>
      <c r="L144" t="s">
        <v>655</v>
      </c>
      <c r="M144" t="s">
        <v>672</v>
      </c>
      <c r="N144" t="s">
        <v>701</v>
      </c>
      <c r="O144" t="s">
        <v>711</v>
      </c>
      <c r="P144" t="s">
        <v>713</v>
      </c>
      <c r="Q144" t="s">
        <v>733</v>
      </c>
      <c r="R144" t="s">
        <v>1004</v>
      </c>
      <c r="S144" s="6">
        <v>232.73</v>
      </c>
      <c r="T144" s="6">
        <v>334.19</v>
      </c>
      <c r="U144" s="6">
        <f t="shared" si="24"/>
        <v>334.19</v>
      </c>
      <c r="V144" s="8">
        <v>0.13400000000000001</v>
      </c>
      <c r="W144" s="6">
        <v>25</v>
      </c>
      <c r="X144" s="6">
        <f t="shared" si="25"/>
        <v>7235.2134999999998</v>
      </c>
      <c r="Y144">
        <f t="shared" si="26"/>
        <v>5818.25</v>
      </c>
      <c r="Z144" s="6">
        <f t="shared" si="27"/>
        <v>1416.9634999999998</v>
      </c>
      <c r="AA144">
        <f t="shared" si="28"/>
        <v>0.1958426658729559</v>
      </c>
      <c r="AB144" t="str">
        <f t="shared" si="29"/>
        <v>8-2023</v>
      </c>
      <c r="AC144" t="str">
        <f t="shared" si="30"/>
        <v>Q3-2023</v>
      </c>
      <c r="AD144" t="str">
        <f t="shared" si="31"/>
        <v>Americas →Brazil →Brasília</v>
      </c>
      <c r="AE144" t="str">
        <f t="shared" si="32"/>
        <v>Low</v>
      </c>
      <c r="AF144" t="str">
        <f>TEXT(Table1[[#This Row],[OrderDate]],"MMM")</f>
        <v>Aug</v>
      </c>
      <c r="AG144" t="str">
        <f>TEXT(Table1[[#This Row],[OrderDate]],"YYYY")</f>
        <v>2023</v>
      </c>
      <c r="AI144" s="4">
        <f>IF(Table1[[#This Row],[RequiredDate]]&lt;Table1[[#This Row],[OrderDate]], Table1[[#This Row],[OrderDate]]+7, Table1[[#This Row],[RequiredDate]])</f>
        <v>45152</v>
      </c>
      <c r="AJ144">
        <f>IF(Dashboard!$D$3&gt;'Staging Data'!V144,'Staging Data'!V144,Dashboard!D$3)</f>
        <v>0.13400000000000001</v>
      </c>
      <c r="AK144" s="19">
        <f>(100%+Dashboard!$D$4)*'Staging Data'!S144</f>
        <v>244.3665</v>
      </c>
      <c r="AL144">
        <f>(100%+Dashboard!$D$5)*'Staging Data'!W144</f>
        <v>28.749999999999996</v>
      </c>
    </row>
    <row r="145" spans="1:38" x14ac:dyDescent="0.35">
      <c r="A145" s="6" t="s">
        <v>638</v>
      </c>
      <c r="B145" s="4">
        <v>45141</v>
      </c>
      <c r="C145" s="4">
        <v>45140</v>
      </c>
      <c r="D145" s="4">
        <f>IF(Table1[[#This Row],[RequiredDate]]&lt;Table1[[#This Row],[OrderDate]],Table1[[#This Row],[RequiredDate]],Table1[[#This Row],[OrderDate]])</f>
        <v>45140</v>
      </c>
      <c r="E145" s="4">
        <f>IF(Table1[[#This Row],[RequiredDate]]&gt;Table1[[#This Row],[OrderDate]],Table1[[#This Row],[RequiredDate]],Table1[[#This Row],[OrderDate]])</f>
        <v>45141</v>
      </c>
      <c r="F145" s="21">
        <f>Table1[[#This Row],[New RD]]-Table1[[#This Row],[new   od]]</f>
        <v>1</v>
      </c>
      <c r="G145" s="4">
        <f>IF(Table1[[#This Row],[RequiredDate]]&lt;Table1[[#This Row],[OrderDate]], Table1[[#This Row],[OrderDate]]+7, Table1[[#This Row],[RequiredDate]])</f>
        <v>45148</v>
      </c>
      <c r="H145" s="21">
        <f t="shared" si="22"/>
        <v>7</v>
      </c>
      <c r="I145" s="6" t="str">
        <f>IF(Table1[[#This Row],[New LTD]]&lt;=7,"Yes","No")</f>
        <v>Yes</v>
      </c>
      <c r="J145" s="6" t="str">
        <f t="shared" si="23"/>
        <v>No</v>
      </c>
      <c r="K145" t="s">
        <v>647</v>
      </c>
      <c r="L145" t="s">
        <v>659</v>
      </c>
      <c r="M145" t="s">
        <v>685</v>
      </c>
      <c r="N145" t="s">
        <v>703</v>
      </c>
      <c r="O145" t="s">
        <v>711</v>
      </c>
      <c r="P145" t="s">
        <v>713</v>
      </c>
      <c r="Q145" t="s">
        <v>729</v>
      </c>
      <c r="R145" t="s">
        <v>1356</v>
      </c>
      <c r="S145" s="6">
        <v>1021.97</v>
      </c>
      <c r="T145" s="6">
        <v>2296.25</v>
      </c>
      <c r="U145" s="6">
        <f t="shared" si="24"/>
        <v>2296.25</v>
      </c>
      <c r="V145" s="8">
        <v>0.161</v>
      </c>
      <c r="W145" s="6">
        <v>26</v>
      </c>
      <c r="X145" s="6">
        <f t="shared" si="25"/>
        <v>50090.397499999999</v>
      </c>
      <c r="Y145">
        <f t="shared" si="26"/>
        <v>26571.22</v>
      </c>
      <c r="Z145" s="6">
        <f t="shared" si="27"/>
        <v>23519.177499999998</v>
      </c>
      <c r="AA145">
        <f t="shared" si="28"/>
        <v>0.46953465482081669</v>
      </c>
      <c r="AB145" t="str">
        <f t="shared" si="29"/>
        <v>8-2023</v>
      </c>
      <c r="AC145" t="str">
        <f t="shared" si="30"/>
        <v>Q3-2023</v>
      </c>
      <c r="AD145" t="str">
        <f t="shared" si="31"/>
        <v>Asia →China →Shanghai</v>
      </c>
      <c r="AE145" t="str">
        <f t="shared" si="32"/>
        <v>High</v>
      </c>
      <c r="AF145" t="str">
        <f>TEXT(Table1[[#This Row],[OrderDate]],"MMM")</f>
        <v>Aug</v>
      </c>
      <c r="AG145" t="str">
        <f>TEXT(Table1[[#This Row],[OrderDate]],"YYYY")</f>
        <v>2023</v>
      </c>
      <c r="AI145" s="4">
        <f>IF(Table1[[#This Row],[RequiredDate]]&lt;Table1[[#This Row],[OrderDate]], Table1[[#This Row],[OrderDate]]+7, Table1[[#This Row],[RequiredDate]])</f>
        <v>45148</v>
      </c>
      <c r="AJ145">
        <f>IF(Dashboard!$D$3&gt;'Staging Data'!V145,'Staging Data'!V145,Dashboard!D$3)</f>
        <v>0.161</v>
      </c>
      <c r="AK145" s="19">
        <f>(100%+Dashboard!$D$4)*'Staging Data'!S145</f>
        <v>1073.0685000000001</v>
      </c>
      <c r="AL145">
        <f>(100%+Dashboard!$D$5)*'Staging Data'!W145</f>
        <v>29.9</v>
      </c>
    </row>
    <row r="146" spans="1:38" x14ac:dyDescent="0.35">
      <c r="A146" s="6" t="s">
        <v>641</v>
      </c>
      <c r="B146" s="4">
        <v>45141</v>
      </c>
      <c r="C146" s="4">
        <v>45168</v>
      </c>
      <c r="D146" s="4">
        <f>IF(Table1[[#This Row],[RequiredDate]]&lt;Table1[[#This Row],[OrderDate]],Table1[[#This Row],[RequiredDate]],Table1[[#This Row],[OrderDate]])</f>
        <v>45141</v>
      </c>
      <c r="E146" s="4">
        <f>IF(Table1[[#This Row],[RequiredDate]]&gt;Table1[[#This Row],[OrderDate]],Table1[[#This Row],[RequiredDate]],Table1[[#This Row],[OrderDate]])</f>
        <v>45168</v>
      </c>
      <c r="F146" s="21">
        <f>Table1[[#This Row],[New RD]]-Table1[[#This Row],[new   od]]</f>
        <v>27</v>
      </c>
      <c r="G146" s="4">
        <f>IF(Table1[[#This Row],[RequiredDate]]&lt;Table1[[#This Row],[OrderDate]], Table1[[#This Row],[OrderDate]]+7, Table1[[#This Row],[RequiredDate]])</f>
        <v>45168</v>
      </c>
      <c r="H146" s="21">
        <f t="shared" si="22"/>
        <v>27</v>
      </c>
      <c r="I146" s="6" t="str">
        <f>IF(Table1[[#This Row],[New LTD]]&lt;=7,"Yes","No")</f>
        <v>No</v>
      </c>
      <c r="J146" s="6" t="str">
        <f t="shared" si="23"/>
        <v>No</v>
      </c>
      <c r="K146" t="s">
        <v>647</v>
      </c>
      <c r="L146" t="s">
        <v>659</v>
      </c>
      <c r="M146" t="s">
        <v>685</v>
      </c>
      <c r="N146" t="s">
        <v>704</v>
      </c>
      <c r="O146" t="s">
        <v>710</v>
      </c>
      <c r="P146" t="s">
        <v>725</v>
      </c>
      <c r="Q146" t="s">
        <v>732</v>
      </c>
      <c r="R146" t="s">
        <v>1359</v>
      </c>
      <c r="S146" s="6">
        <v>226.04</v>
      </c>
      <c r="T146" s="6">
        <v>545.72</v>
      </c>
      <c r="U146" s="6">
        <f t="shared" si="24"/>
        <v>545.72</v>
      </c>
      <c r="V146" s="8">
        <v>0.151</v>
      </c>
      <c r="W146" s="6">
        <v>11</v>
      </c>
      <c r="X146" s="6">
        <f t="shared" si="25"/>
        <v>5096.4790800000001</v>
      </c>
      <c r="Y146">
        <f t="shared" si="26"/>
        <v>2486.44</v>
      </c>
      <c r="Z146" s="6">
        <f t="shared" si="27"/>
        <v>2610.03908</v>
      </c>
      <c r="AA146">
        <f t="shared" si="28"/>
        <v>0.51212592831834014</v>
      </c>
      <c r="AB146" t="str">
        <f t="shared" si="29"/>
        <v>8-2023</v>
      </c>
      <c r="AC146" t="str">
        <f t="shared" si="30"/>
        <v>Q3-2023</v>
      </c>
      <c r="AD146" t="str">
        <f t="shared" si="31"/>
        <v>Asia →China →Shanghai</v>
      </c>
      <c r="AE146" t="str">
        <f t="shared" si="32"/>
        <v>Low</v>
      </c>
      <c r="AF146" t="str">
        <f>TEXT(Table1[[#This Row],[OrderDate]],"MMM")</f>
        <v>Aug</v>
      </c>
      <c r="AG146" t="str">
        <f>TEXT(Table1[[#This Row],[OrderDate]],"YYYY")</f>
        <v>2023</v>
      </c>
      <c r="AI146" s="4">
        <f>IF(Table1[[#This Row],[RequiredDate]]&lt;Table1[[#This Row],[OrderDate]], Table1[[#This Row],[OrderDate]]+7, Table1[[#This Row],[RequiredDate]])</f>
        <v>45168</v>
      </c>
      <c r="AJ146">
        <f>IF(Dashboard!$D$3&gt;'Staging Data'!V146,'Staging Data'!V146,Dashboard!D$3)</f>
        <v>0.151</v>
      </c>
      <c r="AK146" s="19">
        <f>(100%+Dashboard!$D$4)*'Staging Data'!S146</f>
        <v>237.34200000000001</v>
      </c>
      <c r="AL146">
        <f>(100%+Dashboard!$D$5)*'Staging Data'!W146</f>
        <v>12.649999999999999</v>
      </c>
    </row>
    <row r="147" spans="1:38" x14ac:dyDescent="0.35">
      <c r="A147" s="6" t="s">
        <v>276</v>
      </c>
      <c r="B147" s="4">
        <v>45142</v>
      </c>
      <c r="C147" s="4">
        <v>45162</v>
      </c>
      <c r="D147" s="4">
        <f>IF(Table1[[#This Row],[RequiredDate]]&lt;Table1[[#This Row],[OrderDate]],Table1[[#This Row],[RequiredDate]],Table1[[#This Row],[OrderDate]])</f>
        <v>45142</v>
      </c>
      <c r="E147" s="4">
        <f>IF(Table1[[#This Row],[RequiredDate]]&gt;Table1[[#This Row],[OrderDate]],Table1[[#This Row],[RequiredDate]],Table1[[#This Row],[OrderDate]])</f>
        <v>45162</v>
      </c>
      <c r="F147" s="21">
        <f>Table1[[#This Row],[New RD]]-Table1[[#This Row],[new   od]]</f>
        <v>20</v>
      </c>
      <c r="G147" s="4">
        <f>IF(Table1[[#This Row],[RequiredDate]]&lt;Table1[[#This Row],[OrderDate]], Table1[[#This Row],[OrderDate]]+7, Table1[[#This Row],[RequiredDate]])</f>
        <v>45162</v>
      </c>
      <c r="H147" s="21">
        <f t="shared" si="22"/>
        <v>20</v>
      </c>
      <c r="I147" s="6" t="str">
        <f>IF(Table1[[#This Row],[New LTD]]&lt;=7,"Yes","No")</f>
        <v>No</v>
      </c>
      <c r="J147" s="6" t="str">
        <f t="shared" si="23"/>
        <v>Yes</v>
      </c>
      <c r="K147" t="s">
        <v>648</v>
      </c>
      <c r="L147" t="s">
        <v>655</v>
      </c>
      <c r="M147" t="s">
        <v>672</v>
      </c>
      <c r="N147" t="s">
        <v>703</v>
      </c>
      <c r="O147" t="s">
        <v>711</v>
      </c>
      <c r="P147" t="s">
        <v>1423</v>
      </c>
      <c r="Q147" t="s">
        <v>729</v>
      </c>
      <c r="R147" t="s">
        <v>996</v>
      </c>
      <c r="S147" s="6">
        <v>582.88</v>
      </c>
      <c r="T147" s="6">
        <v>1044.1400000000001</v>
      </c>
      <c r="U147" s="6">
        <f t="shared" si="24"/>
        <v>1044.1400000000001</v>
      </c>
      <c r="V147" s="8">
        <v>0.216</v>
      </c>
      <c r="W147" s="6">
        <v>10</v>
      </c>
      <c r="X147" s="6">
        <f t="shared" si="25"/>
        <v>8186.057600000001</v>
      </c>
      <c r="Y147">
        <f t="shared" si="26"/>
        <v>5828.8</v>
      </c>
      <c r="Z147" s="6">
        <f t="shared" si="27"/>
        <v>2357.2576000000008</v>
      </c>
      <c r="AA147">
        <f t="shared" si="28"/>
        <v>0.28796005539956138</v>
      </c>
      <c r="AB147" t="str">
        <f t="shared" si="29"/>
        <v>8-2023</v>
      </c>
      <c r="AC147" t="str">
        <f t="shared" si="30"/>
        <v>Q3-2023</v>
      </c>
      <c r="AD147" t="str">
        <f t="shared" si="31"/>
        <v>Americas →Brazil →Brasília</v>
      </c>
      <c r="AE147" t="str">
        <f t="shared" si="32"/>
        <v>Medium</v>
      </c>
      <c r="AF147" t="str">
        <f>TEXT(Table1[[#This Row],[OrderDate]],"MMM")</f>
        <v>Aug</v>
      </c>
      <c r="AG147" t="str">
        <f>TEXT(Table1[[#This Row],[OrderDate]],"YYYY")</f>
        <v>2023</v>
      </c>
      <c r="AI147" s="4">
        <f>IF(Table1[[#This Row],[RequiredDate]]&lt;Table1[[#This Row],[OrderDate]], Table1[[#This Row],[OrderDate]]+7, Table1[[#This Row],[RequiredDate]])</f>
        <v>45162</v>
      </c>
      <c r="AJ147">
        <f>IF(Dashboard!$D$3&gt;'Staging Data'!V147,'Staging Data'!V147,Dashboard!D$3)</f>
        <v>0.2</v>
      </c>
      <c r="AK147" s="19">
        <f>(100%+Dashboard!$D$4)*'Staging Data'!S147</f>
        <v>612.024</v>
      </c>
      <c r="AL147">
        <f>(100%+Dashboard!$D$5)*'Staging Data'!W147</f>
        <v>11.5</v>
      </c>
    </row>
    <row r="148" spans="1:38" x14ac:dyDescent="0.35">
      <c r="A148" s="6" t="s">
        <v>205</v>
      </c>
      <c r="B148" s="4">
        <v>45146</v>
      </c>
      <c r="C148" s="4">
        <v>45160</v>
      </c>
      <c r="D148" s="4">
        <f>IF(Table1[[#This Row],[RequiredDate]]&lt;Table1[[#This Row],[OrderDate]],Table1[[#This Row],[RequiredDate]],Table1[[#This Row],[OrderDate]])</f>
        <v>45146</v>
      </c>
      <c r="E148" s="4">
        <f>IF(Table1[[#This Row],[RequiredDate]]&gt;Table1[[#This Row],[OrderDate]],Table1[[#This Row],[RequiredDate]],Table1[[#This Row],[OrderDate]])</f>
        <v>45160</v>
      </c>
      <c r="F148" s="21">
        <f>Table1[[#This Row],[New RD]]-Table1[[#This Row],[new   od]]</f>
        <v>14</v>
      </c>
      <c r="G148" s="4">
        <f>IF(Table1[[#This Row],[RequiredDate]]&lt;Table1[[#This Row],[OrderDate]], Table1[[#This Row],[OrderDate]]+7, Table1[[#This Row],[RequiredDate]])</f>
        <v>45160</v>
      </c>
      <c r="H148" s="21">
        <f t="shared" si="22"/>
        <v>14</v>
      </c>
      <c r="I148" s="6" t="str">
        <f>IF(Table1[[#This Row],[New LTD]]&lt;=7,"Yes","No")</f>
        <v>No</v>
      </c>
      <c r="J148" s="6" t="str">
        <f t="shared" si="23"/>
        <v>No</v>
      </c>
      <c r="K148" t="s">
        <v>649</v>
      </c>
      <c r="L148" t="s">
        <v>658</v>
      </c>
      <c r="M148" t="s">
        <v>674</v>
      </c>
      <c r="N148" t="s">
        <v>703</v>
      </c>
      <c r="O148" t="s">
        <v>711</v>
      </c>
      <c r="P148" t="s">
        <v>725</v>
      </c>
      <c r="Q148" t="s">
        <v>732</v>
      </c>
      <c r="R148" t="s">
        <v>925</v>
      </c>
      <c r="S148" s="6">
        <v>446.69</v>
      </c>
      <c r="T148" s="6">
        <v>967.25</v>
      </c>
      <c r="U148" s="6">
        <f t="shared" si="24"/>
        <v>967.25</v>
      </c>
      <c r="V148" s="8">
        <v>9.4E-2</v>
      </c>
      <c r="W148" s="6">
        <v>10</v>
      </c>
      <c r="X148" s="6">
        <f t="shared" si="25"/>
        <v>8763.2849999999999</v>
      </c>
      <c r="Y148">
        <f t="shared" si="26"/>
        <v>4466.8999999999996</v>
      </c>
      <c r="Z148" s="6">
        <f t="shared" si="27"/>
        <v>4296.3850000000002</v>
      </c>
      <c r="AA148">
        <f t="shared" si="28"/>
        <v>0.49027105702941309</v>
      </c>
      <c r="AB148" t="str">
        <f t="shared" si="29"/>
        <v>8-2023</v>
      </c>
      <c r="AC148" t="str">
        <f t="shared" si="30"/>
        <v>Q3-2023</v>
      </c>
      <c r="AD148" t="str">
        <f t="shared" si="31"/>
        <v>Europe →United Kingdom →Birmingham</v>
      </c>
      <c r="AE148" t="str">
        <f t="shared" si="32"/>
        <v>Medium</v>
      </c>
      <c r="AF148" t="str">
        <f>TEXT(Table1[[#This Row],[OrderDate]],"MMM")</f>
        <v>Aug</v>
      </c>
      <c r="AG148" t="str">
        <f>TEXT(Table1[[#This Row],[OrderDate]],"YYYY")</f>
        <v>2023</v>
      </c>
      <c r="AI148" s="4">
        <f>IF(Table1[[#This Row],[RequiredDate]]&lt;Table1[[#This Row],[OrderDate]], Table1[[#This Row],[OrderDate]]+7, Table1[[#This Row],[RequiredDate]])</f>
        <v>45160</v>
      </c>
      <c r="AJ148">
        <f>IF(Dashboard!$D$3&gt;'Staging Data'!V148,'Staging Data'!V148,Dashboard!D$3)</f>
        <v>9.4E-2</v>
      </c>
      <c r="AK148" s="19">
        <f>(100%+Dashboard!$D$4)*'Staging Data'!S148</f>
        <v>469.02449999999999</v>
      </c>
      <c r="AL148">
        <f>(100%+Dashboard!$D$5)*'Staging Data'!W148</f>
        <v>11.5</v>
      </c>
    </row>
    <row r="149" spans="1:38" x14ac:dyDescent="0.35">
      <c r="A149" s="6" t="s">
        <v>498</v>
      </c>
      <c r="B149" s="4">
        <v>45148</v>
      </c>
      <c r="C149" s="4">
        <v>45153</v>
      </c>
      <c r="D149" s="4">
        <f>IF(Table1[[#This Row],[RequiredDate]]&lt;Table1[[#This Row],[OrderDate]],Table1[[#This Row],[RequiredDate]],Table1[[#This Row],[OrderDate]])</f>
        <v>45148</v>
      </c>
      <c r="E149" s="4">
        <f>IF(Table1[[#This Row],[RequiredDate]]&gt;Table1[[#This Row],[OrderDate]],Table1[[#This Row],[RequiredDate]],Table1[[#This Row],[OrderDate]])</f>
        <v>45153</v>
      </c>
      <c r="F149" s="21">
        <f>Table1[[#This Row],[New RD]]-Table1[[#This Row],[new   od]]</f>
        <v>5</v>
      </c>
      <c r="G149" s="4">
        <f>IF(Table1[[#This Row],[RequiredDate]]&lt;Table1[[#This Row],[OrderDate]], Table1[[#This Row],[OrderDate]]+7, Table1[[#This Row],[RequiredDate]])</f>
        <v>45153</v>
      </c>
      <c r="H149" s="21">
        <f t="shared" si="22"/>
        <v>5</v>
      </c>
      <c r="I149" s="6" t="str">
        <f>IF(Table1[[#This Row],[New LTD]]&lt;=7,"Yes","No")</f>
        <v>Yes</v>
      </c>
      <c r="J149" s="6" t="str">
        <f t="shared" si="23"/>
        <v>No</v>
      </c>
      <c r="K149" t="s">
        <v>648</v>
      </c>
      <c r="L149" t="s">
        <v>655</v>
      </c>
      <c r="M149" t="s">
        <v>670</v>
      </c>
      <c r="N149" t="s">
        <v>702</v>
      </c>
      <c r="O149" t="s">
        <v>711</v>
      </c>
      <c r="P149" t="s">
        <v>715</v>
      </c>
      <c r="Q149" t="s">
        <v>729</v>
      </c>
      <c r="R149" t="s">
        <v>1217</v>
      </c>
      <c r="S149" s="6">
        <v>1307.52</v>
      </c>
      <c r="T149" s="6">
        <v>1921.65</v>
      </c>
      <c r="U149" s="6">
        <f t="shared" si="24"/>
        <v>1921.65</v>
      </c>
      <c r="V149" s="8">
        <v>0.123</v>
      </c>
      <c r="W149" s="6">
        <v>13</v>
      </c>
      <c r="X149" s="6">
        <f t="shared" si="25"/>
        <v>21908.731650000002</v>
      </c>
      <c r="Y149">
        <f t="shared" si="26"/>
        <v>16997.759999999998</v>
      </c>
      <c r="Z149" s="6">
        <f t="shared" si="27"/>
        <v>4910.9716500000031</v>
      </c>
      <c r="AA149">
        <f t="shared" si="28"/>
        <v>0.22415590863289445</v>
      </c>
      <c r="AB149" t="str">
        <f t="shared" si="29"/>
        <v>8-2023</v>
      </c>
      <c r="AC149" t="str">
        <f t="shared" si="30"/>
        <v>Q3-2023</v>
      </c>
      <c r="AD149" t="str">
        <f t="shared" si="31"/>
        <v>Americas →Brazil →São Paulo</v>
      </c>
      <c r="AE149" t="str">
        <f t="shared" si="32"/>
        <v>High</v>
      </c>
      <c r="AF149" t="str">
        <f>TEXT(Table1[[#This Row],[OrderDate]],"MMM")</f>
        <v>Aug</v>
      </c>
      <c r="AG149" t="str">
        <f>TEXT(Table1[[#This Row],[OrderDate]],"YYYY")</f>
        <v>2023</v>
      </c>
      <c r="AI149" s="4">
        <f>IF(Table1[[#This Row],[RequiredDate]]&lt;Table1[[#This Row],[OrderDate]], Table1[[#This Row],[OrderDate]]+7, Table1[[#This Row],[RequiredDate]])</f>
        <v>45153</v>
      </c>
      <c r="AJ149">
        <f>IF(Dashboard!$D$3&gt;'Staging Data'!V149,'Staging Data'!V149,Dashboard!D$3)</f>
        <v>0.123</v>
      </c>
      <c r="AK149" s="19">
        <f>(100%+Dashboard!$D$4)*'Staging Data'!S149</f>
        <v>1372.896</v>
      </c>
      <c r="AL149">
        <f>(100%+Dashboard!$D$5)*'Staging Data'!W149</f>
        <v>14.95</v>
      </c>
    </row>
    <row r="150" spans="1:38" x14ac:dyDescent="0.35">
      <c r="A150" s="6" t="s">
        <v>140</v>
      </c>
      <c r="B150" s="4">
        <v>45150</v>
      </c>
      <c r="C150" s="4">
        <v>45175</v>
      </c>
      <c r="D150" s="4">
        <f>IF(Table1[[#This Row],[RequiredDate]]&lt;Table1[[#This Row],[OrderDate]],Table1[[#This Row],[RequiredDate]],Table1[[#This Row],[OrderDate]])</f>
        <v>45150</v>
      </c>
      <c r="E150" s="4">
        <f>IF(Table1[[#This Row],[RequiredDate]]&gt;Table1[[#This Row],[OrderDate]],Table1[[#This Row],[RequiredDate]],Table1[[#This Row],[OrderDate]])</f>
        <v>45175</v>
      </c>
      <c r="F150" s="21">
        <f>Table1[[#This Row],[New RD]]-Table1[[#This Row],[new   od]]</f>
        <v>25</v>
      </c>
      <c r="G150" s="4">
        <f>IF(Table1[[#This Row],[RequiredDate]]&lt;Table1[[#This Row],[OrderDate]], Table1[[#This Row],[OrderDate]]+7, Table1[[#This Row],[RequiredDate]])</f>
        <v>45175</v>
      </c>
      <c r="H150" s="21">
        <f t="shared" si="22"/>
        <v>25</v>
      </c>
      <c r="I150" s="6" t="str">
        <f>IF(Table1[[#This Row],[New LTD]]&lt;=7,"Yes","No")</f>
        <v>No</v>
      </c>
      <c r="J150" s="6" t="str">
        <f t="shared" si="23"/>
        <v>No</v>
      </c>
      <c r="K150" t="s">
        <v>647</v>
      </c>
      <c r="L150" t="s">
        <v>659</v>
      </c>
      <c r="M150" t="s">
        <v>685</v>
      </c>
      <c r="N150" t="s">
        <v>705</v>
      </c>
      <c r="O150" t="s">
        <v>707</v>
      </c>
      <c r="P150" t="s">
        <v>717</v>
      </c>
      <c r="Q150" t="s">
        <v>727</v>
      </c>
      <c r="R150" t="s">
        <v>859</v>
      </c>
      <c r="S150" s="6">
        <v>950.77</v>
      </c>
      <c r="T150" s="6">
        <v>694.78</v>
      </c>
      <c r="U150" s="6">
        <f t="shared" si="24"/>
        <v>694.78</v>
      </c>
      <c r="V150" s="8">
        <v>8.4000000000000005E-2</v>
      </c>
      <c r="W150" s="6">
        <v>14</v>
      </c>
      <c r="X150" s="6">
        <f t="shared" si="25"/>
        <v>8909.8587200000002</v>
      </c>
      <c r="Y150">
        <f t="shared" si="26"/>
        <v>13310.779999999999</v>
      </c>
      <c r="Z150" s="6">
        <f t="shared" si="27"/>
        <v>-4400.9212799999987</v>
      </c>
      <c r="AA150">
        <f t="shared" si="28"/>
        <v>-0.49393839097821279</v>
      </c>
      <c r="AB150" t="str">
        <f t="shared" si="29"/>
        <v>8-2023</v>
      </c>
      <c r="AC150" t="str">
        <f t="shared" si="30"/>
        <v>Q3-2023</v>
      </c>
      <c r="AD150" t="str">
        <f t="shared" si="31"/>
        <v>Asia →China →Shanghai</v>
      </c>
      <c r="AE150" t="str">
        <f t="shared" si="32"/>
        <v>Low</v>
      </c>
      <c r="AF150" t="str">
        <f>TEXT(Table1[[#This Row],[OrderDate]],"MMM")</f>
        <v>Aug</v>
      </c>
      <c r="AG150" t="str">
        <f>TEXT(Table1[[#This Row],[OrderDate]],"YYYY")</f>
        <v>2023</v>
      </c>
      <c r="AI150" s="4">
        <f>IF(Table1[[#This Row],[RequiredDate]]&lt;Table1[[#This Row],[OrderDate]], Table1[[#This Row],[OrderDate]]+7, Table1[[#This Row],[RequiredDate]])</f>
        <v>45175</v>
      </c>
      <c r="AJ150">
        <f>IF(Dashboard!$D$3&gt;'Staging Data'!V150,'Staging Data'!V150,Dashboard!D$3)</f>
        <v>8.4000000000000005E-2</v>
      </c>
      <c r="AK150" s="19">
        <f>(100%+Dashboard!$D$4)*'Staging Data'!S150</f>
        <v>998.30849999999998</v>
      </c>
      <c r="AL150">
        <f>(100%+Dashboard!$D$5)*'Staging Data'!W150</f>
        <v>16.099999999999998</v>
      </c>
    </row>
    <row r="151" spans="1:38" x14ac:dyDescent="0.35">
      <c r="A151" s="6" t="s">
        <v>216</v>
      </c>
      <c r="B151" s="4">
        <v>45153</v>
      </c>
      <c r="C151" s="4">
        <v>45176</v>
      </c>
      <c r="D151" s="4">
        <f>IF(Table1[[#This Row],[RequiredDate]]&lt;Table1[[#This Row],[OrderDate]],Table1[[#This Row],[RequiredDate]],Table1[[#This Row],[OrderDate]])</f>
        <v>45153</v>
      </c>
      <c r="E151" s="4">
        <f>IF(Table1[[#This Row],[RequiredDate]]&gt;Table1[[#This Row],[OrderDate]],Table1[[#This Row],[RequiredDate]],Table1[[#This Row],[OrderDate]])</f>
        <v>45176</v>
      </c>
      <c r="F151" s="21">
        <f>Table1[[#This Row],[New RD]]-Table1[[#This Row],[new   od]]</f>
        <v>23</v>
      </c>
      <c r="G151" s="4">
        <f>IF(Table1[[#This Row],[RequiredDate]]&lt;Table1[[#This Row],[OrderDate]], Table1[[#This Row],[OrderDate]]+7, Table1[[#This Row],[RequiredDate]])</f>
        <v>45176</v>
      </c>
      <c r="H151" s="21">
        <f t="shared" si="22"/>
        <v>23</v>
      </c>
      <c r="I151" s="6" t="str">
        <f>IF(Table1[[#This Row],[New LTD]]&lt;=7,"Yes","No")</f>
        <v>No</v>
      </c>
      <c r="J151" s="6" t="str">
        <f t="shared" si="23"/>
        <v>No</v>
      </c>
      <c r="K151" t="s">
        <v>648</v>
      </c>
      <c r="L151" t="s">
        <v>660</v>
      </c>
      <c r="M151" t="s">
        <v>700</v>
      </c>
      <c r="N151" t="s">
        <v>706</v>
      </c>
      <c r="O151" t="s">
        <v>708</v>
      </c>
      <c r="P151" t="s">
        <v>723</v>
      </c>
      <c r="Q151" t="s">
        <v>730</v>
      </c>
      <c r="R151" t="s">
        <v>936</v>
      </c>
      <c r="S151" s="6">
        <v>590.33000000000004</v>
      </c>
      <c r="T151" s="6">
        <v>973.04</v>
      </c>
      <c r="U151" s="6">
        <f t="shared" si="24"/>
        <v>973.04</v>
      </c>
      <c r="V151" s="8">
        <v>0</v>
      </c>
      <c r="W151" s="6">
        <v>26</v>
      </c>
      <c r="X151" s="6">
        <f t="shared" si="25"/>
        <v>25299.040000000001</v>
      </c>
      <c r="Y151">
        <f t="shared" si="26"/>
        <v>15348.580000000002</v>
      </c>
      <c r="Z151" s="6">
        <f t="shared" si="27"/>
        <v>9950.4599999999991</v>
      </c>
      <c r="AA151">
        <f t="shared" si="28"/>
        <v>0.39331373838691108</v>
      </c>
      <c r="AB151" t="str">
        <f t="shared" si="29"/>
        <v>8-2023</v>
      </c>
      <c r="AC151" t="str">
        <f t="shared" si="30"/>
        <v>Q3-2023</v>
      </c>
      <c r="AD151" t="str">
        <f t="shared" si="31"/>
        <v>Americas →USA →New York</v>
      </c>
      <c r="AE151" t="str">
        <f t="shared" si="32"/>
        <v>Medium</v>
      </c>
      <c r="AF151" t="str">
        <f>TEXT(Table1[[#This Row],[OrderDate]],"MMM")</f>
        <v>Aug</v>
      </c>
      <c r="AG151" t="str">
        <f>TEXT(Table1[[#This Row],[OrderDate]],"YYYY")</f>
        <v>2023</v>
      </c>
      <c r="AI151" s="4">
        <f>IF(Table1[[#This Row],[RequiredDate]]&lt;Table1[[#This Row],[OrderDate]], Table1[[#This Row],[OrderDate]]+7, Table1[[#This Row],[RequiredDate]])</f>
        <v>45176</v>
      </c>
      <c r="AJ151">
        <f>IF(Dashboard!$D$3&gt;'Staging Data'!V151,'Staging Data'!V151,Dashboard!D$3)</f>
        <v>0</v>
      </c>
      <c r="AK151" s="19">
        <f>(100%+Dashboard!$D$4)*'Staging Data'!S151</f>
        <v>619.84650000000011</v>
      </c>
      <c r="AL151">
        <f>(100%+Dashboard!$D$5)*'Staging Data'!W151</f>
        <v>29.9</v>
      </c>
    </row>
    <row r="152" spans="1:38" x14ac:dyDescent="0.35">
      <c r="A152" s="6" t="s">
        <v>296</v>
      </c>
      <c r="B152" s="4">
        <v>45153</v>
      </c>
      <c r="C152" s="4">
        <v>45163</v>
      </c>
      <c r="D152" s="4">
        <f>IF(Table1[[#This Row],[RequiredDate]]&lt;Table1[[#This Row],[OrderDate]],Table1[[#This Row],[RequiredDate]],Table1[[#This Row],[OrderDate]])</f>
        <v>45153</v>
      </c>
      <c r="E152" s="4">
        <f>IF(Table1[[#This Row],[RequiredDate]]&gt;Table1[[#This Row],[OrderDate]],Table1[[#This Row],[RequiredDate]],Table1[[#This Row],[OrderDate]])</f>
        <v>45163</v>
      </c>
      <c r="F152" s="21">
        <f>Table1[[#This Row],[New RD]]-Table1[[#This Row],[new   od]]</f>
        <v>10</v>
      </c>
      <c r="G152" s="4">
        <f>IF(Table1[[#This Row],[RequiredDate]]&lt;Table1[[#This Row],[OrderDate]], Table1[[#This Row],[OrderDate]]+7, Table1[[#This Row],[RequiredDate]])</f>
        <v>45163</v>
      </c>
      <c r="H152" s="21">
        <f t="shared" si="22"/>
        <v>10</v>
      </c>
      <c r="I152" s="6" t="str">
        <f>IF(Table1[[#This Row],[New LTD]]&lt;=7,"Yes","No")</f>
        <v>No</v>
      </c>
      <c r="J152" s="6" t="str">
        <f t="shared" si="23"/>
        <v>No</v>
      </c>
      <c r="K152" t="s">
        <v>646</v>
      </c>
      <c r="L152" t="s">
        <v>650</v>
      </c>
      <c r="M152" t="s">
        <v>664</v>
      </c>
      <c r="N152" t="s">
        <v>705</v>
      </c>
      <c r="O152" t="s">
        <v>707</v>
      </c>
      <c r="P152" t="s">
        <v>725</v>
      </c>
      <c r="Q152" t="s">
        <v>730</v>
      </c>
      <c r="R152" t="s">
        <v>1016</v>
      </c>
      <c r="S152" s="6">
        <v>91.85</v>
      </c>
      <c r="T152" s="6">
        <v>111.29</v>
      </c>
      <c r="U152" s="6">
        <f t="shared" si="24"/>
        <v>111.29</v>
      </c>
      <c r="V152" s="8">
        <v>0</v>
      </c>
      <c r="W152" s="6">
        <v>6</v>
      </c>
      <c r="X152" s="6">
        <f t="shared" si="25"/>
        <v>667.74</v>
      </c>
      <c r="Y152">
        <f t="shared" si="26"/>
        <v>551.09999999999991</v>
      </c>
      <c r="Z152" s="6">
        <f t="shared" si="27"/>
        <v>116.6400000000001</v>
      </c>
      <c r="AA152">
        <f t="shared" si="28"/>
        <v>0.17467876718483258</v>
      </c>
      <c r="AB152" t="str">
        <f t="shared" si="29"/>
        <v>8-2023</v>
      </c>
      <c r="AC152" t="str">
        <f t="shared" si="30"/>
        <v>Q3-2023</v>
      </c>
      <c r="AD152" t="str">
        <f t="shared" si="31"/>
        <v>Africa →Kenya →Nairobi</v>
      </c>
      <c r="AE152" t="str">
        <f t="shared" si="32"/>
        <v>Low</v>
      </c>
      <c r="AF152" t="str">
        <f>TEXT(Table1[[#This Row],[OrderDate]],"MMM")</f>
        <v>Aug</v>
      </c>
      <c r="AG152" t="str">
        <f>TEXT(Table1[[#This Row],[OrderDate]],"YYYY")</f>
        <v>2023</v>
      </c>
      <c r="AI152" s="4">
        <f>IF(Table1[[#This Row],[RequiredDate]]&lt;Table1[[#This Row],[OrderDate]], Table1[[#This Row],[OrderDate]]+7, Table1[[#This Row],[RequiredDate]])</f>
        <v>45163</v>
      </c>
      <c r="AJ152">
        <f>IF(Dashboard!$D$3&gt;'Staging Data'!V152,'Staging Data'!V152,Dashboard!D$3)</f>
        <v>0</v>
      </c>
      <c r="AK152" s="19">
        <f>(100%+Dashboard!$D$4)*'Staging Data'!S152</f>
        <v>96.442499999999995</v>
      </c>
      <c r="AL152">
        <f>(100%+Dashboard!$D$5)*'Staging Data'!W152</f>
        <v>6.8999999999999995</v>
      </c>
    </row>
    <row r="153" spans="1:38" x14ac:dyDescent="0.35">
      <c r="A153" s="6" t="s">
        <v>547</v>
      </c>
      <c r="B153" s="4">
        <v>45155</v>
      </c>
      <c r="C153" s="4">
        <v>45172</v>
      </c>
      <c r="D153" s="4">
        <f>IF(Table1[[#This Row],[RequiredDate]]&lt;Table1[[#This Row],[OrderDate]],Table1[[#This Row],[RequiredDate]],Table1[[#This Row],[OrderDate]])</f>
        <v>45155</v>
      </c>
      <c r="E153" s="4">
        <f>IF(Table1[[#This Row],[RequiredDate]]&gt;Table1[[#This Row],[OrderDate]],Table1[[#This Row],[RequiredDate]],Table1[[#This Row],[OrderDate]])</f>
        <v>45172</v>
      </c>
      <c r="F153" s="21">
        <f>Table1[[#This Row],[New RD]]-Table1[[#This Row],[new   od]]</f>
        <v>17</v>
      </c>
      <c r="G153" s="4">
        <f>IF(Table1[[#This Row],[RequiredDate]]&lt;Table1[[#This Row],[OrderDate]], Table1[[#This Row],[OrderDate]]+7, Table1[[#This Row],[RequiredDate]])</f>
        <v>45172</v>
      </c>
      <c r="H153" s="21">
        <f t="shared" si="22"/>
        <v>17</v>
      </c>
      <c r="I153" s="6" t="str">
        <f>IF(Table1[[#This Row],[New LTD]]&lt;=7,"Yes","No")</f>
        <v>No</v>
      </c>
      <c r="J153" s="6" t="str">
        <f t="shared" si="23"/>
        <v>No</v>
      </c>
      <c r="K153" t="s">
        <v>646</v>
      </c>
      <c r="L153" t="s">
        <v>661</v>
      </c>
      <c r="M153" t="s">
        <v>687</v>
      </c>
      <c r="N153" t="s">
        <v>706</v>
      </c>
      <c r="O153" t="s">
        <v>707</v>
      </c>
      <c r="P153" t="s">
        <v>720</v>
      </c>
      <c r="Q153" t="s">
        <v>730</v>
      </c>
      <c r="R153" t="s">
        <v>1266</v>
      </c>
      <c r="S153" s="6">
        <v>676.37</v>
      </c>
      <c r="T153" s="6">
        <v>1276.67</v>
      </c>
      <c r="U153" s="6">
        <f t="shared" si="24"/>
        <v>1276.67</v>
      </c>
      <c r="V153" s="8">
        <v>6.6000000000000003E-2</v>
      </c>
      <c r="W153" s="6">
        <v>10</v>
      </c>
      <c r="X153" s="6">
        <f t="shared" si="25"/>
        <v>11924.0978</v>
      </c>
      <c r="Y153">
        <f t="shared" si="26"/>
        <v>6763.7</v>
      </c>
      <c r="Z153" s="6">
        <f t="shared" si="27"/>
        <v>5160.3977999999997</v>
      </c>
      <c r="AA153">
        <f t="shared" si="28"/>
        <v>0.4327705027712872</v>
      </c>
      <c r="AB153" t="str">
        <f t="shared" si="29"/>
        <v>8-2023</v>
      </c>
      <c r="AC153" t="str">
        <f t="shared" si="30"/>
        <v>Q3-2023</v>
      </c>
      <c r="AD153" t="str">
        <f t="shared" si="31"/>
        <v>Africa →South Africa →Durban</v>
      </c>
      <c r="AE153" t="str">
        <f t="shared" si="32"/>
        <v>Medium</v>
      </c>
      <c r="AF153" t="str">
        <f>TEXT(Table1[[#This Row],[OrderDate]],"MMM")</f>
        <v>Aug</v>
      </c>
      <c r="AG153" t="str">
        <f>TEXT(Table1[[#This Row],[OrderDate]],"YYYY")</f>
        <v>2023</v>
      </c>
      <c r="AI153" s="4">
        <f>IF(Table1[[#This Row],[RequiredDate]]&lt;Table1[[#This Row],[OrderDate]], Table1[[#This Row],[OrderDate]]+7, Table1[[#This Row],[RequiredDate]])</f>
        <v>45172</v>
      </c>
      <c r="AJ153">
        <f>IF(Dashboard!$D$3&gt;'Staging Data'!V153,'Staging Data'!V153,Dashboard!D$3)</f>
        <v>6.6000000000000003E-2</v>
      </c>
      <c r="AK153" s="19">
        <f>(100%+Dashboard!$D$4)*'Staging Data'!S153</f>
        <v>710.18850000000009</v>
      </c>
      <c r="AL153">
        <f>(100%+Dashboard!$D$5)*'Staging Data'!W153</f>
        <v>11.5</v>
      </c>
    </row>
    <row r="154" spans="1:38" x14ac:dyDescent="0.35">
      <c r="A154" s="6" t="s">
        <v>83</v>
      </c>
      <c r="B154" s="4">
        <v>45157</v>
      </c>
      <c r="C154" s="4">
        <v>45176</v>
      </c>
      <c r="D154" s="4">
        <f>IF(Table1[[#This Row],[RequiredDate]]&lt;Table1[[#This Row],[OrderDate]],Table1[[#This Row],[RequiredDate]],Table1[[#This Row],[OrderDate]])</f>
        <v>45157</v>
      </c>
      <c r="E154" s="4">
        <f>IF(Table1[[#This Row],[RequiredDate]]&gt;Table1[[#This Row],[OrderDate]],Table1[[#This Row],[RequiredDate]],Table1[[#This Row],[OrderDate]])</f>
        <v>45176</v>
      </c>
      <c r="F154" s="21">
        <f>Table1[[#This Row],[New RD]]-Table1[[#This Row],[new   od]]</f>
        <v>19</v>
      </c>
      <c r="G154" s="4">
        <f>IF(Table1[[#This Row],[RequiredDate]]&lt;Table1[[#This Row],[OrderDate]], Table1[[#This Row],[OrderDate]]+7, Table1[[#This Row],[RequiredDate]])</f>
        <v>45176</v>
      </c>
      <c r="H154" s="21">
        <f t="shared" si="22"/>
        <v>19</v>
      </c>
      <c r="I154" s="6" t="str">
        <f>IF(Table1[[#This Row],[New LTD]]&lt;=7,"Yes","No")</f>
        <v>No</v>
      </c>
      <c r="J154" s="6" t="str">
        <f t="shared" si="23"/>
        <v>Yes</v>
      </c>
      <c r="K154" t="s">
        <v>646</v>
      </c>
      <c r="L154" t="s">
        <v>661</v>
      </c>
      <c r="M154" t="s">
        <v>682</v>
      </c>
      <c r="N154" t="s">
        <v>706</v>
      </c>
      <c r="O154" t="s">
        <v>707</v>
      </c>
      <c r="P154" t="s">
        <v>726</v>
      </c>
      <c r="Q154" t="s">
        <v>732</v>
      </c>
      <c r="R154" t="s">
        <v>802</v>
      </c>
      <c r="S154" s="6">
        <v>494.61</v>
      </c>
      <c r="T154" s="6">
        <v>605.23</v>
      </c>
      <c r="U154" s="6">
        <f t="shared" si="24"/>
        <v>605.23</v>
      </c>
      <c r="V154" s="8">
        <v>0.20399999999999999</v>
      </c>
      <c r="W154" s="6">
        <v>18</v>
      </c>
      <c r="X154" s="6">
        <f t="shared" si="25"/>
        <v>8671.7354400000004</v>
      </c>
      <c r="Y154">
        <f t="shared" si="26"/>
        <v>8902.98</v>
      </c>
      <c r="Z154" s="6">
        <f t="shared" si="27"/>
        <v>-231.24455999999918</v>
      </c>
      <c r="AA154">
        <f t="shared" si="28"/>
        <v>-2.6666468505639647E-2</v>
      </c>
      <c r="AB154" t="str">
        <f t="shared" si="29"/>
        <v>8-2023</v>
      </c>
      <c r="AC154" t="str">
        <f t="shared" si="30"/>
        <v>Q3-2023</v>
      </c>
      <c r="AD154" t="str">
        <f t="shared" si="31"/>
        <v>Africa →South Africa →Johannesburg</v>
      </c>
      <c r="AE154" t="str">
        <f t="shared" si="32"/>
        <v>Low</v>
      </c>
      <c r="AF154" t="str">
        <f>TEXT(Table1[[#This Row],[OrderDate]],"MMM")</f>
        <v>Aug</v>
      </c>
      <c r="AG154" t="str">
        <f>TEXT(Table1[[#This Row],[OrderDate]],"YYYY")</f>
        <v>2023</v>
      </c>
      <c r="AI154" s="4">
        <f>IF(Table1[[#This Row],[RequiredDate]]&lt;Table1[[#This Row],[OrderDate]], Table1[[#This Row],[OrderDate]]+7, Table1[[#This Row],[RequiredDate]])</f>
        <v>45176</v>
      </c>
      <c r="AJ154">
        <f>IF(Dashboard!$D$3&gt;'Staging Data'!V154,'Staging Data'!V154,Dashboard!D$3)</f>
        <v>0.2</v>
      </c>
      <c r="AK154" s="19">
        <f>(100%+Dashboard!$D$4)*'Staging Data'!S154</f>
        <v>519.34050000000002</v>
      </c>
      <c r="AL154">
        <f>(100%+Dashboard!$D$5)*'Staging Data'!W154</f>
        <v>20.7</v>
      </c>
    </row>
    <row r="155" spans="1:38" x14ac:dyDescent="0.35">
      <c r="A155" s="6" t="s">
        <v>96</v>
      </c>
      <c r="B155" s="4">
        <v>45157</v>
      </c>
      <c r="C155" s="4">
        <v>45181</v>
      </c>
      <c r="D155" s="4">
        <f>IF(Table1[[#This Row],[RequiredDate]]&lt;Table1[[#This Row],[OrderDate]],Table1[[#This Row],[RequiredDate]],Table1[[#This Row],[OrderDate]])</f>
        <v>45157</v>
      </c>
      <c r="E155" s="4">
        <f>IF(Table1[[#This Row],[RequiredDate]]&gt;Table1[[#This Row],[OrderDate]],Table1[[#This Row],[RequiredDate]],Table1[[#This Row],[OrderDate]])</f>
        <v>45181</v>
      </c>
      <c r="F155" s="21">
        <f>Table1[[#This Row],[New RD]]-Table1[[#This Row],[new   od]]</f>
        <v>24</v>
      </c>
      <c r="G155" s="4">
        <f>IF(Table1[[#This Row],[RequiredDate]]&lt;Table1[[#This Row],[OrderDate]], Table1[[#This Row],[OrderDate]]+7, Table1[[#This Row],[RequiredDate]])</f>
        <v>45181</v>
      </c>
      <c r="H155" s="21">
        <f t="shared" si="22"/>
        <v>24</v>
      </c>
      <c r="I155" s="6" t="str">
        <f>IF(Table1[[#This Row],[New LTD]]&lt;=7,"Yes","No")</f>
        <v>No</v>
      </c>
      <c r="J155" s="6" t="str">
        <f t="shared" si="23"/>
        <v>Yes</v>
      </c>
      <c r="K155" t="s">
        <v>648</v>
      </c>
      <c r="L155" t="s">
        <v>653</v>
      </c>
      <c r="M155" t="s">
        <v>688</v>
      </c>
      <c r="N155" t="s">
        <v>706</v>
      </c>
      <c r="O155" t="s">
        <v>707</v>
      </c>
      <c r="P155" t="s">
        <v>714</v>
      </c>
      <c r="Q155" t="s">
        <v>728</v>
      </c>
      <c r="R155" t="s">
        <v>815</v>
      </c>
      <c r="S155" s="6">
        <v>1183.95</v>
      </c>
      <c r="T155" s="6">
        <v>1503.53</v>
      </c>
      <c r="U155" s="6">
        <f t="shared" si="24"/>
        <v>1503.53</v>
      </c>
      <c r="V155" s="8">
        <v>0.24099999999999999</v>
      </c>
      <c r="W155" s="6">
        <v>16</v>
      </c>
      <c r="X155" s="6">
        <f t="shared" si="25"/>
        <v>18258.868320000001</v>
      </c>
      <c r="Y155">
        <f t="shared" si="26"/>
        <v>18943.2</v>
      </c>
      <c r="Z155" s="6">
        <f t="shared" si="27"/>
        <v>-684.33167999999932</v>
      </c>
      <c r="AA155">
        <f t="shared" si="28"/>
        <v>-3.7479413729623705E-2</v>
      </c>
      <c r="AB155" t="str">
        <f t="shared" si="29"/>
        <v>8-2023</v>
      </c>
      <c r="AC155" t="str">
        <f t="shared" si="30"/>
        <v>Q3-2023</v>
      </c>
      <c r="AD155" t="str">
        <f t="shared" si="31"/>
        <v>Americas →Canada →Vancouver</v>
      </c>
      <c r="AE155" t="str">
        <f t="shared" si="32"/>
        <v>Medium</v>
      </c>
      <c r="AF155" t="str">
        <f>TEXT(Table1[[#This Row],[OrderDate]],"MMM")</f>
        <v>Aug</v>
      </c>
      <c r="AG155" t="str">
        <f>TEXT(Table1[[#This Row],[OrderDate]],"YYYY")</f>
        <v>2023</v>
      </c>
      <c r="AI155" s="4">
        <f>IF(Table1[[#This Row],[RequiredDate]]&lt;Table1[[#This Row],[OrderDate]], Table1[[#This Row],[OrderDate]]+7, Table1[[#This Row],[RequiredDate]])</f>
        <v>45181</v>
      </c>
      <c r="AJ155">
        <f>IF(Dashboard!$D$3&gt;'Staging Data'!V155,'Staging Data'!V155,Dashboard!D$3)</f>
        <v>0.2</v>
      </c>
      <c r="AK155" s="19">
        <f>(100%+Dashboard!$D$4)*'Staging Data'!S155</f>
        <v>1243.1475</v>
      </c>
      <c r="AL155">
        <f>(100%+Dashboard!$D$5)*'Staging Data'!W155</f>
        <v>18.399999999999999</v>
      </c>
    </row>
    <row r="156" spans="1:38" x14ac:dyDescent="0.35">
      <c r="A156" s="6" t="s">
        <v>198</v>
      </c>
      <c r="B156" s="4">
        <v>45157</v>
      </c>
      <c r="C156" s="4">
        <v>45161</v>
      </c>
      <c r="D156" s="4">
        <f>IF(Table1[[#This Row],[RequiredDate]]&lt;Table1[[#This Row],[OrderDate]],Table1[[#This Row],[RequiredDate]],Table1[[#This Row],[OrderDate]])</f>
        <v>45157</v>
      </c>
      <c r="E156" s="4">
        <f>IF(Table1[[#This Row],[RequiredDate]]&gt;Table1[[#This Row],[OrderDate]],Table1[[#This Row],[RequiredDate]],Table1[[#This Row],[OrderDate]])</f>
        <v>45161</v>
      </c>
      <c r="F156" s="21">
        <f>Table1[[#This Row],[New RD]]-Table1[[#This Row],[new   od]]</f>
        <v>4</v>
      </c>
      <c r="G156" s="4">
        <f>IF(Table1[[#This Row],[RequiredDate]]&lt;Table1[[#This Row],[OrderDate]], Table1[[#This Row],[OrderDate]]+7, Table1[[#This Row],[RequiredDate]])</f>
        <v>45161</v>
      </c>
      <c r="H156" s="21">
        <f t="shared" si="22"/>
        <v>4</v>
      </c>
      <c r="I156" s="6" t="str">
        <f>IF(Table1[[#This Row],[New LTD]]&lt;=7,"Yes","No")</f>
        <v>Yes</v>
      </c>
      <c r="J156" s="6" t="str">
        <f t="shared" si="23"/>
        <v>No</v>
      </c>
      <c r="K156" t="s">
        <v>646</v>
      </c>
      <c r="L156" t="s">
        <v>651</v>
      </c>
      <c r="M156" t="s">
        <v>669</v>
      </c>
      <c r="N156" t="s">
        <v>705</v>
      </c>
      <c r="O156" t="s">
        <v>708</v>
      </c>
      <c r="P156" t="s">
        <v>713</v>
      </c>
      <c r="Q156" t="s">
        <v>732</v>
      </c>
      <c r="R156" t="s">
        <v>917</v>
      </c>
      <c r="S156" s="6">
        <v>790.63</v>
      </c>
      <c r="T156" s="6">
        <v>1382.31</v>
      </c>
      <c r="U156" s="6">
        <f t="shared" si="24"/>
        <v>1382.31</v>
      </c>
      <c r="V156" s="8">
        <v>0.10100000000000001</v>
      </c>
      <c r="W156" s="6">
        <v>7</v>
      </c>
      <c r="X156" s="6">
        <f t="shared" si="25"/>
        <v>8698.8768300000011</v>
      </c>
      <c r="Y156">
        <f t="shared" si="26"/>
        <v>5534.41</v>
      </c>
      <c r="Z156" s="6">
        <f t="shared" si="27"/>
        <v>3164.4668300000012</v>
      </c>
      <c r="AA156">
        <f t="shared" si="28"/>
        <v>0.36377878338116448</v>
      </c>
      <c r="AB156" t="str">
        <f t="shared" si="29"/>
        <v>8-2023</v>
      </c>
      <c r="AC156" t="str">
        <f t="shared" si="30"/>
        <v>Q3-2023</v>
      </c>
      <c r="AD156" t="str">
        <f t="shared" si="31"/>
        <v>Africa →Nigeria →Abuja</v>
      </c>
      <c r="AE156" t="str">
        <f t="shared" si="32"/>
        <v>Medium</v>
      </c>
      <c r="AF156" t="str">
        <f>TEXT(Table1[[#This Row],[OrderDate]],"MMM")</f>
        <v>Aug</v>
      </c>
      <c r="AG156" t="str">
        <f>TEXT(Table1[[#This Row],[OrderDate]],"YYYY")</f>
        <v>2023</v>
      </c>
      <c r="AI156" s="4">
        <f>IF(Table1[[#This Row],[RequiredDate]]&lt;Table1[[#This Row],[OrderDate]], Table1[[#This Row],[OrderDate]]+7, Table1[[#This Row],[RequiredDate]])</f>
        <v>45161</v>
      </c>
      <c r="AJ156">
        <f>IF(Dashboard!$D$3&gt;'Staging Data'!V156,'Staging Data'!V156,Dashboard!D$3)</f>
        <v>0.10100000000000001</v>
      </c>
      <c r="AK156" s="19">
        <f>(100%+Dashboard!$D$4)*'Staging Data'!S156</f>
        <v>830.16150000000005</v>
      </c>
      <c r="AL156">
        <f>(100%+Dashboard!$D$5)*'Staging Data'!W156</f>
        <v>8.0499999999999989</v>
      </c>
    </row>
    <row r="157" spans="1:38" x14ac:dyDescent="0.35">
      <c r="A157" s="6" t="s">
        <v>139</v>
      </c>
      <c r="B157" s="4">
        <v>45159</v>
      </c>
      <c r="C157" s="4">
        <v>45173</v>
      </c>
      <c r="D157" s="4">
        <f>IF(Table1[[#This Row],[RequiredDate]]&lt;Table1[[#This Row],[OrderDate]],Table1[[#This Row],[RequiredDate]],Table1[[#This Row],[OrderDate]])</f>
        <v>45159</v>
      </c>
      <c r="E157" s="4">
        <f>IF(Table1[[#This Row],[RequiredDate]]&gt;Table1[[#This Row],[OrderDate]],Table1[[#This Row],[RequiredDate]],Table1[[#This Row],[OrderDate]])</f>
        <v>45173</v>
      </c>
      <c r="F157" s="21">
        <f>Table1[[#This Row],[New RD]]-Table1[[#This Row],[new   od]]</f>
        <v>14</v>
      </c>
      <c r="G157" s="4">
        <f>IF(Table1[[#This Row],[RequiredDate]]&lt;Table1[[#This Row],[OrderDate]], Table1[[#This Row],[OrderDate]]+7, Table1[[#This Row],[RequiredDate]])</f>
        <v>45173</v>
      </c>
      <c r="H157" s="21">
        <f t="shared" si="22"/>
        <v>14</v>
      </c>
      <c r="I157" s="6" t="str">
        <f>IF(Table1[[#This Row],[New LTD]]&lt;=7,"Yes","No")</f>
        <v>No</v>
      </c>
      <c r="J157" s="6" t="str">
        <f t="shared" si="23"/>
        <v>No</v>
      </c>
      <c r="K157" t="s">
        <v>648</v>
      </c>
      <c r="L157" t="s">
        <v>653</v>
      </c>
      <c r="M157" t="s">
        <v>681</v>
      </c>
      <c r="N157" t="s">
        <v>702</v>
      </c>
      <c r="O157" t="s">
        <v>710</v>
      </c>
      <c r="P157" t="s">
        <v>721</v>
      </c>
      <c r="Q157" t="s">
        <v>727</v>
      </c>
      <c r="R157" t="s">
        <v>858</v>
      </c>
      <c r="S157" s="6">
        <v>178.19</v>
      </c>
      <c r="T157" s="6">
        <v>284.43</v>
      </c>
      <c r="U157" s="6">
        <f t="shared" si="24"/>
        <v>284.43</v>
      </c>
      <c r="V157" s="8">
        <v>8.8999999999999996E-2</v>
      </c>
      <c r="W157" s="6">
        <v>8</v>
      </c>
      <c r="X157" s="6">
        <f t="shared" si="25"/>
        <v>2072.9258400000003</v>
      </c>
      <c r="Y157">
        <f t="shared" si="26"/>
        <v>1425.52</v>
      </c>
      <c r="Z157" s="6">
        <f t="shared" si="27"/>
        <v>647.40584000000035</v>
      </c>
      <c r="AA157">
        <f t="shared" si="28"/>
        <v>0.31231500302972742</v>
      </c>
      <c r="AB157" t="str">
        <f t="shared" si="29"/>
        <v>8-2023</v>
      </c>
      <c r="AC157" t="str">
        <f t="shared" si="30"/>
        <v>Q3-2023</v>
      </c>
      <c r="AD157" t="str">
        <f t="shared" si="31"/>
        <v>Americas →Canada →Montreal</v>
      </c>
      <c r="AE157" t="str">
        <f t="shared" si="32"/>
        <v>Low</v>
      </c>
      <c r="AF157" t="str">
        <f>TEXT(Table1[[#This Row],[OrderDate]],"MMM")</f>
        <v>Aug</v>
      </c>
      <c r="AG157" t="str">
        <f>TEXT(Table1[[#This Row],[OrderDate]],"YYYY")</f>
        <v>2023</v>
      </c>
      <c r="AI157" s="4">
        <f>IF(Table1[[#This Row],[RequiredDate]]&lt;Table1[[#This Row],[OrderDate]], Table1[[#This Row],[OrderDate]]+7, Table1[[#This Row],[RequiredDate]])</f>
        <v>45173</v>
      </c>
      <c r="AJ157">
        <f>IF(Dashboard!$D$3&gt;'Staging Data'!V157,'Staging Data'!V157,Dashboard!D$3)</f>
        <v>8.8999999999999996E-2</v>
      </c>
      <c r="AK157" s="19">
        <f>(100%+Dashboard!$D$4)*'Staging Data'!S157</f>
        <v>187.09950000000001</v>
      </c>
      <c r="AL157">
        <f>(100%+Dashboard!$D$5)*'Staging Data'!W157</f>
        <v>9.1999999999999993</v>
      </c>
    </row>
    <row r="158" spans="1:38" x14ac:dyDescent="0.35">
      <c r="A158" s="6" t="s">
        <v>307</v>
      </c>
      <c r="B158" s="4">
        <v>45161</v>
      </c>
      <c r="C158" s="4">
        <v>45191</v>
      </c>
      <c r="D158" s="4">
        <f>IF(Table1[[#This Row],[RequiredDate]]&lt;Table1[[#This Row],[OrderDate]],Table1[[#This Row],[RequiredDate]],Table1[[#This Row],[OrderDate]])</f>
        <v>45161</v>
      </c>
      <c r="E158" s="4">
        <f>IF(Table1[[#This Row],[RequiredDate]]&gt;Table1[[#This Row],[OrderDate]],Table1[[#This Row],[RequiredDate]],Table1[[#This Row],[OrderDate]])</f>
        <v>45191</v>
      </c>
      <c r="F158" s="21">
        <f>Table1[[#This Row],[New RD]]-Table1[[#This Row],[new   od]]</f>
        <v>30</v>
      </c>
      <c r="G158" s="4">
        <f>IF(Table1[[#This Row],[RequiredDate]]&lt;Table1[[#This Row],[OrderDate]], Table1[[#This Row],[OrderDate]]+7, Table1[[#This Row],[RequiredDate]])</f>
        <v>45191</v>
      </c>
      <c r="H158" s="21">
        <f t="shared" si="22"/>
        <v>30</v>
      </c>
      <c r="I158" s="6" t="str">
        <f>IF(Table1[[#This Row],[New LTD]]&lt;=7,"Yes","No")</f>
        <v>No</v>
      </c>
      <c r="J158" s="6" t="str">
        <f t="shared" si="23"/>
        <v>No</v>
      </c>
      <c r="K158" t="s">
        <v>649</v>
      </c>
      <c r="L158" t="s">
        <v>658</v>
      </c>
      <c r="M158" t="s">
        <v>683</v>
      </c>
      <c r="N158" t="s">
        <v>704</v>
      </c>
      <c r="O158" t="s">
        <v>710</v>
      </c>
      <c r="P158" t="s">
        <v>719</v>
      </c>
      <c r="Q158" t="s">
        <v>733</v>
      </c>
      <c r="R158" t="s">
        <v>1027</v>
      </c>
      <c r="S158" s="6">
        <v>209.81</v>
      </c>
      <c r="T158" s="6">
        <v>523</v>
      </c>
      <c r="U158" s="6">
        <f t="shared" si="24"/>
        <v>523</v>
      </c>
      <c r="V158" s="8">
        <v>5.8999999999999997E-2</v>
      </c>
      <c r="W158" s="6">
        <v>15</v>
      </c>
      <c r="X158" s="6">
        <f t="shared" si="25"/>
        <v>7382.1450000000004</v>
      </c>
      <c r="Y158">
        <f t="shared" si="26"/>
        <v>3147.15</v>
      </c>
      <c r="Z158" s="6">
        <f t="shared" si="27"/>
        <v>4234.9950000000008</v>
      </c>
      <c r="AA158">
        <f t="shared" si="28"/>
        <v>0.57368082041195356</v>
      </c>
      <c r="AB158" t="str">
        <f t="shared" si="29"/>
        <v>8-2023</v>
      </c>
      <c r="AC158" t="str">
        <f t="shared" si="30"/>
        <v>Q3-2023</v>
      </c>
      <c r="AD158" t="str">
        <f t="shared" si="31"/>
        <v>Europe →United Kingdom →London</v>
      </c>
      <c r="AE158" t="str">
        <f t="shared" si="32"/>
        <v>Low</v>
      </c>
      <c r="AF158" t="str">
        <f>TEXT(Table1[[#This Row],[OrderDate]],"MMM")</f>
        <v>Aug</v>
      </c>
      <c r="AG158" t="str">
        <f>TEXT(Table1[[#This Row],[OrderDate]],"YYYY")</f>
        <v>2023</v>
      </c>
      <c r="AI158" s="4">
        <f>IF(Table1[[#This Row],[RequiredDate]]&lt;Table1[[#This Row],[OrderDate]], Table1[[#This Row],[OrderDate]]+7, Table1[[#This Row],[RequiredDate]])</f>
        <v>45191</v>
      </c>
      <c r="AJ158">
        <f>IF(Dashboard!$D$3&gt;'Staging Data'!V158,'Staging Data'!V158,Dashboard!D$3)</f>
        <v>5.8999999999999997E-2</v>
      </c>
      <c r="AK158" s="19">
        <f>(100%+Dashboard!$D$4)*'Staging Data'!S158</f>
        <v>220.3005</v>
      </c>
      <c r="AL158">
        <f>(100%+Dashboard!$D$5)*'Staging Data'!W158</f>
        <v>17.25</v>
      </c>
    </row>
    <row r="159" spans="1:38" x14ac:dyDescent="0.35">
      <c r="A159" s="6" t="s">
        <v>543</v>
      </c>
      <c r="B159" s="4">
        <v>45162</v>
      </c>
      <c r="C159" s="4">
        <v>45189</v>
      </c>
      <c r="D159" s="4">
        <f>IF(Table1[[#This Row],[RequiredDate]]&lt;Table1[[#This Row],[OrderDate]],Table1[[#This Row],[RequiredDate]],Table1[[#This Row],[OrderDate]])</f>
        <v>45162</v>
      </c>
      <c r="E159" s="4">
        <f>IF(Table1[[#This Row],[RequiredDate]]&gt;Table1[[#This Row],[OrderDate]],Table1[[#This Row],[RequiredDate]],Table1[[#This Row],[OrderDate]])</f>
        <v>45189</v>
      </c>
      <c r="F159" s="21">
        <f>Table1[[#This Row],[New RD]]-Table1[[#This Row],[new   od]]</f>
        <v>27</v>
      </c>
      <c r="G159" s="4">
        <f>IF(Table1[[#This Row],[RequiredDate]]&lt;Table1[[#This Row],[OrderDate]], Table1[[#This Row],[OrderDate]]+7, Table1[[#This Row],[RequiredDate]])</f>
        <v>45189</v>
      </c>
      <c r="H159" s="21">
        <f t="shared" si="22"/>
        <v>27</v>
      </c>
      <c r="I159" s="6" t="str">
        <f>IF(Table1[[#This Row],[New LTD]]&lt;=7,"Yes","No")</f>
        <v>No</v>
      </c>
      <c r="J159" s="6" t="str">
        <f t="shared" si="23"/>
        <v>No</v>
      </c>
      <c r="K159" t="s">
        <v>646</v>
      </c>
      <c r="L159" t="s">
        <v>661</v>
      </c>
      <c r="M159" t="s">
        <v>687</v>
      </c>
      <c r="N159" t="s">
        <v>705</v>
      </c>
      <c r="O159" t="s">
        <v>709</v>
      </c>
      <c r="P159" t="s">
        <v>724</v>
      </c>
      <c r="Q159" t="s">
        <v>728</v>
      </c>
      <c r="R159" t="s">
        <v>1262</v>
      </c>
      <c r="S159" s="6">
        <v>1399.64</v>
      </c>
      <c r="T159" s="6">
        <v>3342.11</v>
      </c>
      <c r="U159" s="6">
        <f t="shared" si="24"/>
        <v>3342.11</v>
      </c>
      <c r="V159" s="8">
        <v>0</v>
      </c>
      <c r="W159" s="6">
        <v>10</v>
      </c>
      <c r="X159" s="6">
        <f t="shared" si="25"/>
        <v>33421.1</v>
      </c>
      <c r="Y159">
        <f t="shared" si="26"/>
        <v>13996.400000000001</v>
      </c>
      <c r="Z159" s="6">
        <f t="shared" si="27"/>
        <v>19424.699999999997</v>
      </c>
      <c r="AA159">
        <f t="shared" si="28"/>
        <v>0.58121067229983447</v>
      </c>
      <c r="AB159" t="str">
        <f t="shared" si="29"/>
        <v>8-2023</v>
      </c>
      <c r="AC159" t="str">
        <f t="shared" si="30"/>
        <v>Q3-2023</v>
      </c>
      <c r="AD159" t="str">
        <f t="shared" si="31"/>
        <v>Africa →South Africa →Durban</v>
      </c>
      <c r="AE159" t="str">
        <f t="shared" si="32"/>
        <v>High</v>
      </c>
      <c r="AF159" t="str">
        <f>TEXT(Table1[[#This Row],[OrderDate]],"MMM")</f>
        <v>Aug</v>
      </c>
      <c r="AG159" t="str">
        <f>TEXT(Table1[[#This Row],[OrderDate]],"YYYY")</f>
        <v>2023</v>
      </c>
      <c r="AI159" s="4">
        <f>IF(Table1[[#This Row],[RequiredDate]]&lt;Table1[[#This Row],[OrderDate]], Table1[[#This Row],[OrderDate]]+7, Table1[[#This Row],[RequiredDate]])</f>
        <v>45189</v>
      </c>
      <c r="AJ159">
        <f>IF(Dashboard!$D$3&gt;'Staging Data'!V159,'Staging Data'!V159,Dashboard!D$3)</f>
        <v>0</v>
      </c>
      <c r="AK159" s="19">
        <f>(100%+Dashboard!$D$4)*'Staging Data'!S159</f>
        <v>1469.6220000000001</v>
      </c>
      <c r="AL159">
        <f>(100%+Dashboard!$D$5)*'Staging Data'!W159</f>
        <v>11.5</v>
      </c>
    </row>
    <row r="160" spans="1:38" x14ac:dyDescent="0.35">
      <c r="A160" s="6" t="s">
        <v>427</v>
      </c>
      <c r="B160" s="4">
        <v>45163</v>
      </c>
      <c r="C160" s="4">
        <v>45185</v>
      </c>
      <c r="D160" s="4">
        <f>IF(Table1[[#This Row],[RequiredDate]]&lt;Table1[[#This Row],[OrderDate]],Table1[[#This Row],[RequiredDate]],Table1[[#This Row],[OrderDate]])</f>
        <v>45163</v>
      </c>
      <c r="E160" s="4">
        <f>IF(Table1[[#This Row],[RequiredDate]]&gt;Table1[[#This Row],[OrderDate]],Table1[[#This Row],[RequiredDate]],Table1[[#This Row],[OrderDate]])</f>
        <v>45185</v>
      </c>
      <c r="F160" s="21">
        <f>Table1[[#This Row],[New RD]]-Table1[[#This Row],[new   od]]</f>
        <v>22</v>
      </c>
      <c r="G160" s="4">
        <f>IF(Table1[[#This Row],[RequiredDate]]&lt;Table1[[#This Row],[OrderDate]], Table1[[#This Row],[OrderDate]]+7, Table1[[#This Row],[RequiredDate]])</f>
        <v>45185</v>
      </c>
      <c r="H160" s="21">
        <f t="shared" si="22"/>
        <v>22</v>
      </c>
      <c r="I160" s="6" t="str">
        <f>IF(Table1[[#This Row],[New LTD]]&lt;=7,"Yes","No")</f>
        <v>No</v>
      </c>
      <c r="J160" s="6" t="str">
        <f t="shared" si="23"/>
        <v>No</v>
      </c>
      <c r="K160" t="s">
        <v>646</v>
      </c>
      <c r="L160" t="s">
        <v>651</v>
      </c>
      <c r="M160" t="s">
        <v>669</v>
      </c>
      <c r="N160" t="s">
        <v>701</v>
      </c>
      <c r="O160" t="s">
        <v>709</v>
      </c>
      <c r="P160" t="s">
        <v>716</v>
      </c>
      <c r="Q160" t="s">
        <v>730</v>
      </c>
      <c r="R160" t="s">
        <v>1146</v>
      </c>
      <c r="S160" s="6">
        <v>1196.83</v>
      </c>
      <c r="T160" s="6">
        <v>2513.5100000000002</v>
      </c>
      <c r="U160" s="6">
        <f t="shared" si="24"/>
        <v>2513.5100000000002</v>
      </c>
      <c r="V160" s="8">
        <v>8.3000000000000004E-2</v>
      </c>
      <c r="W160" s="6">
        <v>7</v>
      </c>
      <c r="X160" s="6">
        <f t="shared" si="25"/>
        <v>16134.22069</v>
      </c>
      <c r="Y160">
        <f t="shared" si="26"/>
        <v>8377.81</v>
      </c>
      <c r="Z160" s="6">
        <f t="shared" si="27"/>
        <v>7756.4106900000006</v>
      </c>
      <c r="AA160">
        <f t="shared" si="28"/>
        <v>0.48074281609445374</v>
      </c>
      <c r="AB160" t="str">
        <f t="shared" si="29"/>
        <v>8-2023</v>
      </c>
      <c r="AC160" t="str">
        <f t="shared" si="30"/>
        <v>Q3-2023</v>
      </c>
      <c r="AD160" t="str">
        <f t="shared" si="31"/>
        <v>Africa →Nigeria →Abuja</v>
      </c>
      <c r="AE160" t="str">
        <f t="shared" si="32"/>
        <v>High</v>
      </c>
      <c r="AF160" t="str">
        <f>TEXT(Table1[[#This Row],[OrderDate]],"MMM")</f>
        <v>Aug</v>
      </c>
      <c r="AG160" t="str">
        <f>TEXT(Table1[[#This Row],[OrderDate]],"YYYY")</f>
        <v>2023</v>
      </c>
      <c r="AI160" s="4">
        <f>IF(Table1[[#This Row],[RequiredDate]]&lt;Table1[[#This Row],[OrderDate]], Table1[[#This Row],[OrderDate]]+7, Table1[[#This Row],[RequiredDate]])</f>
        <v>45185</v>
      </c>
      <c r="AJ160">
        <f>IF(Dashboard!$D$3&gt;'Staging Data'!V160,'Staging Data'!V160,Dashboard!D$3)</f>
        <v>8.3000000000000004E-2</v>
      </c>
      <c r="AK160" s="19">
        <f>(100%+Dashboard!$D$4)*'Staging Data'!S160</f>
        <v>1256.6714999999999</v>
      </c>
      <c r="AL160">
        <f>(100%+Dashboard!$D$5)*'Staging Data'!W160</f>
        <v>8.0499999999999989</v>
      </c>
    </row>
    <row r="161" spans="1:38" x14ac:dyDescent="0.35">
      <c r="A161" s="6" t="s">
        <v>236</v>
      </c>
      <c r="B161" s="4">
        <v>45164</v>
      </c>
      <c r="C161" s="4">
        <v>45179</v>
      </c>
      <c r="D161" s="4">
        <f>IF(Table1[[#This Row],[RequiredDate]]&lt;Table1[[#This Row],[OrderDate]],Table1[[#This Row],[RequiredDate]],Table1[[#This Row],[OrderDate]])</f>
        <v>45164</v>
      </c>
      <c r="E161" s="4">
        <f>IF(Table1[[#This Row],[RequiredDate]]&gt;Table1[[#This Row],[OrderDate]],Table1[[#This Row],[RequiredDate]],Table1[[#This Row],[OrderDate]])</f>
        <v>45179</v>
      </c>
      <c r="F161" s="21">
        <f>Table1[[#This Row],[New RD]]-Table1[[#This Row],[new   od]]</f>
        <v>15</v>
      </c>
      <c r="G161" s="4">
        <f>IF(Table1[[#This Row],[RequiredDate]]&lt;Table1[[#This Row],[OrderDate]], Table1[[#This Row],[OrderDate]]+7, Table1[[#This Row],[RequiredDate]])</f>
        <v>45179</v>
      </c>
      <c r="H161" s="21">
        <f t="shared" si="22"/>
        <v>15</v>
      </c>
      <c r="I161" s="6" t="str">
        <f>IF(Table1[[#This Row],[New LTD]]&lt;=7,"Yes","No")</f>
        <v>No</v>
      </c>
      <c r="J161" s="6" t="str">
        <f t="shared" si="23"/>
        <v>No</v>
      </c>
      <c r="K161" t="s">
        <v>646</v>
      </c>
      <c r="L161" t="s">
        <v>661</v>
      </c>
      <c r="M161" t="s">
        <v>695</v>
      </c>
      <c r="N161" t="s">
        <v>703</v>
      </c>
      <c r="O161" t="s">
        <v>711</v>
      </c>
      <c r="P161" t="s">
        <v>725</v>
      </c>
      <c r="Q161" t="s">
        <v>727</v>
      </c>
      <c r="R161" t="s">
        <v>956</v>
      </c>
      <c r="S161" s="6">
        <v>241.14</v>
      </c>
      <c r="T161" s="6">
        <v>496.52</v>
      </c>
      <c r="U161" s="6">
        <f t="shared" si="24"/>
        <v>496.52</v>
      </c>
      <c r="V161" s="8">
        <v>9.2999999999999999E-2</v>
      </c>
      <c r="W161" s="6">
        <v>10</v>
      </c>
      <c r="X161" s="6">
        <f t="shared" si="25"/>
        <v>4503.4363999999996</v>
      </c>
      <c r="Y161">
        <f t="shared" si="26"/>
        <v>2411.3999999999996</v>
      </c>
      <c r="Z161" s="6">
        <f t="shared" si="27"/>
        <v>2092.0364</v>
      </c>
      <c r="AA161">
        <f t="shared" si="28"/>
        <v>0.46454223268257994</v>
      </c>
      <c r="AB161" t="str">
        <f t="shared" si="29"/>
        <v>8-2023</v>
      </c>
      <c r="AC161" t="str">
        <f t="shared" si="30"/>
        <v>Q3-2023</v>
      </c>
      <c r="AD161" t="str">
        <f t="shared" si="31"/>
        <v>Africa →South Africa →Cape Town</v>
      </c>
      <c r="AE161" t="str">
        <f t="shared" si="32"/>
        <v>Low</v>
      </c>
      <c r="AF161" t="str">
        <f>TEXT(Table1[[#This Row],[OrderDate]],"MMM")</f>
        <v>Aug</v>
      </c>
      <c r="AG161" t="str">
        <f>TEXT(Table1[[#This Row],[OrderDate]],"YYYY")</f>
        <v>2023</v>
      </c>
      <c r="AI161" s="4">
        <f>IF(Table1[[#This Row],[RequiredDate]]&lt;Table1[[#This Row],[OrderDate]], Table1[[#This Row],[OrderDate]]+7, Table1[[#This Row],[RequiredDate]])</f>
        <v>45179</v>
      </c>
      <c r="AJ161">
        <f>IF(Dashboard!$D$3&gt;'Staging Data'!V161,'Staging Data'!V161,Dashboard!D$3)</f>
        <v>9.2999999999999999E-2</v>
      </c>
      <c r="AK161" s="19">
        <f>(100%+Dashboard!$D$4)*'Staging Data'!S161</f>
        <v>253.197</v>
      </c>
      <c r="AL161">
        <f>(100%+Dashboard!$D$5)*'Staging Data'!W161</f>
        <v>11.5</v>
      </c>
    </row>
    <row r="162" spans="1:38" x14ac:dyDescent="0.35">
      <c r="A162" s="6" t="s">
        <v>191</v>
      </c>
      <c r="B162" s="4">
        <v>45165</v>
      </c>
      <c r="C162" s="4">
        <v>45180</v>
      </c>
      <c r="D162" s="4">
        <f>IF(Table1[[#This Row],[RequiredDate]]&lt;Table1[[#This Row],[OrderDate]],Table1[[#This Row],[RequiredDate]],Table1[[#This Row],[OrderDate]])</f>
        <v>45165</v>
      </c>
      <c r="E162" s="4">
        <f>IF(Table1[[#This Row],[RequiredDate]]&gt;Table1[[#This Row],[OrderDate]],Table1[[#This Row],[RequiredDate]],Table1[[#This Row],[OrderDate]])</f>
        <v>45180</v>
      </c>
      <c r="F162" s="21">
        <f>Table1[[#This Row],[New RD]]-Table1[[#This Row],[new   od]]</f>
        <v>15</v>
      </c>
      <c r="G162" s="4">
        <f>IF(Table1[[#This Row],[RequiredDate]]&lt;Table1[[#This Row],[OrderDate]], Table1[[#This Row],[OrderDate]]+7, Table1[[#This Row],[RequiredDate]])</f>
        <v>45180</v>
      </c>
      <c r="H162" s="21">
        <f t="shared" si="22"/>
        <v>15</v>
      </c>
      <c r="I162" s="6" t="str">
        <f>IF(Table1[[#This Row],[New LTD]]&lt;=7,"Yes","No")</f>
        <v>No</v>
      </c>
      <c r="J162" s="6" t="str">
        <f t="shared" si="23"/>
        <v>No</v>
      </c>
      <c r="K162" t="s">
        <v>649</v>
      </c>
      <c r="L162" t="s">
        <v>658</v>
      </c>
      <c r="M162" t="s">
        <v>683</v>
      </c>
      <c r="N162" t="s">
        <v>704</v>
      </c>
      <c r="O162" t="s">
        <v>709</v>
      </c>
      <c r="P162" t="s">
        <v>725</v>
      </c>
      <c r="Q162" t="s">
        <v>728</v>
      </c>
      <c r="R162" t="s">
        <v>910</v>
      </c>
      <c r="S162" s="6">
        <v>943.79</v>
      </c>
      <c r="T162" s="6">
        <v>1913.76</v>
      </c>
      <c r="U162" s="6">
        <f t="shared" si="24"/>
        <v>1913.76</v>
      </c>
      <c r="V162" s="8">
        <v>9.0999999999999998E-2</v>
      </c>
      <c r="W162" s="6">
        <v>9</v>
      </c>
      <c r="X162" s="6">
        <f t="shared" si="25"/>
        <v>15656.47056</v>
      </c>
      <c r="Y162">
        <f t="shared" si="26"/>
        <v>8494.11</v>
      </c>
      <c r="Z162" s="6">
        <f t="shared" si="27"/>
        <v>7162.3605599999992</v>
      </c>
      <c r="AA162">
        <f t="shared" si="28"/>
        <v>0.45746967891338081</v>
      </c>
      <c r="AB162" t="str">
        <f t="shared" si="29"/>
        <v>8-2023</v>
      </c>
      <c r="AC162" t="str">
        <f t="shared" si="30"/>
        <v>Q3-2023</v>
      </c>
      <c r="AD162" t="str">
        <f t="shared" si="31"/>
        <v>Europe →United Kingdom →London</v>
      </c>
      <c r="AE162" t="str">
        <f t="shared" si="32"/>
        <v>High</v>
      </c>
      <c r="AF162" t="str">
        <f>TEXT(Table1[[#This Row],[OrderDate]],"MMM")</f>
        <v>Aug</v>
      </c>
      <c r="AG162" t="str">
        <f>TEXT(Table1[[#This Row],[OrderDate]],"YYYY")</f>
        <v>2023</v>
      </c>
      <c r="AI162" s="4">
        <f>IF(Table1[[#This Row],[RequiredDate]]&lt;Table1[[#This Row],[OrderDate]], Table1[[#This Row],[OrderDate]]+7, Table1[[#This Row],[RequiredDate]])</f>
        <v>45180</v>
      </c>
      <c r="AJ162">
        <f>IF(Dashboard!$D$3&gt;'Staging Data'!V162,'Staging Data'!V162,Dashboard!D$3)</f>
        <v>9.0999999999999998E-2</v>
      </c>
      <c r="AK162" s="19">
        <f>(100%+Dashboard!$D$4)*'Staging Data'!S162</f>
        <v>990.97950000000003</v>
      </c>
      <c r="AL162">
        <f>(100%+Dashboard!$D$5)*'Staging Data'!W162</f>
        <v>10.35</v>
      </c>
    </row>
    <row r="163" spans="1:38" x14ac:dyDescent="0.35">
      <c r="A163" s="6" t="s">
        <v>429</v>
      </c>
      <c r="B163" s="4">
        <v>45167</v>
      </c>
      <c r="C163" s="4">
        <v>45182</v>
      </c>
      <c r="D163" s="4">
        <f>IF(Table1[[#This Row],[RequiredDate]]&lt;Table1[[#This Row],[OrderDate]],Table1[[#This Row],[RequiredDate]],Table1[[#This Row],[OrderDate]])</f>
        <v>45167</v>
      </c>
      <c r="E163" s="4">
        <f>IF(Table1[[#This Row],[RequiredDate]]&gt;Table1[[#This Row],[OrderDate]],Table1[[#This Row],[RequiredDate]],Table1[[#This Row],[OrderDate]])</f>
        <v>45182</v>
      </c>
      <c r="F163" s="21">
        <f>Table1[[#This Row],[New RD]]-Table1[[#This Row],[new   od]]</f>
        <v>15</v>
      </c>
      <c r="G163" s="4">
        <f>IF(Table1[[#This Row],[RequiredDate]]&lt;Table1[[#This Row],[OrderDate]], Table1[[#This Row],[OrderDate]]+7, Table1[[#This Row],[RequiredDate]])</f>
        <v>45182</v>
      </c>
      <c r="H163" s="21">
        <f t="shared" si="22"/>
        <v>15</v>
      </c>
      <c r="I163" s="6" t="str">
        <f>IF(Table1[[#This Row],[New LTD]]&lt;=7,"Yes","No")</f>
        <v>No</v>
      </c>
      <c r="J163" s="6" t="str">
        <f t="shared" si="23"/>
        <v>No</v>
      </c>
      <c r="K163" t="s">
        <v>648</v>
      </c>
      <c r="L163" t="s">
        <v>653</v>
      </c>
      <c r="M163" t="s">
        <v>688</v>
      </c>
      <c r="N163" t="s">
        <v>705</v>
      </c>
      <c r="O163" t="s">
        <v>709</v>
      </c>
      <c r="P163" t="s">
        <v>719</v>
      </c>
      <c r="Q163" t="s">
        <v>728</v>
      </c>
      <c r="R163" t="s">
        <v>1148</v>
      </c>
      <c r="S163" s="6">
        <v>1287.6400000000001</v>
      </c>
      <c r="T163" s="6">
        <v>2717.15</v>
      </c>
      <c r="U163" s="6">
        <f t="shared" si="24"/>
        <v>2717.15</v>
      </c>
      <c r="V163" s="8">
        <v>3.2000000000000001E-2</v>
      </c>
      <c r="W163" s="6">
        <v>7</v>
      </c>
      <c r="X163" s="6">
        <f t="shared" si="25"/>
        <v>18411.4084</v>
      </c>
      <c r="Y163">
        <f t="shared" si="26"/>
        <v>9013.4800000000014</v>
      </c>
      <c r="Z163" s="6">
        <f t="shared" si="27"/>
        <v>9397.9283999999989</v>
      </c>
      <c r="AA163">
        <f t="shared" si="28"/>
        <v>0.51044049405802105</v>
      </c>
      <c r="AB163" t="str">
        <f t="shared" si="29"/>
        <v>8-2023</v>
      </c>
      <c r="AC163" t="str">
        <f t="shared" si="30"/>
        <v>Q3-2023</v>
      </c>
      <c r="AD163" t="str">
        <f t="shared" si="31"/>
        <v>Americas →Canada →Vancouver</v>
      </c>
      <c r="AE163" t="str">
        <f t="shared" si="32"/>
        <v>High</v>
      </c>
      <c r="AF163" t="str">
        <f>TEXT(Table1[[#This Row],[OrderDate]],"MMM")</f>
        <v>Aug</v>
      </c>
      <c r="AG163" t="str">
        <f>TEXT(Table1[[#This Row],[OrderDate]],"YYYY")</f>
        <v>2023</v>
      </c>
      <c r="AI163" s="4">
        <f>IF(Table1[[#This Row],[RequiredDate]]&lt;Table1[[#This Row],[OrderDate]], Table1[[#This Row],[OrderDate]]+7, Table1[[#This Row],[RequiredDate]])</f>
        <v>45182</v>
      </c>
      <c r="AJ163">
        <f>IF(Dashboard!$D$3&gt;'Staging Data'!V163,'Staging Data'!V163,Dashboard!D$3)</f>
        <v>3.2000000000000001E-2</v>
      </c>
      <c r="AK163" s="19">
        <f>(100%+Dashboard!$D$4)*'Staging Data'!S163</f>
        <v>1352.0220000000002</v>
      </c>
      <c r="AL163">
        <f>(100%+Dashboard!$D$5)*'Staging Data'!W163</f>
        <v>8.0499999999999989</v>
      </c>
    </row>
    <row r="164" spans="1:38" x14ac:dyDescent="0.35">
      <c r="A164" s="6" t="s">
        <v>485</v>
      </c>
      <c r="B164" s="4">
        <v>45167</v>
      </c>
      <c r="C164" s="4">
        <v>45188</v>
      </c>
      <c r="D164" s="4">
        <f>IF(Table1[[#This Row],[RequiredDate]]&lt;Table1[[#This Row],[OrderDate]],Table1[[#This Row],[RequiredDate]],Table1[[#This Row],[OrderDate]])</f>
        <v>45167</v>
      </c>
      <c r="E164" s="4">
        <f>IF(Table1[[#This Row],[RequiredDate]]&gt;Table1[[#This Row],[OrderDate]],Table1[[#This Row],[RequiredDate]],Table1[[#This Row],[OrderDate]])</f>
        <v>45188</v>
      </c>
      <c r="F164" s="21">
        <f>Table1[[#This Row],[New RD]]-Table1[[#This Row],[new   od]]</f>
        <v>21</v>
      </c>
      <c r="G164" s="4">
        <f>IF(Table1[[#This Row],[RequiredDate]]&lt;Table1[[#This Row],[OrderDate]], Table1[[#This Row],[OrderDate]]+7, Table1[[#This Row],[RequiredDate]])</f>
        <v>45188</v>
      </c>
      <c r="H164" s="21">
        <f t="shared" si="22"/>
        <v>21</v>
      </c>
      <c r="I164" s="6" t="str">
        <f>IF(Table1[[#This Row],[New LTD]]&lt;=7,"Yes","No")</f>
        <v>No</v>
      </c>
      <c r="J164" s="6" t="str">
        <f t="shared" si="23"/>
        <v>No</v>
      </c>
      <c r="K164" t="s">
        <v>649</v>
      </c>
      <c r="L164" t="s">
        <v>657</v>
      </c>
      <c r="M164" t="s">
        <v>679</v>
      </c>
      <c r="N164" t="s">
        <v>705</v>
      </c>
      <c r="O164" t="s">
        <v>711</v>
      </c>
      <c r="P164" t="s">
        <v>717</v>
      </c>
      <c r="Q164" t="s">
        <v>728</v>
      </c>
      <c r="R164" t="s">
        <v>1204</v>
      </c>
      <c r="S164" s="6">
        <v>784.46</v>
      </c>
      <c r="T164" s="6">
        <v>1843.51</v>
      </c>
      <c r="U164" s="6">
        <f t="shared" si="24"/>
        <v>1843.51</v>
      </c>
      <c r="V164" s="8">
        <v>0.13800000000000001</v>
      </c>
      <c r="W164" s="6">
        <v>23</v>
      </c>
      <c r="X164" s="6">
        <f t="shared" si="25"/>
        <v>36549.429260000004</v>
      </c>
      <c r="Y164">
        <f t="shared" si="26"/>
        <v>18042.580000000002</v>
      </c>
      <c r="Z164" s="6">
        <f t="shared" si="27"/>
        <v>18506.849260000003</v>
      </c>
      <c r="AA164">
        <f t="shared" si="28"/>
        <v>0.50635125184441798</v>
      </c>
      <c r="AB164" t="str">
        <f t="shared" si="29"/>
        <v>8-2023</v>
      </c>
      <c r="AC164" t="str">
        <f t="shared" si="30"/>
        <v>Q3-2023</v>
      </c>
      <c r="AD164" t="str">
        <f t="shared" si="31"/>
        <v>Europe →France →Lyon</v>
      </c>
      <c r="AE164" t="str">
        <f t="shared" si="32"/>
        <v>High</v>
      </c>
      <c r="AF164" t="str">
        <f>TEXT(Table1[[#This Row],[OrderDate]],"MMM")</f>
        <v>Aug</v>
      </c>
      <c r="AG164" t="str">
        <f>TEXT(Table1[[#This Row],[OrderDate]],"YYYY")</f>
        <v>2023</v>
      </c>
      <c r="AI164" s="4">
        <f>IF(Table1[[#This Row],[RequiredDate]]&lt;Table1[[#This Row],[OrderDate]], Table1[[#This Row],[OrderDate]]+7, Table1[[#This Row],[RequiredDate]])</f>
        <v>45188</v>
      </c>
      <c r="AJ164">
        <f>IF(Dashboard!$D$3&gt;'Staging Data'!V164,'Staging Data'!V164,Dashboard!D$3)</f>
        <v>0.13800000000000001</v>
      </c>
      <c r="AK164" s="19">
        <f>(100%+Dashboard!$D$4)*'Staging Data'!S164</f>
        <v>823.68300000000011</v>
      </c>
      <c r="AL164">
        <f>(100%+Dashboard!$D$5)*'Staging Data'!W164</f>
        <v>26.45</v>
      </c>
    </row>
    <row r="165" spans="1:38" x14ac:dyDescent="0.35">
      <c r="A165" s="6" t="s">
        <v>69</v>
      </c>
      <c r="B165" s="4">
        <v>45168</v>
      </c>
      <c r="C165" s="4">
        <v>45170</v>
      </c>
      <c r="D165" s="4">
        <f>IF(Table1[[#This Row],[RequiredDate]]&lt;Table1[[#This Row],[OrderDate]],Table1[[#This Row],[RequiredDate]],Table1[[#This Row],[OrderDate]])</f>
        <v>45168</v>
      </c>
      <c r="E165" s="4">
        <f>IF(Table1[[#This Row],[RequiredDate]]&gt;Table1[[#This Row],[OrderDate]],Table1[[#This Row],[RequiredDate]],Table1[[#This Row],[OrderDate]])</f>
        <v>45170</v>
      </c>
      <c r="F165" s="21">
        <f>Table1[[#This Row],[New RD]]-Table1[[#This Row],[new   od]]</f>
        <v>2</v>
      </c>
      <c r="G165" s="4">
        <f>IF(Table1[[#This Row],[RequiredDate]]&lt;Table1[[#This Row],[OrderDate]], Table1[[#This Row],[OrderDate]]+7, Table1[[#This Row],[RequiredDate]])</f>
        <v>45170</v>
      </c>
      <c r="H165" s="21">
        <f t="shared" si="22"/>
        <v>2</v>
      </c>
      <c r="I165" s="6" t="str">
        <f>IF(Table1[[#This Row],[New LTD]]&lt;=7,"Yes","No")</f>
        <v>Yes</v>
      </c>
      <c r="J165" s="6" t="str">
        <f t="shared" si="23"/>
        <v>No</v>
      </c>
      <c r="K165" t="s">
        <v>649</v>
      </c>
      <c r="L165" t="s">
        <v>656</v>
      </c>
      <c r="M165" t="s">
        <v>684</v>
      </c>
      <c r="N165" t="s">
        <v>701</v>
      </c>
      <c r="O165" t="s">
        <v>711</v>
      </c>
      <c r="P165" t="s">
        <v>725</v>
      </c>
      <c r="Q165" t="s">
        <v>729</v>
      </c>
      <c r="R165" t="s">
        <v>788</v>
      </c>
      <c r="S165" s="6">
        <v>44.42</v>
      </c>
      <c r="T165" s="6">
        <v>41.9</v>
      </c>
      <c r="U165" s="6">
        <f t="shared" si="24"/>
        <v>41.9</v>
      </c>
      <c r="V165" s="8">
        <v>0.14399999999999999</v>
      </c>
      <c r="W165" s="6">
        <v>6</v>
      </c>
      <c r="X165" s="6">
        <f t="shared" si="25"/>
        <v>215.19839999999996</v>
      </c>
      <c r="Y165">
        <f t="shared" si="26"/>
        <v>266.52</v>
      </c>
      <c r="Z165" s="6">
        <f t="shared" si="27"/>
        <v>-51.321600000000018</v>
      </c>
      <c r="AA165">
        <f t="shared" si="28"/>
        <v>-0.23848504449847224</v>
      </c>
      <c r="AB165" t="str">
        <f t="shared" si="29"/>
        <v>8-2023</v>
      </c>
      <c r="AC165" t="str">
        <f t="shared" si="30"/>
        <v>Q3-2023</v>
      </c>
      <c r="AD165" t="str">
        <f t="shared" si="31"/>
        <v>Europe →Germany →Munich</v>
      </c>
      <c r="AE165" t="str">
        <f t="shared" si="32"/>
        <v>Low</v>
      </c>
      <c r="AF165" t="str">
        <f>TEXT(Table1[[#This Row],[OrderDate]],"MMM")</f>
        <v>Aug</v>
      </c>
      <c r="AG165" t="str">
        <f>TEXT(Table1[[#This Row],[OrderDate]],"YYYY")</f>
        <v>2023</v>
      </c>
      <c r="AI165" s="4">
        <f>IF(Table1[[#This Row],[RequiredDate]]&lt;Table1[[#This Row],[OrderDate]], Table1[[#This Row],[OrderDate]]+7, Table1[[#This Row],[RequiredDate]])</f>
        <v>45170</v>
      </c>
      <c r="AJ165">
        <f>IF(Dashboard!$D$3&gt;'Staging Data'!V165,'Staging Data'!V165,Dashboard!D$3)</f>
        <v>0.14399999999999999</v>
      </c>
      <c r="AK165" s="19">
        <f>(100%+Dashboard!$D$4)*'Staging Data'!S165</f>
        <v>46.641000000000005</v>
      </c>
      <c r="AL165">
        <f>(100%+Dashboard!$D$5)*'Staging Data'!W165</f>
        <v>6.8999999999999995</v>
      </c>
    </row>
    <row r="166" spans="1:38" x14ac:dyDescent="0.35">
      <c r="A166" s="6" t="s">
        <v>346</v>
      </c>
      <c r="B166" s="4">
        <v>45168</v>
      </c>
      <c r="C166" s="4">
        <v>45172</v>
      </c>
      <c r="D166" s="4">
        <f>IF(Table1[[#This Row],[RequiredDate]]&lt;Table1[[#This Row],[OrderDate]],Table1[[#This Row],[RequiredDate]],Table1[[#This Row],[OrderDate]])</f>
        <v>45168</v>
      </c>
      <c r="E166" s="4">
        <f>IF(Table1[[#This Row],[RequiredDate]]&gt;Table1[[#This Row],[OrderDate]],Table1[[#This Row],[RequiredDate]],Table1[[#This Row],[OrderDate]])</f>
        <v>45172</v>
      </c>
      <c r="F166" s="21">
        <f>Table1[[#This Row],[New RD]]-Table1[[#This Row],[new   od]]</f>
        <v>4</v>
      </c>
      <c r="G166" s="4">
        <f>IF(Table1[[#This Row],[RequiredDate]]&lt;Table1[[#This Row],[OrderDate]], Table1[[#This Row],[OrderDate]]+7, Table1[[#This Row],[RequiredDate]])</f>
        <v>45172</v>
      </c>
      <c r="H166" s="21">
        <f t="shared" si="22"/>
        <v>4</v>
      </c>
      <c r="I166" s="6" t="str">
        <f>IF(Table1[[#This Row],[New LTD]]&lt;=7,"Yes","No")</f>
        <v>Yes</v>
      </c>
      <c r="J166" s="6" t="str">
        <f t="shared" si="23"/>
        <v>Yes</v>
      </c>
      <c r="K166" t="s">
        <v>647</v>
      </c>
      <c r="L166" t="s">
        <v>654</v>
      </c>
      <c r="M166" t="s">
        <v>680</v>
      </c>
      <c r="N166" t="s">
        <v>705</v>
      </c>
      <c r="O166" t="s">
        <v>709</v>
      </c>
      <c r="P166" t="s">
        <v>716</v>
      </c>
      <c r="Q166" t="s">
        <v>733</v>
      </c>
      <c r="R166" t="s">
        <v>1066</v>
      </c>
      <c r="S166" s="6">
        <v>1082.25</v>
      </c>
      <c r="T166" s="6">
        <v>2433.34</v>
      </c>
      <c r="U166" s="6">
        <f t="shared" si="24"/>
        <v>2433.34</v>
      </c>
      <c r="V166" s="8">
        <v>0.27</v>
      </c>
      <c r="W166" s="6">
        <v>4</v>
      </c>
      <c r="X166" s="6">
        <f t="shared" si="25"/>
        <v>7105.3528000000006</v>
      </c>
      <c r="Y166">
        <f t="shared" si="26"/>
        <v>4329</v>
      </c>
      <c r="Z166" s="6">
        <f t="shared" si="27"/>
        <v>2776.3528000000006</v>
      </c>
      <c r="AA166">
        <f t="shared" si="28"/>
        <v>0.3907410199251472</v>
      </c>
      <c r="AB166" t="str">
        <f t="shared" si="29"/>
        <v>8-2023</v>
      </c>
      <c r="AC166" t="str">
        <f t="shared" si="30"/>
        <v>Q3-2023</v>
      </c>
      <c r="AD166" t="str">
        <f t="shared" si="31"/>
        <v>Asia →India →Delhi</v>
      </c>
      <c r="AE166" t="str">
        <f t="shared" si="32"/>
        <v>High</v>
      </c>
      <c r="AF166" t="str">
        <f>TEXT(Table1[[#This Row],[OrderDate]],"MMM")</f>
        <v>Aug</v>
      </c>
      <c r="AG166" t="str">
        <f>TEXT(Table1[[#This Row],[OrderDate]],"YYYY")</f>
        <v>2023</v>
      </c>
      <c r="AI166" s="4">
        <f>IF(Table1[[#This Row],[RequiredDate]]&lt;Table1[[#This Row],[OrderDate]], Table1[[#This Row],[OrderDate]]+7, Table1[[#This Row],[RequiredDate]])</f>
        <v>45172</v>
      </c>
      <c r="AJ166">
        <f>IF(Dashboard!$D$3&gt;'Staging Data'!V166,'Staging Data'!V166,Dashboard!D$3)</f>
        <v>0.2</v>
      </c>
      <c r="AK166" s="19">
        <f>(100%+Dashboard!$D$4)*'Staging Data'!S166</f>
        <v>1136.3625</v>
      </c>
      <c r="AL166">
        <f>(100%+Dashboard!$D$5)*'Staging Data'!W166</f>
        <v>4.5999999999999996</v>
      </c>
    </row>
    <row r="167" spans="1:38" x14ac:dyDescent="0.35">
      <c r="A167" s="6" t="s">
        <v>561</v>
      </c>
      <c r="B167" s="4">
        <v>45177</v>
      </c>
      <c r="C167" s="4">
        <v>45201</v>
      </c>
      <c r="D167" s="4">
        <f>IF(Table1[[#This Row],[RequiredDate]]&lt;Table1[[#This Row],[OrderDate]],Table1[[#This Row],[RequiredDate]],Table1[[#This Row],[OrderDate]])</f>
        <v>45177</v>
      </c>
      <c r="E167" s="4">
        <f>IF(Table1[[#This Row],[RequiredDate]]&gt;Table1[[#This Row],[OrderDate]],Table1[[#This Row],[RequiredDate]],Table1[[#This Row],[OrderDate]])</f>
        <v>45201</v>
      </c>
      <c r="F167" s="21">
        <f>Table1[[#This Row],[New RD]]-Table1[[#This Row],[new   od]]</f>
        <v>24</v>
      </c>
      <c r="G167" s="4">
        <f>IF(Table1[[#This Row],[RequiredDate]]&lt;Table1[[#This Row],[OrderDate]], Table1[[#This Row],[OrderDate]]+7, Table1[[#This Row],[RequiredDate]])</f>
        <v>45201</v>
      </c>
      <c r="H167" s="21">
        <f t="shared" si="22"/>
        <v>24</v>
      </c>
      <c r="I167" s="6" t="str">
        <f>IF(Table1[[#This Row],[New LTD]]&lt;=7,"Yes","No")</f>
        <v>No</v>
      </c>
      <c r="J167" s="6" t="str">
        <f t="shared" si="23"/>
        <v>Yes</v>
      </c>
      <c r="K167" t="s">
        <v>648</v>
      </c>
      <c r="L167" t="s">
        <v>653</v>
      </c>
      <c r="M167" t="s">
        <v>667</v>
      </c>
      <c r="N167" t="s">
        <v>702</v>
      </c>
      <c r="O167" t="s">
        <v>711</v>
      </c>
      <c r="P167" t="s">
        <v>720</v>
      </c>
      <c r="Q167" t="s">
        <v>733</v>
      </c>
      <c r="R167" t="s">
        <v>1279</v>
      </c>
      <c r="S167" s="6">
        <v>1299.03</v>
      </c>
      <c r="T167" s="6">
        <v>2451.2199999999998</v>
      </c>
      <c r="U167" s="6">
        <f t="shared" si="24"/>
        <v>2451.2199999999998</v>
      </c>
      <c r="V167" s="8">
        <v>0.20799999999999999</v>
      </c>
      <c r="W167" s="6">
        <v>8</v>
      </c>
      <c r="X167" s="6">
        <f t="shared" si="25"/>
        <v>15530.929919999999</v>
      </c>
      <c r="Y167">
        <f t="shared" si="26"/>
        <v>10392.24</v>
      </c>
      <c r="Z167" s="6">
        <f t="shared" si="27"/>
        <v>5138.6899199999989</v>
      </c>
      <c r="AA167">
        <f t="shared" si="28"/>
        <v>0.3308681416032041</v>
      </c>
      <c r="AB167" t="str">
        <f t="shared" si="29"/>
        <v>9-2023</v>
      </c>
      <c r="AC167" t="str">
        <f t="shared" si="30"/>
        <v>Q3-2023</v>
      </c>
      <c r="AD167" t="str">
        <f t="shared" si="31"/>
        <v>Americas →Canada →Toronto</v>
      </c>
      <c r="AE167" t="str">
        <f t="shared" si="32"/>
        <v>High</v>
      </c>
      <c r="AF167" t="str">
        <f>TEXT(Table1[[#This Row],[OrderDate]],"MMM")</f>
        <v>Sep</v>
      </c>
      <c r="AG167" t="str">
        <f>TEXT(Table1[[#This Row],[OrderDate]],"YYYY")</f>
        <v>2023</v>
      </c>
      <c r="AI167" s="4">
        <f>IF(Table1[[#This Row],[RequiredDate]]&lt;Table1[[#This Row],[OrderDate]], Table1[[#This Row],[OrderDate]]+7, Table1[[#This Row],[RequiredDate]])</f>
        <v>45201</v>
      </c>
      <c r="AJ167">
        <f>IF(Dashboard!$D$3&gt;'Staging Data'!V167,'Staging Data'!V167,Dashboard!D$3)</f>
        <v>0.2</v>
      </c>
      <c r="AK167" s="19">
        <f>(100%+Dashboard!$D$4)*'Staging Data'!S167</f>
        <v>1363.9815000000001</v>
      </c>
      <c r="AL167">
        <f>(100%+Dashboard!$D$5)*'Staging Data'!W167</f>
        <v>9.1999999999999993</v>
      </c>
    </row>
    <row r="168" spans="1:38" x14ac:dyDescent="0.35">
      <c r="A168" s="6" t="s">
        <v>634</v>
      </c>
      <c r="B168" s="4">
        <v>45177</v>
      </c>
      <c r="C168" s="4">
        <v>45183</v>
      </c>
      <c r="D168" s="4">
        <f>IF(Table1[[#This Row],[RequiredDate]]&lt;Table1[[#This Row],[OrderDate]],Table1[[#This Row],[RequiredDate]],Table1[[#This Row],[OrderDate]])</f>
        <v>45177</v>
      </c>
      <c r="E168" s="4">
        <f>IF(Table1[[#This Row],[RequiredDate]]&gt;Table1[[#This Row],[OrderDate]],Table1[[#This Row],[RequiredDate]],Table1[[#This Row],[OrderDate]])</f>
        <v>45183</v>
      </c>
      <c r="F168" s="21">
        <f>Table1[[#This Row],[New RD]]-Table1[[#This Row],[new   od]]</f>
        <v>6</v>
      </c>
      <c r="G168" s="4">
        <f>IF(Table1[[#This Row],[RequiredDate]]&lt;Table1[[#This Row],[OrderDate]], Table1[[#This Row],[OrderDate]]+7, Table1[[#This Row],[RequiredDate]])</f>
        <v>45183</v>
      </c>
      <c r="H168" s="21">
        <f t="shared" si="22"/>
        <v>6</v>
      </c>
      <c r="I168" s="6" t="str">
        <f>IF(Table1[[#This Row],[New LTD]]&lt;=7,"Yes","No")</f>
        <v>Yes</v>
      </c>
      <c r="J168" s="6" t="str">
        <f t="shared" si="23"/>
        <v>No</v>
      </c>
      <c r="K168" t="s">
        <v>646</v>
      </c>
      <c r="L168" t="s">
        <v>650</v>
      </c>
      <c r="M168" t="s">
        <v>678</v>
      </c>
      <c r="N168" t="s">
        <v>702</v>
      </c>
      <c r="O168" t="s">
        <v>711</v>
      </c>
      <c r="P168" t="s">
        <v>714</v>
      </c>
      <c r="Q168" t="s">
        <v>733</v>
      </c>
      <c r="R168" t="s">
        <v>1352</v>
      </c>
      <c r="S168" s="6">
        <v>251.03</v>
      </c>
      <c r="T168" s="6">
        <v>411.48</v>
      </c>
      <c r="U168" s="6">
        <f t="shared" si="24"/>
        <v>411.48</v>
      </c>
      <c r="V168" s="8">
        <v>0.16500000000000001</v>
      </c>
      <c r="W168" s="6">
        <v>3</v>
      </c>
      <c r="X168" s="6">
        <f t="shared" si="25"/>
        <v>1030.7574</v>
      </c>
      <c r="Y168">
        <f t="shared" si="26"/>
        <v>753.09</v>
      </c>
      <c r="Z168" s="6">
        <f t="shared" si="27"/>
        <v>277.66739999999993</v>
      </c>
      <c r="AA168">
        <f t="shared" si="28"/>
        <v>0.26938191275658069</v>
      </c>
      <c r="AB168" t="str">
        <f t="shared" si="29"/>
        <v>9-2023</v>
      </c>
      <c r="AC168" t="str">
        <f t="shared" si="30"/>
        <v>Q3-2023</v>
      </c>
      <c r="AD168" t="str">
        <f t="shared" si="31"/>
        <v>Africa →Kenya →Nakuru</v>
      </c>
      <c r="AE168" t="str">
        <f t="shared" si="32"/>
        <v>Low</v>
      </c>
      <c r="AF168" t="str">
        <f>TEXT(Table1[[#This Row],[OrderDate]],"MMM")</f>
        <v>Sep</v>
      </c>
      <c r="AG168" t="str">
        <f>TEXT(Table1[[#This Row],[OrderDate]],"YYYY")</f>
        <v>2023</v>
      </c>
      <c r="AI168" s="4">
        <f>IF(Table1[[#This Row],[RequiredDate]]&lt;Table1[[#This Row],[OrderDate]], Table1[[#This Row],[OrderDate]]+7, Table1[[#This Row],[RequiredDate]])</f>
        <v>45183</v>
      </c>
      <c r="AJ168">
        <f>IF(Dashboard!$D$3&gt;'Staging Data'!V168,'Staging Data'!V168,Dashboard!D$3)</f>
        <v>0.16500000000000001</v>
      </c>
      <c r="AK168" s="19">
        <f>(100%+Dashboard!$D$4)*'Staging Data'!S168</f>
        <v>263.58150000000001</v>
      </c>
      <c r="AL168">
        <f>(100%+Dashboard!$D$5)*'Staging Data'!W168</f>
        <v>3.4499999999999997</v>
      </c>
    </row>
    <row r="169" spans="1:38" x14ac:dyDescent="0.35">
      <c r="A169" s="6" t="s">
        <v>163</v>
      </c>
      <c r="B169" s="4">
        <v>45183</v>
      </c>
      <c r="C169" s="4">
        <v>45185</v>
      </c>
      <c r="D169" s="4">
        <f>IF(Table1[[#This Row],[RequiredDate]]&lt;Table1[[#This Row],[OrderDate]],Table1[[#This Row],[RequiredDate]],Table1[[#This Row],[OrderDate]])</f>
        <v>45183</v>
      </c>
      <c r="E169" s="4">
        <f>IF(Table1[[#This Row],[RequiredDate]]&gt;Table1[[#This Row],[OrderDate]],Table1[[#This Row],[RequiredDate]],Table1[[#This Row],[OrderDate]])</f>
        <v>45185</v>
      </c>
      <c r="F169" s="21">
        <f>Table1[[#This Row],[New RD]]-Table1[[#This Row],[new   od]]</f>
        <v>2</v>
      </c>
      <c r="G169" s="4">
        <f>IF(Table1[[#This Row],[RequiredDate]]&lt;Table1[[#This Row],[OrderDate]], Table1[[#This Row],[OrderDate]]+7, Table1[[#This Row],[RequiredDate]])</f>
        <v>45185</v>
      </c>
      <c r="H169" s="21">
        <f t="shared" si="22"/>
        <v>2</v>
      </c>
      <c r="I169" s="6" t="str">
        <f>IF(Table1[[#This Row],[New LTD]]&lt;=7,"Yes","No")</f>
        <v>Yes</v>
      </c>
      <c r="J169" s="6" t="str">
        <f t="shared" si="23"/>
        <v>No</v>
      </c>
      <c r="K169" t="s">
        <v>649</v>
      </c>
      <c r="L169" t="s">
        <v>657</v>
      </c>
      <c r="M169" t="s">
        <v>679</v>
      </c>
      <c r="N169" t="s">
        <v>703</v>
      </c>
      <c r="O169" t="s">
        <v>711</v>
      </c>
      <c r="P169" t="s">
        <v>717</v>
      </c>
      <c r="Q169" t="s">
        <v>728</v>
      </c>
      <c r="R169" t="s">
        <v>882</v>
      </c>
      <c r="S169" s="6">
        <v>376.83</v>
      </c>
      <c r="T169" s="6">
        <v>732.88</v>
      </c>
      <c r="U169" s="6">
        <f t="shared" si="24"/>
        <v>732.88</v>
      </c>
      <c r="V169" s="8">
        <v>0.188</v>
      </c>
      <c r="W169" s="6">
        <v>25</v>
      </c>
      <c r="X169" s="6">
        <f t="shared" si="25"/>
        <v>14877.464000000002</v>
      </c>
      <c r="Y169">
        <f t="shared" si="26"/>
        <v>9420.75</v>
      </c>
      <c r="Z169" s="6">
        <f t="shared" si="27"/>
        <v>5456.7140000000018</v>
      </c>
      <c r="AA169">
        <f t="shared" si="28"/>
        <v>0.36677716040852132</v>
      </c>
      <c r="AB169" t="str">
        <f t="shared" si="29"/>
        <v>9-2023</v>
      </c>
      <c r="AC169" t="str">
        <f t="shared" si="30"/>
        <v>Q3-2023</v>
      </c>
      <c r="AD169" t="str">
        <f t="shared" si="31"/>
        <v>Europe →France →Lyon</v>
      </c>
      <c r="AE169" t="str">
        <f t="shared" si="32"/>
        <v>Low</v>
      </c>
      <c r="AF169" t="str">
        <f>TEXT(Table1[[#This Row],[OrderDate]],"MMM")</f>
        <v>Sep</v>
      </c>
      <c r="AG169" t="str">
        <f>TEXT(Table1[[#This Row],[OrderDate]],"YYYY")</f>
        <v>2023</v>
      </c>
      <c r="AI169" s="4">
        <f>IF(Table1[[#This Row],[RequiredDate]]&lt;Table1[[#This Row],[OrderDate]], Table1[[#This Row],[OrderDate]]+7, Table1[[#This Row],[RequiredDate]])</f>
        <v>45185</v>
      </c>
      <c r="AJ169">
        <f>IF(Dashboard!$D$3&gt;'Staging Data'!V169,'Staging Data'!V169,Dashboard!D$3)</f>
        <v>0.188</v>
      </c>
      <c r="AK169" s="19">
        <f>(100%+Dashboard!$D$4)*'Staging Data'!S169</f>
        <v>395.67149999999998</v>
      </c>
      <c r="AL169">
        <f>(100%+Dashboard!$D$5)*'Staging Data'!W169</f>
        <v>28.749999999999996</v>
      </c>
    </row>
    <row r="170" spans="1:38" x14ac:dyDescent="0.35">
      <c r="A170" s="6" t="s">
        <v>619</v>
      </c>
      <c r="B170" s="4">
        <v>45186</v>
      </c>
      <c r="C170" s="4">
        <v>45201</v>
      </c>
      <c r="D170" s="4">
        <f>IF(Table1[[#This Row],[RequiredDate]]&lt;Table1[[#This Row],[OrderDate]],Table1[[#This Row],[RequiredDate]],Table1[[#This Row],[OrderDate]])</f>
        <v>45186</v>
      </c>
      <c r="E170" s="4">
        <f>IF(Table1[[#This Row],[RequiredDate]]&gt;Table1[[#This Row],[OrderDate]],Table1[[#This Row],[RequiredDate]],Table1[[#This Row],[OrderDate]])</f>
        <v>45201</v>
      </c>
      <c r="F170" s="21">
        <f>Table1[[#This Row],[New RD]]-Table1[[#This Row],[new   od]]</f>
        <v>15</v>
      </c>
      <c r="G170" s="4">
        <f>IF(Table1[[#This Row],[RequiredDate]]&lt;Table1[[#This Row],[OrderDate]], Table1[[#This Row],[OrderDate]]+7, Table1[[#This Row],[RequiredDate]])</f>
        <v>45201</v>
      </c>
      <c r="H170" s="21">
        <f t="shared" si="22"/>
        <v>15</v>
      </c>
      <c r="I170" s="6" t="str">
        <f>IF(Table1[[#This Row],[New LTD]]&lt;=7,"Yes","No")</f>
        <v>No</v>
      </c>
      <c r="J170" s="6" t="str">
        <f t="shared" si="23"/>
        <v>No</v>
      </c>
      <c r="K170" t="s">
        <v>648</v>
      </c>
      <c r="L170" t="s">
        <v>655</v>
      </c>
      <c r="M170" t="s">
        <v>692</v>
      </c>
      <c r="N170" t="s">
        <v>705</v>
      </c>
      <c r="O170" t="s">
        <v>707</v>
      </c>
      <c r="P170" t="s">
        <v>717</v>
      </c>
      <c r="Q170" t="s">
        <v>731</v>
      </c>
      <c r="R170" t="s">
        <v>1337</v>
      </c>
      <c r="S170" s="6">
        <v>689.33</v>
      </c>
      <c r="T170" s="6">
        <v>668.27</v>
      </c>
      <c r="U170" s="6">
        <f t="shared" si="24"/>
        <v>668.27</v>
      </c>
      <c r="V170" s="8">
        <v>0.186</v>
      </c>
      <c r="W170" s="6">
        <v>13</v>
      </c>
      <c r="X170" s="6">
        <f t="shared" si="25"/>
        <v>7071.6331400000008</v>
      </c>
      <c r="Y170">
        <f t="shared" si="26"/>
        <v>8961.2900000000009</v>
      </c>
      <c r="Z170" s="6">
        <f t="shared" si="27"/>
        <v>-1889.6568600000001</v>
      </c>
      <c r="AA170">
        <f t="shared" si="28"/>
        <v>-0.26721647214861033</v>
      </c>
      <c r="AB170" t="str">
        <f t="shared" si="29"/>
        <v>9-2023</v>
      </c>
      <c r="AC170" t="str">
        <f t="shared" si="30"/>
        <v>Q3-2023</v>
      </c>
      <c r="AD170" t="str">
        <f t="shared" si="31"/>
        <v>Americas →Brazil →Rio de Janeiro</v>
      </c>
      <c r="AE170" t="str">
        <f t="shared" si="32"/>
        <v>Low</v>
      </c>
      <c r="AF170" t="str">
        <f>TEXT(Table1[[#This Row],[OrderDate]],"MMM")</f>
        <v>Sep</v>
      </c>
      <c r="AG170" t="str">
        <f>TEXT(Table1[[#This Row],[OrderDate]],"YYYY")</f>
        <v>2023</v>
      </c>
      <c r="AI170" s="4">
        <f>IF(Table1[[#This Row],[RequiredDate]]&lt;Table1[[#This Row],[OrderDate]], Table1[[#This Row],[OrderDate]]+7, Table1[[#This Row],[RequiredDate]])</f>
        <v>45201</v>
      </c>
      <c r="AJ170">
        <f>IF(Dashboard!$D$3&gt;'Staging Data'!V170,'Staging Data'!V170,Dashboard!D$3)</f>
        <v>0.186</v>
      </c>
      <c r="AK170" s="19">
        <f>(100%+Dashboard!$D$4)*'Staging Data'!S170</f>
        <v>723.79650000000004</v>
      </c>
      <c r="AL170">
        <f>(100%+Dashboard!$D$5)*'Staging Data'!W170</f>
        <v>14.95</v>
      </c>
    </row>
    <row r="171" spans="1:38" x14ac:dyDescent="0.35">
      <c r="A171" s="6" t="s">
        <v>90</v>
      </c>
      <c r="B171" s="4">
        <v>45187</v>
      </c>
      <c r="C171" s="4">
        <v>45207</v>
      </c>
      <c r="D171" s="4">
        <f>IF(Table1[[#This Row],[RequiredDate]]&lt;Table1[[#This Row],[OrderDate]],Table1[[#This Row],[RequiredDate]],Table1[[#This Row],[OrderDate]])</f>
        <v>45187</v>
      </c>
      <c r="E171" s="4">
        <f>IF(Table1[[#This Row],[RequiredDate]]&gt;Table1[[#This Row],[OrderDate]],Table1[[#This Row],[RequiredDate]],Table1[[#This Row],[OrderDate]])</f>
        <v>45207</v>
      </c>
      <c r="F171" s="21">
        <f>Table1[[#This Row],[New RD]]-Table1[[#This Row],[new   od]]</f>
        <v>20</v>
      </c>
      <c r="G171" s="4">
        <f>IF(Table1[[#This Row],[RequiredDate]]&lt;Table1[[#This Row],[OrderDate]], Table1[[#This Row],[OrderDate]]+7, Table1[[#This Row],[RequiredDate]])</f>
        <v>45207</v>
      </c>
      <c r="H171" s="21">
        <f t="shared" si="22"/>
        <v>20</v>
      </c>
      <c r="I171" s="6" t="str">
        <f>IF(Table1[[#This Row],[New LTD]]&lt;=7,"Yes","No")</f>
        <v>No</v>
      </c>
      <c r="J171" s="6" t="str">
        <f t="shared" si="23"/>
        <v>No</v>
      </c>
      <c r="K171" t="s">
        <v>647</v>
      </c>
      <c r="L171" t="s">
        <v>654</v>
      </c>
      <c r="M171" t="s">
        <v>680</v>
      </c>
      <c r="N171" t="s">
        <v>705</v>
      </c>
      <c r="O171" t="s">
        <v>711</v>
      </c>
      <c r="P171" t="s">
        <v>717</v>
      </c>
      <c r="Q171" t="s">
        <v>727</v>
      </c>
      <c r="R171" t="s">
        <v>809</v>
      </c>
      <c r="S171" s="6">
        <v>825.64</v>
      </c>
      <c r="T171" s="6">
        <v>1108.43</v>
      </c>
      <c r="U171" s="6">
        <f t="shared" si="24"/>
        <v>1108.43</v>
      </c>
      <c r="V171" s="8">
        <v>0.114</v>
      </c>
      <c r="W171" s="6">
        <v>7</v>
      </c>
      <c r="X171" s="6">
        <f t="shared" si="25"/>
        <v>6874.4828600000001</v>
      </c>
      <c r="Y171">
        <f t="shared" si="26"/>
        <v>5779.48</v>
      </c>
      <c r="Z171" s="6">
        <f t="shared" si="27"/>
        <v>1095.0028600000005</v>
      </c>
      <c r="AA171">
        <f t="shared" si="28"/>
        <v>0.15928512475773349</v>
      </c>
      <c r="AB171" t="str">
        <f t="shared" si="29"/>
        <v>9-2023</v>
      </c>
      <c r="AC171" t="str">
        <f t="shared" si="30"/>
        <v>Q3-2023</v>
      </c>
      <c r="AD171" t="str">
        <f t="shared" si="31"/>
        <v>Asia →India →Delhi</v>
      </c>
      <c r="AE171" t="str">
        <f t="shared" si="32"/>
        <v>Medium</v>
      </c>
      <c r="AF171" t="str">
        <f>TEXT(Table1[[#This Row],[OrderDate]],"MMM")</f>
        <v>Sep</v>
      </c>
      <c r="AG171" t="str">
        <f>TEXT(Table1[[#This Row],[OrderDate]],"YYYY")</f>
        <v>2023</v>
      </c>
      <c r="AI171" s="4">
        <f>IF(Table1[[#This Row],[RequiredDate]]&lt;Table1[[#This Row],[OrderDate]], Table1[[#This Row],[OrderDate]]+7, Table1[[#This Row],[RequiredDate]])</f>
        <v>45207</v>
      </c>
      <c r="AJ171">
        <f>IF(Dashboard!$D$3&gt;'Staging Data'!V171,'Staging Data'!V171,Dashboard!D$3)</f>
        <v>0.114</v>
      </c>
      <c r="AK171" s="19">
        <f>(100%+Dashboard!$D$4)*'Staging Data'!S171</f>
        <v>866.92200000000003</v>
      </c>
      <c r="AL171">
        <f>(100%+Dashboard!$D$5)*'Staging Data'!W171</f>
        <v>8.0499999999999989</v>
      </c>
    </row>
    <row r="172" spans="1:38" x14ac:dyDescent="0.35">
      <c r="A172" s="6" t="s">
        <v>254</v>
      </c>
      <c r="B172" s="4">
        <v>45188</v>
      </c>
      <c r="C172" s="4">
        <v>45207</v>
      </c>
      <c r="D172" s="4">
        <f>IF(Table1[[#This Row],[RequiredDate]]&lt;Table1[[#This Row],[OrderDate]],Table1[[#This Row],[RequiredDate]],Table1[[#This Row],[OrderDate]])</f>
        <v>45188</v>
      </c>
      <c r="E172" s="4">
        <f>IF(Table1[[#This Row],[RequiredDate]]&gt;Table1[[#This Row],[OrderDate]],Table1[[#This Row],[RequiredDate]],Table1[[#This Row],[OrderDate]])</f>
        <v>45207</v>
      </c>
      <c r="F172" s="21">
        <f>Table1[[#This Row],[New RD]]-Table1[[#This Row],[new   od]]</f>
        <v>19</v>
      </c>
      <c r="G172" s="4">
        <f>IF(Table1[[#This Row],[RequiredDate]]&lt;Table1[[#This Row],[OrderDate]], Table1[[#This Row],[OrderDate]]+7, Table1[[#This Row],[RequiredDate]])</f>
        <v>45207</v>
      </c>
      <c r="H172" s="21">
        <f t="shared" si="22"/>
        <v>19</v>
      </c>
      <c r="I172" s="6" t="str">
        <f>IF(Table1[[#This Row],[New LTD]]&lt;=7,"Yes","No")</f>
        <v>No</v>
      </c>
      <c r="J172" s="6" t="str">
        <f t="shared" si="23"/>
        <v>No</v>
      </c>
      <c r="K172" t="s">
        <v>647</v>
      </c>
      <c r="L172" t="s">
        <v>654</v>
      </c>
      <c r="M172" t="s">
        <v>668</v>
      </c>
      <c r="N172" t="s">
        <v>702</v>
      </c>
      <c r="O172" t="s">
        <v>711</v>
      </c>
      <c r="P172" t="s">
        <v>713</v>
      </c>
      <c r="Q172" t="s">
        <v>728</v>
      </c>
      <c r="R172" t="s">
        <v>974</v>
      </c>
      <c r="S172" s="6">
        <v>385.32</v>
      </c>
      <c r="T172" s="6">
        <v>606.76</v>
      </c>
      <c r="U172" s="6">
        <f t="shared" si="24"/>
        <v>606.76</v>
      </c>
      <c r="V172" s="8">
        <v>8.5999999999999993E-2</v>
      </c>
      <c r="W172" s="6">
        <v>8</v>
      </c>
      <c r="X172" s="6">
        <f t="shared" si="25"/>
        <v>4436.6291200000005</v>
      </c>
      <c r="Y172">
        <f t="shared" si="26"/>
        <v>3082.56</v>
      </c>
      <c r="Z172" s="6">
        <f t="shared" si="27"/>
        <v>1354.0691200000006</v>
      </c>
      <c r="AA172">
        <f t="shared" si="28"/>
        <v>0.30520223425842735</v>
      </c>
      <c r="AB172" t="str">
        <f t="shared" si="29"/>
        <v>9-2023</v>
      </c>
      <c r="AC172" t="str">
        <f t="shared" si="30"/>
        <v>Q3-2023</v>
      </c>
      <c r="AD172" t="str">
        <f t="shared" si="31"/>
        <v>Asia →India →Bengaluru</v>
      </c>
      <c r="AE172" t="str">
        <f t="shared" si="32"/>
        <v>Low</v>
      </c>
      <c r="AF172" t="str">
        <f>TEXT(Table1[[#This Row],[OrderDate]],"MMM")</f>
        <v>Sep</v>
      </c>
      <c r="AG172" t="str">
        <f>TEXT(Table1[[#This Row],[OrderDate]],"YYYY")</f>
        <v>2023</v>
      </c>
      <c r="AI172" s="4">
        <f>IF(Table1[[#This Row],[RequiredDate]]&lt;Table1[[#This Row],[OrderDate]], Table1[[#This Row],[OrderDate]]+7, Table1[[#This Row],[RequiredDate]])</f>
        <v>45207</v>
      </c>
      <c r="AJ172">
        <f>IF(Dashboard!$D$3&gt;'Staging Data'!V172,'Staging Data'!V172,Dashboard!D$3)</f>
        <v>8.5999999999999993E-2</v>
      </c>
      <c r="AK172" s="19">
        <f>(100%+Dashboard!$D$4)*'Staging Data'!S172</f>
        <v>404.58600000000001</v>
      </c>
      <c r="AL172">
        <f>(100%+Dashboard!$D$5)*'Staging Data'!W172</f>
        <v>9.1999999999999993</v>
      </c>
    </row>
    <row r="173" spans="1:38" x14ac:dyDescent="0.35">
      <c r="A173" s="6" t="s">
        <v>456</v>
      </c>
      <c r="B173" s="4">
        <v>45189</v>
      </c>
      <c r="C173" s="4">
        <v>45197</v>
      </c>
      <c r="D173" s="4">
        <f>IF(Table1[[#This Row],[RequiredDate]]&lt;Table1[[#This Row],[OrderDate]],Table1[[#This Row],[RequiredDate]],Table1[[#This Row],[OrderDate]])</f>
        <v>45189</v>
      </c>
      <c r="E173" s="4">
        <f>IF(Table1[[#This Row],[RequiredDate]]&gt;Table1[[#This Row],[OrderDate]],Table1[[#This Row],[RequiredDate]],Table1[[#This Row],[OrderDate]])</f>
        <v>45197</v>
      </c>
      <c r="F173" s="21">
        <f>Table1[[#This Row],[New RD]]-Table1[[#This Row],[new   od]]</f>
        <v>8</v>
      </c>
      <c r="G173" s="4">
        <f>IF(Table1[[#This Row],[RequiredDate]]&lt;Table1[[#This Row],[OrderDate]], Table1[[#This Row],[OrderDate]]+7, Table1[[#This Row],[RequiredDate]])</f>
        <v>45197</v>
      </c>
      <c r="H173" s="21">
        <f t="shared" si="22"/>
        <v>8</v>
      </c>
      <c r="I173" s="6" t="str">
        <f>IF(Table1[[#This Row],[New LTD]]&lt;=7,"Yes","No")</f>
        <v>No</v>
      </c>
      <c r="J173" s="6" t="str">
        <f t="shared" si="23"/>
        <v>No</v>
      </c>
      <c r="K173" t="s">
        <v>647</v>
      </c>
      <c r="L173" t="s">
        <v>654</v>
      </c>
      <c r="M173" t="s">
        <v>1423</v>
      </c>
      <c r="N173" t="s">
        <v>701</v>
      </c>
      <c r="O173" t="s">
        <v>1423</v>
      </c>
      <c r="P173" t="s">
        <v>717</v>
      </c>
      <c r="Q173" t="s">
        <v>733</v>
      </c>
      <c r="R173" t="s">
        <v>1175</v>
      </c>
      <c r="S173" s="6">
        <v>1362.06</v>
      </c>
      <c r="T173" s="6">
        <v>3398.37</v>
      </c>
      <c r="U173" s="6">
        <f t="shared" si="24"/>
        <v>3398.37</v>
      </c>
      <c r="V173" s="8">
        <v>0.157</v>
      </c>
      <c r="W173" s="6">
        <v>11</v>
      </c>
      <c r="X173" s="6">
        <f t="shared" si="25"/>
        <v>31513.085009999999</v>
      </c>
      <c r="Y173">
        <f t="shared" si="26"/>
        <v>14982.66</v>
      </c>
      <c r="Z173" s="6">
        <f t="shared" si="27"/>
        <v>16530.425009999999</v>
      </c>
      <c r="AA173">
        <f t="shared" si="28"/>
        <v>0.52455749745714919</v>
      </c>
      <c r="AB173" t="str">
        <f t="shared" si="29"/>
        <v>9-2023</v>
      </c>
      <c r="AC173" t="str">
        <f t="shared" si="30"/>
        <v>Q3-2023</v>
      </c>
      <c r="AD173" t="str">
        <f t="shared" si="31"/>
        <v>Asia →India →N/A</v>
      </c>
      <c r="AE173" t="str">
        <f t="shared" si="32"/>
        <v>High</v>
      </c>
      <c r="AF173" t="str">
        <f>TEXT(Table1[[#This Row],[OrderDate]],"MMM")</f>
        <v>Sep</v>
      </c>
      <c r="AG173" t="str">
        <f>TEXT(Table1[[#This Row],[OrderDate]],"YYYY")</f>
        <v>2023</v>
      </c>
      <c r="AI173" s="4">
        <f>IF(Table1[[#This Row],[RequiredDate]]&lt;Table1[[#This Row],[OrderDate]], Table1[[#This Row],[OrderDate]]+7, Table1[[#This Row],[RequiredDate]])</f>
        <v>45197</v>
      </c>
      <c r="AJ173">
        <f>IF(Dashboard!$D$3&gt;'Staging Data'!V173,'Staging Data'!V173,Dashboard!D$3)</f>
        <v>0.157</v>
      </c>
      <c r="AK173" s="19">
        <f>(100%+Dashboard!$D$4)*'Staging Data'!S173</f>
        <v>1430.163</v>
      </c>
      <c r="AL173">
        <f>(100%+Dashboard!$D$5)*'Staging Data'!W173</f>
        <v>12.649999999999999</v>
      </c>
    </row>
    <row r="174" spans="1:38" x14ac:dyDescent="0.35">
      <c r="A174" s="6" t="s">
        <v>186</v>
      </c>
      <c r="B174" s="4">
        <v>45190</v>
      </c>
      <c r="C174" s="4">
        <v>45209</v>
      </c>
      <c r="D174" s="4">
        <f>IF(Table1[[#This Row],[RequiredDate]]&lt;Table1[[#This Row],[OrderDate]],Table1[[#This Row],[RequiredDate]],Table1[[#This Row],[OrderDate]])</f>
        <v>45190</v>
      </c>
      <c r="E174" s="4">
        <f>IF(Table1[[#This Row],[RequiredDate]]&gt;Table1[[#This Row],[OrderDate]],Table1[[#This Row],[RequiredDate]],Table1[[#This Row],[OrderDate]])</f>
        <v>45209</v>
      </c>
      <c r="F174" s="21">
        <f>Table1[[#This Row],[New RD]]-Table1[[#This Row],[new   od]]</f>
        <v>19</v>
      </c>
      <c r="G174" s="4">
        <f>IF(Table1[[#This Row],[RequiredDate]]&lt;Table1[[#This Row],[OrderDate]], Table1[[#This Row],[OrderDate]]+7, Table1[[#This Row],[RequiredDate]])</f>
        <v>45209</v>
      </c>
      <c r="H174" s="21">
        <f t="shared" si="22"/>
        <v>19</v>
      </c>
      <c r="I174" s="6" t="str">
        <f>IF(Table1[[#This Row],[New LTD]]&lt;=7,"Yes","No")</f>
        <v>No</v>
      </c>
      <c r="J174" s="6" t="str">
        <f t="shared" si="23"/>
        <v>No</v>
      </c>
      <c r="K174" t="s">
        <v>647</v>
      </c>
      <c r="L174" t="s">
        <v>652</v>
      </c>
      <c r="M174" t="s">
        <v>689</v>
      </c>
      <c r="N174" t="s">
        <v>702</v>
      </c>
      <c r="O174" t="s">
        <v>708</v>
      </c>
      <c r="P174" t="s">
        <v>726</v>
      </c>
      <c r="Q174" t="s">
        <v>727</v>
      </c>
      <c r="R174" t="s">
        <v>905</v>
      </c>
      <c r="S174" s="6">
        <v>845.63</v>
      </c>
      <c r="T174" s="6">
        <v>2062.12</v>
      </c>
      <c r="U174" s="6">
        <f t="shared" si="24"/>
        <v>2062.12</v>
      </c>
      <c r="V174" s="8">
        <v>0.13400000000000001</v>
      </c>
      <c r="W174" s="6">
        <v>5</v>
      </c>
      <c r="X174" s="6">
        <f t="shared" si="25"/>
        <v>8928.9795999999988</v>
      </c>
      <c r="Y174">
        <f t="shared" si="26"/>
        <v>4228.1499999999996</v>
      </c>
      <c r="Z174" s="6">
        <f t="shared" si="27"/>
        <v>4700.8295999999991</v>
      </c>
      <c r="AA174">
        <f t="shared" si="28"/>
        <v>0.52646884757133949</v>
      </c>
      <c r="AB174" t="str">
        <f t="shared" si="29"/>
        <v>9-2023</v>
      </c>
      <c r="AC174" t="str">
        <f t="shared" si="30"/>
        <v>Q3-2023</v>
      </c>
      <c r="AD174" t="str">
        <f t="shared" si="31"/>
        <v>Asia →Japan →Tokyo</v>
      </c>
      <c r="AE174" t="str">
        <f t="shared" si="32"/>
        <v>High</v>
      </c>
      <c r="AF174" t="str">
        <f>TEXT(Table1[[#This Row],[OrderDate]],"MMM")</f>
        <v>Sep</v>
      </c>
      <c r="AG174" t="str">
        <f>TEXT(Table1[[#This Row],[OrderDate]],"YYYY")</f>
        <v>2023</v>
      </c>
      <c r="AI174" s="4">
        <f>IF(Table1[[#This Row],[RequiredDate]]&lt;Table1[[#This Row],[OrderDate]], Table1[[#This Row],[OrderDate]]+7, Table1[[#This Row],[RequiredDate]])</f>
        <v>45209</v>
      </c>
      <c r="AJ174">
        <f>IF(Dashboard!$D$3&gt;'Staging Data'!V174,'Staging Data'!V174,Dashboard!D$3)</f>
        <v>0.13400000000000001</v>
      </c>
      <c r="AK174" s="19">
        <f>(100%+Dashboard!$D$4)*'Staging Data'!S174</f>
        <v>887.91150000000005</v>
      </c>
      <c r="AL174">
        <f>(100%+Dashboard!$D$5)*'Staging Data'!W174</f>
        <v>5.75</v>
      </c>
    </row>
    <row r="175" spans="1:38" x14ac:dyDescent="0.35">
      <c r="A175" s="6" t="s">
        <v>235</v>
      </c>
      <c r="B175" s="4">
        <v>45194</v>
      </c>
      <c r="C175" s="4">
        <v>45201</v>
      </c>
      <c r="D175" s="4">
        <f>IF(Table1[[#This Row],[RequiredDate]]&lt;Table1[[#This Row],[OrderDate]],Table1[[#This Row],[RequiredDate]],Table1[[#This Row],[OrderDate]])</f>
        <v>45194</v>
      </c>
      <c r="E175" s="4">
        <f>IF(Table1[[#This Row],[RequiredDate]]&gt;Table1[[#This Row],[OrderDate]],Table1[[#This Row],[RequiredDate]],Table1[[#This Row],[OrderDate]])</f>
        <v>45201</v>
      </c>
      <c r="F175" s="21">
        <f>Table1[[#This Row],[New RD]]-Table1[[#This Row],[new   od]]</f>
        <v>7</v>
      </c>
      <c r="G175" s="4">
        <f>IF(Table1[[#This Row],[RequiredDate]]&lt;Table1[[#This Row],[OrderDate]], Table1[[#This Row],[OrderDate]]+7, Table1[[#This Row],[RequiredDate]])</f>
        <v>45201</v>
      </c>
      <c r="H175" s="21">
        <f t="shared" si="22"/>
        <v>7</v>
      </c>
      <c r="I175" s="6" t="str">
        <f>IF(Table1[[#This Row],[New LTD]]&lt;=7,"Yes","No")</f>
        <v>Yes</v>
      </c>
      <c r="J175" s="6" t="str">
        <f t="shared" si="23"/>
        <v>Yes</v>
      </c>
      <c r="K175" t="s">
        <v>648</v>
      </c>
      <c r="L175" t="s">
        <v>660</v>
      </c>
      <c r="M175" t="s">
        <v>700</v>
      </c>
      <c r="N175" t="s">
        <v>702</v>
      </c>
      <c r="O175" t="s">
        <v>709</v>
      </c>
      <c r="P175" t="s">
        <v>714</v>
      </c>
      <c r="Q175" t="s">
        <v>733</v>
      </c>
      <c r="R175" t="s">
        <v>955</v>
      </c>
      <c r="S175" s="6">
        <v>145.58000000000001</v>
      </c>
      <c r="T175" s="6">
        <v>228.15</v>
      </c>
      <c r="U175" s="6">
        <f t="shared" si="24"/>
        <v>228.15</v>
      </c>
      <c r="V175" s="8">
        <v>0.20399999999999999</v>
      </c>
      <c r="W175" s="6">
        <v>5</v>
      </c>
      <c r="X175" s="6">
        <f t="shared" si="25"/>
        <v>908.03700000000003</v>
      </c>
      <c r="Y175">
        <f t="shared" si="26"/>
        <v>727.90000000000009</v>
      </c>
      <c r="Z175" s="6">
        <f t="shared" si="27"/>
        <v>180.13699999999994</v>
      </c>
      <c r="AA175">
        <f t="shared" si="28"/>
        <v>0.19838068272548359</v>
      </c>
      <c r="AB175" t="str">
        <f t="shared" si="29"/>
        <v>9-2023</v>
      </c>
      <c r="AC175" t="str">
        <f t="shared" si="30"/>
        <v>Q3-2023</v>
      </c>
      <c r="AD175" t="str">
        <f t="shared" si="31"/>
        <v>Americas →USA →New York</v>
      </c>
      <c r="AE175" t="str">
        <f t="shared" si="32"/>
        <v>Low</v>
      </c>
      <c r="AF175" t="str">
        <f>TEXT(Table1[[#This Row],[OrderDate]],"MMM")</f>
        <v>Sep</v>
      </c>
      <c r="AG175" t="str">
        <f>TEXT(Table1[[#This Row],[OrderDate]],"YYYY")</f>
        <v>2023</v>
      </c>
      <c r="AI175" s="4">
        <f>IF(Table1[[#This Row],[RequiredDate]]&lt;Table1[[#This Row],[OrderDate]], Table1[[#This Row],[OrderDate]]+7, Table1[[#This Row],[RequiredDate]])</f>
        <v>45201</v>
      </c>
      <c r="AJ175">
        <f>IF(Dashboard!$D$3&gt;'Staging Data'!V175,'Staging Data'!V175,Dashboard!D$3)</f>
        <v>0.2</v>
      </c>
      <c r="AK175" s="19">
        <f>(100%+Dashboard!$D$4)*'Staging Data'!S175</f>
        <v>152.85900000000001</v>
      </c>
      <c r="AL175">
        <f>(100%+Dashboard!$D$5)*'Staging Data'!W175</f>
        <v>5.75</v>
      </c>
    </row>
    <row r="176" spans="1:38" x14ac:dyDescent="0.35">
      <c r="A176" s="6" t="s">
        <v>382</v>
      </c>
      <c r="B176" s="4">
        <v>45194</v>
      </c>
      <c r="C176" s="4">
        <v>45208</v>
      </c>
      <c r="D176" s="4">
        <f>IF(Table1[[#This Row],[RequiredDate]]&lt;Table1[[#This Row],[OrderDate]],Table1[[#This Row],[RequiredDate]],Table1[[#This Row],[OrderDate]])</f>
        <v>45194</v>
      </c>
      <c r="E176" s="4">
        <f>IF(Table1[[#This Row],[RequiredDate]]&gt;Table1[[#This Row],[OrderDate]],Table1[[#This Row],[RequiredDate]],Table1[[#This Row],[OrderDate]])</f>
        <v>45208</v>
      </c>
      <c r="F176" s="21">
        <f>Table1[[#This Row],[New RD]]-Table1[[#This Row],[new   od]]</f>
        <v>14</v>
      </c>
      <c r="G176" s="4">
        <f>IF(Table1[[#This Row],[RequiredDate]]&lt;Table1[[#This Row],[OrderDate]], Table1[[#This Row],[OrderDate]]+7, Table1[[#This Row],[RequiredDate]])</f>
        <v>45208</v>
      </c>
      <c r="H176" s="21">
        <f t="shared" si="22"/>
        <v>14</v>
      </c>
      <c r="I176" s="6" t="str">
        <f>IF(Table1[[#This Row],[New LTD]]&lt;=7,"Yes","No")</f>
        <v>No</v>
      </c>
      <c r="J176" s="6" t="str">
        <f t="shared" si="23"/>
        <v>No</v>
      </c>
      <c r="K176" t="s">
        <v>648</v>
      </c>
      <c r="L176" t="s">
        <v>660</v>
      </c>
      <c r="M176" t="s">
        <v>700</v>
      </c>
      <c r="N176" t="s">
        <v>705</v>
      </c>
      <c r="O176" t="s">
        <v>709</v>
      </c>
      <c r="P176" t="s">
        <v>713</v>
      </c>
      <c r="Q176" t="s">
        <v>731</v>
      </c>
      <c r="R176" t="s">
        <v>1102</v>
      </c>
      <c r="S176" s="6">
        <v>1279.56</v>
      </c>
      <c r="T176" s="6">
        <v>3083.8</v>
      </c>
      <c r="U176" s="6">
        <f t="shared" si="24"/>
        <v>3083.8</v>
      </c>
      <c r="V176" s="8">
        <v>0.106</v>
      </c>
      <c r="W176" s="6">
        <v>5</v>
      </c>
      <c r="X176" s="6">
        <f t="shared" si="25"/>
        <v>13784.586000000001</v>
      </c>
      <c r="Y176">
        <f t="shared" si="26"/>
        <v>6397.7999999999993</v>
      </c>
      <c r="Z176" s="6">
        <f t="shared" si="27"/>
        <v>7386.7860000000019</v>
      </c>
      <c r="AA176">
        <f t="shared" si="28"/>
        <v>0.53587289455047848</v>
      </c>
      <c r="AB176" t="str">
        <f t="shared" si="29"/>
        <v>9-2023</v>
      </c>
      <c r="AC176" t="str">
        <f t="shared" si="30"/>
        <v>Q3-2023</v>
      </c>
      <c r="AD176" t="str">
        <f t="shared" si="31"/>
        <v>Americas →USA →New York</v>
      </c>
      <c r="AE176" t="str">
        <f t="shared" si="32"/>
        <v>High</v>
      </c>
      <c r="AF176" t="str">
        <f>TEXT(Table1[[#This Row],[OrderDate]],"MMM")</f>
        <v>Sep</v>
      </c>
      <c r="AG176" t="str">
        <f>TEXT(Table1[[#This Row],[OrderDate]],"YYYY")</f>
        <v>2023</v>
      </c>
      <c r="AI176" s="4">
        <f>IF(Table1[[#This Row],[RequiredDate]]&lt;Table1[[#This Row],[OrderDate]], Table1[[#This Row],[OrderDate]]+7, Table1[[#This Row],[RequiredDate]])</f>
        <v>45208</v>
      </c>
      <c r="AJ176">
        <f>IF(Dashboard!$D$3&gt;'Staging Data'!V176,'Staging Data'!V176,Dashboard!D$3)</f>
        <v>0.106</v>
      </c>
      <c r="AK176" s="19">
        <f>(100%+Dashboard!$D$4)*'Staging Data'!S176</f>
        <v>1343.538</v>
      </c>
      <c r="AL176">
        <f>(100%+Dashboard!$D$5)*'Staging Data'!W176</f>
        <v>5.75</v>
      </c>
    </row>
    <row r="177" spans="1:38" x14ac:dyDescent="0.35">
      <c r="A177" s="6" t="s">
        <v>402</v>
      </c>
      <c r="B177" s="4">
        <v>45199</v>
      </c>
      <c r="C177" s="4">
        <v>45202</v>
      </c>
      <c r="D177" s="4">
        <f>IF(Table1[[#This Row],[RequiredDate]]&lt;Table1[[#This Row],[OrderDate]],Table1[[#This Row],[RequiredDate]],Table1[[#This Row],[OrderDate]])</f>
        <v>45199</v>
      </c>
      <c r="E177" s="4">
        <f>IF(Table1[[#This Row],[RequiredDate]]&gt;Table1[[#This Row],[OrderDate]],Table1[[#This Row],[RequiredDate]],Table1[[#This Row],[OrderDate]])</f>
        <v>45202</v>
      </c>
      <c r="F177" s="21">
        <f>Table1[[#This Row],[New RD]]-Table1[[#This Row],[new   od]]</f>
        <v>3</v>
      </c>
      <c r="G177" s="4">
        <f>IF(Table1[[#This Row],[RequiredDate]]&lt;Table1[[#This Row],[OrderDate]], Table1[[#This Row],[OrderDate]]+7, Table1[[#This Row],[RequiredDate]])</f>
        <v>45202</v>
      </c>
      <c r="H177" s="21">
        <f t="shared" si="22"/>
        <v>3</v>
      </c>
      <c r="I177" s="6" t="str">
        <f>IF(Table1[[#This Row],[New LTD]]&lt;=7,"Yes","No")</f>
        <v>Yes</v>
      </c>
      <c r="J177" s="6" t="str">
        <f t="shared" si="23"/>
        <v>No</v>
      </c>
      <c r="K177" t="s">
        <v>647</v>
      </c>
      <c r="L177" t="s">
        <v>659</v>
      </c>
      <c r="M177" t="s">
        <v>699</v>
      </c>
      <c r="N177" t="s">
        <v>703</v>
      </c>
      <c r="O177" t="s">
        <v>707</v>
      </c>
      <c r="P177" t="s">
        <v>713</v>
      </c>
      <c r="Q177" t="s">
        <v>731</v>
      </c>
      <c r="R177" t="s">
        <v>1121</v>
      </c>
      <c r="S177" s="6">
        <v>1019.36</v>
      </c>
      <c r="T177" s="6">
        <v>972.91</v>
      </c>
      <c r="U177" s="6">
        <f t="shared" si="24"/>
        <v>972.91</v>
      </c>
      <c r="V177" s="8">
        <v>0.14699999999999999</v>
      </c>
      <c r="W177" s="6">
        <v>17</v>
      </c>
      <c r="X177" s="6">
        <f t="shared" si="25"/>
        <v>14108.16791</v>
      </c>
      <c r="Y177">
        <f t="shared" si="26"/>
        <v>17329.12</v>
      </c>
      <c r="Z177" s="6">
        <f t="shared" si="27"/>
        <v>-3220.9520899999989</v>
      </c>
      <c r="AA177">
        <f t="shared" si="28"/>
        <v>-0.22830406545678819</v>
      </c>
      <c r="AB177" t="str">
        <f t="shared" si="29"/>
        <v>9-2023</v>
      </c>
      <c r="AC177" t="str">
        <f t="shared" si="30"/>
        <v>Q3-2023</v>
      </c>
      <c r="AD177" t="str">
        <f t="shared" si="31"/>
        <v>Asia →China →Beijing</v>
      </c>
      <c r="AE177" t="str">
        <f t="shared" si="32"/>
        <v>Medium</v>
      </c>
      <c r="AF177" t="str">
        <f>TEXT(Table1[[#This Row],[OrderDate]],"MMM")</f>
        <v>Sep</v>
      </c>
      <c r="AG177" t="str">
        <f>TEXT(Table1[[#This Row],[OrderDate]],"YYYY")</f>
        <v>2023</v>
      </c>
      <c r="AI177" s="4">
        <f>IF(Table1[[#This Row],[RequiredDate]]&lt;Table1[[#This Row],[OrderDate]], Table1[[#This Row],[OrderDate]]+7, Table1[[#This Row],[RequiredDate]])</f>
        <v>45202</v>
      </c>
      <c r="AJ177">
        <f>IF(Dashboard!$D$3&gt;'Staging Data'!V177,'Staging Data'!V177,Dashboard!D$3)</f>
        <v>0.14699999999999999</v>
      </c>
      <c r="AK177" s="19">
        <f>(100%+Dashboard!$D$4)*'Staging Data'!S177</f>
        <v>1070.328</v>
      </c>
      <c r="AL177">
        <f>(100%+Dashboard!$D$5)*'Staging Data'!W177</f>
        <v>19.549999999999997</v>
      </c>
    </row>
    <row r="178" spans="1:38" x14ac:dyDescent="0.35">
      <c r="A178" s="6" t="s">
        <v>530</v>
      </c>
      <c r="B178" s="4">
        <v>45199</v>
      </c>
      <c r="C178" s="4">
        <v>45229</v>
      </c>
      <c r="D178" s="4">
        <f>IF(Table1[[#This Row],[RequiredDate]]&lt;Table1[[#This Row],[OrderDate]],Table1[[#This Row],[RequiredDate]],Table1[[#This Row],[OrderDate]])</f>
        <v>45199</v>
      </c>
      <c r="E178" s="4">
        <f>IF(Table1[[#This Row],[RequiredDate]]&gt;Table1[[#This Row],[OrderDate]],Table1[[#This Row],[RequiredDate]],Table1[[#This Row],[OrderDate]])</f>
        <v>45229</v>
      </c>
      <c r="F178" s="21">
        <f>Table1[[#This Row],[New RD]]-Table1[[#This Row],[new   od]]</f>
        <v>30</v>
      </c>
      <c r="G178" s="4">
        <f>IF(Table1[[#This Row],[RequiredDate]]&lt;Table1[[#This Row],[OrderDate]], Table1[[#This Row],[OrderDate]]+7, Table1[[#This Row],[RequiredDate]])</f>
        <v>45229</v>
      </c>
      <c r="H178" s="21">
        <f t="shared" si="22"/>
        <v>30</v>
      </c>
      <c r="I178" s="6" t="str">
        <f>IF(Table1[[#This Row],[New LTD]]&lt;=7,"Yes","No")</f>
        <v>No</v>
      </c>
      <c r="J178" s="6" t="str">
        <f t="shared" si="23"/>
        <v>No</v>
      </c>
      <c r="K178" t="s">
        <v>647</v>
      </c>
      <c r="L178" t="s">
        <v>652</v>
      </c>
      <c r="M178" t="s">
        <v>689</v>
      </c>
      <c r="N178" t="s">
        <v>706</v>
      </c>
      <c r="O178" t="s">
        <v>708</v>
      </c>
      <c r="P178" t="s">
        <v>726</v>
      </c>
      <c r="Q178" t="s">
        <v>728</v>
      </c>
      <c r="R178" t="s">
        <v>1249</v>
      </c>
      <c r="S178" s="6">
        <v>649.13</v>
      </c>
      <c r="T178" s="6">
        <v>975.43</v>
      </c>
      <c r="U178" s="6">
        <f t="shared" si="24"/>
        <v>975.43</v>
      </c>
      <c r="V178" s="8">
        <v>0.157</v>
      </c>
      <c r="W178" s="6">
        <v>27</v>
      </c>
      <c r="X178" s="6">
        <f t="shared" si="25"/>
        <v>22201.762229999997</v>
      </c>
      <c r="Y178">
        <f t="shared" si="26"/>
        <v>17526.509999999998</v>
      </c>
      <c r="Z178" s="6">
        <f t="shared" si="27"/>
        <v>4675.2522299999982</v>
      </c>
      <c r="AA178">
        <f t="shared" si="28"/>
        <v>0.21058023149543473</v>
      </c>
      <c r="AB178" t="str">
        <f t="shared" si="29"/>
        <v>9-2023</v>
      </c>
      <c r="AC178" t="str">
        <f t="shared" si="30"/>
        <v>Q3-2023</v>
      </c>
      <c r="AD178" t="str">
        <f t="shared" si="31"/>
        <v>Asia →Japan →Tokyo</v>
      </c>
      <c r="AE178" t="str">
        <f t="shared" si="32"/>
        <v>Medium</v>
      </c>
      <c r="AF178" t="str">
        <f>TEXT(Table1[[#This Row],[OrderDate]],"MMM")</f>
        <v>Sep</v>
      </c>
      <c r="AG178" t="str">
        <f>TEXT(Table1[[#This Row],[OrderDate]],"YYYY")</f>
        <v>2023</v>
      </c>
      <c r="AI178" s="4">
        <f>IF(Table1[[#This Row],[RequiredDate]]&lt;Table1[[#This Row],[OrderDate]], Table1[[#This Row],[OrderDate]]+7, Table1[[#This Row],[RequiredDate]])</f>
        <v>45229</v>
      </c>
      <c r="AJ178">
        <f>IF(Dashboard!$D$3&gt;'Staging Data'!V178,'Staging Data'!V178,Dashboard!D$3)</f>
        <v>0.157</v>
      </c>
      <c r="AK178" s="19">
        <f>(100%+Dashboard!$D$4)*'Staging Data'!S178</f>
        <v>681.5865</v>
      </c>
      <c r="AL178">
        <f>(100%+Dashboard!$D$5)*'Staging Data'!W178</f>
        <v>31.049999999999997</v>
      </c>
    </row>
    <row r="179" spans="1:38" x14ac:dyDescent="0.35">
      <c r="A179" s="6" t="s">
        <v>241</v>
      </c>
      <c r="B179" s="4">
        <v>45203</v>
      </c>
      <c r="C179" s="4">
        <v>45228</v>
      </c>
      <c r="D179" s="4">
        <f>IF(Table1[[#This Row],[RequiredDate]]&lt;Table1[[#This Row],[OrderDate]],Table1[[#This Row],[RequiredDate]],Table1[[#This Row],[OrderDate]])</f>
        <v>45203</v>
      </c>
      <c r="E179" s="4">
        <f>IF(Table1[[#This Row],[RequiredDate]]&gt;Table1[[#This Row],[OrderDate]],Table1[[#This Row],[RequiredDate]],Table1[[#This Row],[OrderDate]])</f>
        <v>45228</v>
      </c>
      <c r="F179" s="21">
        <f>Table1[[#This Row],[New RD]]-Table1[[#This Row],[new   od]]</f>
        <v>25</v>
      </c>
      <c r="G179" s="4">
        <f>IF(Table1[[#This Row],[RequiredDate]]&lt;Table1[[#This Row],[OrderDate]], Table1[[#This Row],[OrderDate]]+7, Table1[[#This Row],[RequiredDate]])</f>
        <v>45228</v>
      </c>
      <c r="H179" s="21">
        <f t="shared" si="22"/>
        <v>25</v>
      </c>
      <c r="I179" s="6" t="str">
        <f>IF(Table1[[#This Row],[New LTD]]&lt;=7,"Yes","No")</f>
        <v>No</v>
      </c>
      <c r="J179" s="6" t="str">
        <f t="shared" si="23"/>
        <v>No</v>
      </c>
      <c r="K179" t="s">
        <v>648</v>
      </c>
      <c r="L179" t="s">
        <v>660</v>
      </c>
      <c r="M179" t="s">
        <v>686</v>
      </c>
      <c r="N179" t="s">
        <v>705</v>
      </c>
      <c r="O179" t="s">
        <v>710</v>
      </c>
      <c r="P179" t="s">
        <v>719</v>
      </c>
      <c r="Q179" t="s">
        <v>733</v>
      </c>
      <c r="R179" t="s">
        <v>961</v>
      </c>
      <c r="S179" s="6">
        <v>1239.8399999999999</v>
      </c>
      <c r="T179" s="6">
        <v>1482.75</v>
      </c>
      <c r="U179" s="6">
        <f t="shared" si="24"/>
        <v>1482.75</v>
      </c>
      <c r="V179" s="8">
        <v>6.7000000000000004E-2</v>
      </c>
      <c r="W179" s="6">
        <v>4</v>
      </c>
      <c r="X179" s="6">
        <f t="shared" si="25"/>
        <v>5533.6230000000005</v>
      </c>
      <c r="Y179">
        <f t="shared" si="26"/>
        <v>4959.3599999999997</v>
      </c>
      <c r="Z179" s="6">
        <f t="shared" si="27"/>
        <v>574.26300000000083</v>
      </c>
      <c r="AA179">
        <f t="shared" si="28"/>
        <v>0.10377703721413634</v>
      </c>
      <c r="AB179" t="str">
        <f t="shared" si="29"/>
        <v>10-2023</v>
      </c>
      <c r="AC179" t="str">
        <f t="shared" si="30"/>
        <v>Q4-2023</v>
      </c>
      <c r="AD179" t="str">
        <f t="shared" si="31"/>
        <v>Americas →USA →San Francisco</v>
      </c>
      <c r="AE179" t="str">
        <f t="shared" si="32"/>
        <v>Medium</v>
      </c>
      <c r="AF179" t="str">
        <f>TEXT(Table1[[#This Row],[OrderDate]],"MMM")</f>
        <v>Oct</v>
      </c>
      <c r="AG179" t="str">
        <f>TEXT(Table1[[#This Row],[OrderDate]],"YYYY")</f>
        <v>2023</v>
      </c>
      <c r="AI179" s="4">
        <f>IF(Table1[[#This Row],[RequiredDate]]&lt;Table1[[#This Row],[OrderDate]], Table1[[#This Row],[OrderDate]]+7, Table1[[#This Row],[RequiredDate]])</f>
        <v>45228</v>
      </c>
      <c r="AJ179">
        <f>IF(Dashboard!$D$3&gt;'Staging Data'!V179,'Staging Data'!V179,Dashboard!D$3)</f>
        <v>6.7000000000000004E-2</v>
      </c>
      <c r="AK179" s="19">
        <f>(100%+Dashboard!$D$4)*'Staging Data'!S179</f>
        <v>1301.8319999999999</v>
      </c>
      <c r="AL179">
        <f>(100%+Dashboard!$D$5)*'Staging Data'!W179</f>
        <v>4.5999999999999996</v>
      </c>
    </row>
    <row r="180" spans="1:38" x14ac:dyDescent="0.35">
      <c r="A180" s="6" t="s">
        <v>270</v>
      </c>
      <c r="B180" s="4">
        <v>45204</v>
      </c>
      <c r="C180" s="4">
        <v>45205</v>
      </c>
      <c r="D180" s="4">
        <f>IF(Table1[[#This Row],[RequiredDate]]&lt;Table1[[#This Row],[OrderDate]],Table1[[#This Row],[RequiredDate]],Table1[[#This Row],[OrderDate]])</f>
        <v>45204</v>
      </c>
      <c r="E180" s="4">
        <f>IF(Table1[[#This Row],[RequiredDate]]&gt;Table1[[#This Row],[OrderDate]],Table1[[#This Row],[RequiredDate]],Table1[[#This Row],[OrderDate]])</f>
        <v>45205</v>
      </c>
      <c r="F180" s="21">
        <f>Table1[[#This Row],[New RD]]-Table1[[#This Row],[new   od]]</f>
        <v>1</v>
      </c>
      <c r="G180" s="4">
        <f>IF(Table1[[#This Row],[RequiredDate]]&lt;Table1[[#This Row],[OrderDate]], Table1[[#This Row],[OrderDate]]+7, Table1[[#This Row],[RequiredDate]])</f>
        <v>45205</v>
      </c>
      <c r="H180" s="21">
        <f t="shared" si="22"/>
        <v>1</v>
      </c>
      <c r="I180" s="6" t="str">
        <f>IF(Table1[[#This Row],[New LTD]]&lt;=7,"Yes","No")</f>
        <v>Yes</v>
      </c>
      <c r="J180" s="6" t="str">
        <f t="shared" si="23"/>
        <v>No</v>
      </c>
      <c r="K180" t="s">
        <v>647</v>
      </c>
      <c r="L180" t="s">
        <v>654</v>
      </c>
      <c r="M180" t="s">
        <v>668</v>
      </c>
      <c r="N180" t="s">
        <v>703</v>
      </c>
      <c r="O180" t="s">
        <v>708</v>
      </c>
      <c r="P180" t="s">
        <v>714</v>
      </c>
      <c r="Q180" t="s">
        <v>727</v>
      </c>
      <c r="R180" t="s">
        <v>990</v>
      </c>
      <c r="S180" s="6">
        <v>1470.26</v>
      </c>
      <c r="T180" s="6">
        <v>2562.5500000000002</v>
      </c>
      <c r="U180" s="6">
        <f t="shared" si="24"/>
        <v>2562.5500000000002</v>
      </c>
      <c r="V180" s="8">
        <v>0.17299999999999999</v>
      </c>
      <c r="W180" s="6">
        <v>9</v>
      </c>
      <c r="X180" s="6">
        <f t="shared" si="25"/>
        <v>19073.059649999999</v>
      </c>
      <c r="Y180">
        <f t="shared" si="26"/>
        <v>13232.34</v>
      </c>
      <c r="Z180" s="6">
        <f t="shared" si="27"/>
        <v>5840.7196499999991</v>
      </c>
      <c r="AA180">
        <f t="shared" si="28"/>
        <v>0.30622877279157462</v>
      </c>
      <c r="AB180" t="str">
        <f t="shared" si="29"/>
        <v>10-2023</v>
      </c>
      <c r="AC180" t="str">
        <f t="shared" si="30"/>
        <v>Q4-2023</v>
      </c>
      <c r="AD180" t="str">
        <f t="shared" si="31"/>
        <v>Asia →India →Bengaluru</v>
      </c>
      <c r="AE180" t="str">
        <f t="shared" si="32"/>
        <v>High</v>
      </c>
      <c r="AF180" t="str">
        <f>TEXT(Table1[[#This Row],[OrderDate]],"MMM")</f>
        <v>Oct</v>
      </c>
      <c r="AG180" t="str">
        <f>TEXT(Table1[[#This Row],[OrderDate]],"YYYY")</f>
        <v>2023</v>
      </c>
      <c r="AI180" s="4">
        <f>IF(Table1[[#This Row],[RequiredDate]]&lt;Table1[[#This Row],[OrderDate]], Table1[[#This Row],[OrderDate]]+7, Table1[[#This Row],[RequiredDate]])</f>
        <v>45205</v>
      </c>
      <c r="AJ180">
        <f>IF(Dashboard!$D$3&gt;'Staging Data'!V180,'Staging Data'!V180,Dashboard!D$3)</f>
        <v>0.17299999999999999</v>
      </c>
      <c r="AK180" s="19">
        <f>(100%+Dashboard!$D$4)*'Staging Data'!S180</f>
        <v>1543.7730000000001</v>
      </c>
      <c r="AL180">
        <f>(100%+Dashboard!$D$5)*'Staging Data'!W180</f>
        <v>10.35</v>
      </c>
    </row>
    <row r="181" spans="1:38" x14ac:dyDescent="0.35">
      <c r="A181" s="6" t="s">
        <v>315</v>
      </c>
      <c r="B181" s="4">
        <v>45204</v>
      </c>
      <c r="C181" s="4">
        <v>45230</v>
      </c>
      <c r="D181" s="4">
        <f>IF(Table1[[#This Row],[RequiredDate]]&lt;Table1[[#This Row],[OrderDate]],Table1[[#This Row],[RequiredDate]],Table1[[#This Row],[OrderDate]])</f>
        <v>45204</v>
      </c>
      <c r="E181" s="4">
        <f>IF(Table1[[#This Row],[RequiredDate]]&gt;Table1[[#This Row],[OrderDate]],Table1[[#This Row],[RequiredDate]],Table1[[#This Row],[OrderDate]])</f>
        <v>45230</v>
      </c>
      <c r="F181" s="21">
        <f>Table1[[#This Row],[New RD]]-Table1[[#This Row],[new   od]]</f>
        <v>26</v>
      </c>
      <c r="G181" s="4">
        <f>IF(Table1[[#This Row],[RequiredDate]]&lt;Table1[[#This Row],[OrderDate]], Table1[[#This Row],[OrderDate]]+7, Table1[[#This Row],[RequiredDate]])</f>
        <v>45230</v>
      </c>
      <c r="H181" s="21">
        <f t="shared" si="22"/>
        <v>26</v>
      </c>
      <c r="I181" s="6" t="str">
        <f>IF(Table1[[#This Row],[New LTD]]&lt;=7,"Yes","No")</f>
        <v>No</v>
      </c>
      <c r="J181" s="6" t="str">
        <f t="shared" si="23"/>
        <v>No</v>
      </c>
      <c r="K181" t="s">
        <v>647</v>
      </c>
      <c r="L181" t="s">
        <v>659</v>
      </c>
      <c r="M181" t="s">
        <v>685</v>
      </c>
      <c r="N181" t="s">
        <v>704</v>
      </c>
      <c r="O181" t="s">
        <v>1423</v>
      </c>
      <c r="P181" t="s">
        <v>713</v>
      </c>
      <c r="Q181" t="s">
        <v>728</v>
      </c>
      <c r="R181" t="s">
        <v>1035</v>
      </c>
      <c r="S181" s="6">
        <v>649.91</v>
      </c>
      <c r="T181" s="6">
        <v>1360.12</v>
      </c>
      <c r="U181" s="6">
        <f t="shared" si="24"/>
        <v>1360.12</v>
      </c>
      <c r="V181" s="8">
        <v>0.19400000000000001</v>
      </c>
      <c r="W181" s="6">
        <v>9</v>
      </c>
      <c r="X181" s="6">
        <f t="shared" si="25"/>
        <v>9866.3104799999983</v>
      </c>
      <c r="Y181">
        <f t="shared" si="26"/>
        <v>5849.19</v>
      </c>
      <c r="Z181" s="6">
        <f t="shared" si="27"/>
        <v>4017.1204799999987</v>
      </c>
      <c r="AA181">
        <f t="shared" si="28"/>
        <v>0.40715528749506769</v>
      </c>
      <c r="AB181" t="str">
        <f t="shared" si="29"/>
        <v>10-2023</v>
      </c>
      <c r="AC181" t="str">
        <f t="shared" si="30"/>
        <v>Q4-2023</v>
      </c>
      <c r="AD181" t="str">
        <f t="shared" si="31"/>
        <v>Asia →China →Shanghai</v>
      </c>
      <c r="AE181" t="str">
        <f t="shared" si="32"/>
        <v>Medium</v>
      </c>
      <c r="AF181" t="str">
        <f>TEXT(Table1[[#This Row],[OrderDate]],"MMM")</f>
        <v>Oct</v>
      </c>
      <c r="AG181" t="str">
        <f>TEXT(Table1[[#This Row],[OrderDate]],"YYYY")</f>
        <v>2023</v>
      </c>
      <c r="AI181" s="4">
        <f>IF(Table1[[#This Row],[RequiredDate]]&lt;Table1[[#This Row],[OrderDate]], Table1[[#This Row],[OrderDate]]+7, Table1[[#This Row],[RequiredDate]])</f>
        <v>45230</v>
      </c>
      <c r="AJ181">
        <f>IF(Dashboard!$D$3&gt;'Staging Data'!V181,'Staging Data'!V181,Dashboard!D$3)</f>
        <v>0.19400000000000001</v>
      </c>
      <c r="AK181" s="19">
        <f>(100%+Dashboard!$D$4)*'Staging Data'!S181</f>
        <v>682.40549999999996</v>
      </c>
      <c r="AL181">
        <f>(100%+Dashboard!$D$5)*'Staging Data'!W181</f>
        <v>10.35</v>
      </c>
    </row>
    <row r="182" spans="1:38" x14ac:dyDescent="0.35">
      <c r="A182" s="6" t="s">
        <v>183</v>
      </c>
      <c r="B182" s="4">
        <v>45206</v>
      </c>
      <c r="C182" s="4">
        <v>45222</v>
      </c>
      <c r="D182" s="4">
        <f>IF(Table1[[#This Row],[RequiredDate]]&lt;Table1[[#This Row],[OrderDate]],Table1[[#This Row],[RequiredDate]],Table1[[#This Row],[OrderDate]])</f>
        <v>45206</v>
      </c>
      <c r="E182" s="4">
        <f>IF(Table1[[#This Row],[RequiredDate]]&gt;Table1[[#This Row],[OrderDate]],Table1[[#This Row],[RequiredDate]],Table1[[#This Row],[OrderDate]])</f>
        <v>45222</v>
      </c>
      <c r="F182" s="21">
        <f>Table1[[#This Row],[New RD]]-Table1[[#This Row],[new   od]]</f>
        <v>16</v>
      </c>
      <c r="G182" s="4">
        <f>IF(Table1[[#This Row],[RequiredDate]]&lt;Table1[[#This Row],[OrderDate]], Table1[[#This Row],[OrderDate]]+7, Table1[[#This Row],[RequiredDate]])</f>
        <v>45222</v>
      </c>
      <c r="H182" s="21">
        <f t="shared" si="22"/>
        <v>16</v>
      </c>
      <c r="I182" s="6" t="str">
        <f>IF(Table1[[#This Row],[New LTD]]&lt;=7,"Yes","No")</f>
        <v>No</v>
      </c>
      <c r="J182" s="6" t="str">
        <f t="shared" si="23"/>
        <v>No</v>
      </c>
      <c r="K182" t="s">
        <v>647</v>
      </c>
      <c r="L182" t="s">
        <v>654</v>
      </c>
      <c r="M182" t="s">
        <v>696</v>
      </c>
      <c r="N182" t="s">
        <v>704</v>
      </c>
      <c r="O182" t="s">
        <v>707</v>
      </c>
      <c r="P182" t="s">
        <v>715</v>
      </c>
      <c r="Q182" t="s">
        <v>732</v>
      </c>
      <c r="R182" t="s">
        <v>902</v>
      </c>
      <c r="S182" s="6">
        <v>906.81</v>
      </c>
      <c r="T182" s="6">
        <v>1395.56</v>
      </c>
      <c r="U182" s="6">
        <f t="shared" si="24"/>
        <v>1395.56</v>
      </c>
      <c r="V182" s="8">
        <v>0.185</v>
      </c>
      <c r="W182" s="6">
        <v>6</v>
      </c>
      <c r="X182" s="6">
        <f t="shared" si="25"/>
        <v>6824.2884000000004</v>
      </c>
      <c r="Y182">
        <f t="shared" si="26"/>
        <v>5440.86</v>
      </c>
      <c r="Z182" s="6">
        <f t="shared" si="27"/>
        <v>1383.4284000000007</v>
      </c>
      <c r="AA182">
        <f t="shared" si="28"/>
        <v>0.20272126834498974</v>
      </c>
      <c r="AB182" t="str">
        <f t="shared" si="29"/>
        <v>10-2023</v>
      </c>
      <c r="AC182" t="str">
        <f t="shared" si="30"/>
        <v>Q4-2023</v>
      </c>
      <c r="AD182" t="str">
        <f t="shared" si="31"/>
        <v>Asia →India →Hyderabad</v>
      </c>
      <c r="AE182" t="str">
        <f t="shared" si="32"/>
        <v>Medium</v>
      </c>
      <c r="AF182" t="str">
        <f>TEXT(Table1[[#This Row],[OrderDate]],"MMM")</f>
        <v>Oct</v>
      </c>
      <c r="AG182" t="str">
        <f>TEXT(Table1[[#This Row],[OrderDate]],"YYYY")</f>
        <v>2023</v>
      </c>
      <c r="AI182" s="4">
        <f>IF(Table1[[#This Row],[RequiredDate]]&lt;Table1[[#This Row],[OrderDate]], Table1[[#This Row],[OrderDate]]+7, Table1[[#This Row],[RequiredDate]])</f>
        <v>45222</v>
      </c>
      <c r="AJ182">
        <f>IF(Dashboard!$D$3&gt;'Staging Data'!V182,'Staging Data'!V182,Dashboard!D$3)</f>
        <v>0.185</v>
      </c>
      <c r="AK182" s="19">
        <f>(100%+Dashboard!$D$4)*'Staging Data'!S182</f>
        <v>952.15049999999997</v>
      </c>
      <c r="AL182">
        <f>(100%+Dashboard!$D$5)*'Staging Data'!W182</f>
        <v>6.8999999999999995</v>
      </c>
    </row>
    <row r="183" spans="1:38" x14ac:dyDescent="0.35">
      <c r="A183" s="6" t="s">
        <v>406</v>
      </c>
      <c r="B183" s="4">
        <v>45208</v>
      </c>
      <c r="C183" s="4">
        <v>45225</v>
      </c>
      <c r="D183" s="4">
        <f>IF(Table1[[#This Row],[RequiredDate]]&lt;Table1[[#This Row],[OrderDate]],Table1[[#This Row],[RequiredDate]],Table1[[#This Row],[OrderDate]])</f>
        <v>45208</v>
      </c>
      <c r="E183" s="4">
        <f>IF(Table1[[#This Row],[RequiredDate]]&gt;Table1[[#This Row],[OrderDate]],Table1[[#This Row],[RequiredDate]],Table1[[#This Row],[OrderDate]])</f>
        <v>45225</v>
      </c>
      <c r="F183" s="21">
        <f>Table1[[#This Row],[New RD]]-Table1[[#This Row],[new   od]]</f>
        <v>17</v>
      </c>
      <c r="G183" s="4">
        <f>IF(Table1[[#This Row],[RequiredDate]]&lt;Table1[[#This Row],[OrderDate]], Table1[[#This Row],[OrderDate]]+7, Table1[[#This Row],[RequiredDate]])</f>
        <v>45225</v>
      </c>
      <c r="H183" s="21">
        <f t="shared" si="22"/>
        <v>17</v>
      </c>
      <c r="I183" s="6" t="str">
        <f>IF(Table1[[#This Row],[New LTD]]&lt;=7,"Yes","No")</f>
        <v>No</v>
      </c>
      <c r="J183" s="6" t="str">
        <f t="shared" si="23"/>
        <v>Yes</v>
      </c>
      <c r="K183" t="s">
        <v>647</v>
      </c>
      <c r="L183" t="s">
        <v>659</v>
      </c>
      <c r="M183" t="s">
        <v>685</v>
      </c>
      <c r="N183" t="s">
        <v>704</v>
      </c>
      <c r="O183" t="s">
        <v>709</v>
      </c>
      <c r="P183" t="s">
        <v>712</v>
      </c>
      <c r="Q183" t="s">
        <v>727</v>
      </c>
      <c r="R183" t="s">
        <v>1125</v>
      </c>
      <c r="S183" s="6">
        <v>1132.03</v>
      </c>
      <c r="T183" s="6">
        <v>2137.21</v>
      </c>
      <c r="U183" s="6">
        <f t="shared" si="24"/>
        <v>2137.21</v>
      </c>
      <c r="V183" s="8">
        <v>0.35699999999999998</v>
      </c>
      <c r="W183" s="6">
        <v>35</v>
      </c>
      <c r="X183" s="6">
        <f t="shared" si="25"/>
        <v>48097.911050000002</v>
      </c>
      <c r="Y183">
        <f t="shared" si="26"/>
        <v>39621.049999999996</v>
      </c>
      <c r="Z183" s="6">
        <f t="shared" si="27"/>
        <v>8476.8610500000068</v>
      </c>
      <c r="AA183">
        <f t="shared" si="28"/>
        <v>0.17624177152284051</v>
      </c>
      <c r="AB183" t="str">
        <f t="shared" si="29"/>
        <v>10-2023</v>
      </c>
      <c r="AC183" t="str">
        <f t="shared" si="30"/>
        <v>Q4-2023</v>
      </c>
      <c r="AD183" t="str">
        <f t="shared" si="31"/>
        <v>Asia →China →Shanghai</v>
      </c>
      <c r="AE183" t="str">
        <f t="shared" si="32"/>
        <v>High</v>
      </c>
      <c r="AF183" t="str">
        <f>TEXT(Table1[[#This Row],[OrderDate]],"MMM")</f>
        <v>Oct</v>
      </c>
      <c r="AG183" t="str">
        <f>TEXT(Table1[[#This Row],[OrderDate]],"YYYY")</f>
        <v>2023</v>
      </c>
      <c r="AI183" s="4">
        <f>IF(Table1[[#This Row],[RequiredDate]]&lt;Table1[[#This Row],[OrderDate]], Table1[[#This Row],[OrderDate]]+7, Table1[[#This Row],[RequiredDate]])</f>
        <v>45225</v>
      </c>
      <c r="AJ183">
        <f>IF(Dashboard!$D$3&gt;'Staging Data'!V183,'Staging Data'!V183,Dashboard!D$3)</f>
        <v>0.2</v>
      </c>
      <c r="AK183" s="19">
        <f>(100%+Dashboard!$D$4)*'Staging Data'!S183</f>
        <v>1188.6315</v>
      </c>
      <c r="AL183">
        <f>(100%+Dashboard!$D$5)*'Staging Data'!W183</f>
        <v>40.25</v>
      </c>
    </row>
    <row r="184" spans="1:38" x14ac:dyDescent="0.35">
      <c r="A184" s="6" t="s">
        <v>630</v>
      </c>
      <c r="B184" s="4">
        <v>45208</v>
      </c>
      <c r="C184" s="4">
        <v>45210</v>
      </c>
      <c r="D184" s="4">
        <f>IF(Table1[[#This Row],[RequiredDate]]&lt;Table1[[#This Row],[OrderDate]],Table1[[#This Row],[RequiredDate]],Table1[[#This Row],[OrderDate]])</f>
        <v>45208</v>
      </c>
      <c r="E184" s="4">
        <f>IF(Table1[[#This Row],[RequiredDate]]&gt;Table1[[#This Row],[OrderDate]],Table1[[#This Row],[RequiredDate]],Table1[[#This Row],[OrderDate]])</f>
        <v>45210</v>
      </c>
      <c r="F184" s="21">
        <f>Table1[[#This Row],[New RD]]-Table1[[#This Row],[new   od]]</f>
        <v>2</v>
      </c>
      <c r="G184" s="4">
        <f>IF(Table1[[#This Row],[RequiredDate]]&lt;Table1[[#This Row],[OrderDate]], Table1[[#This Row],[OrderDate]]+7, Table1[[#This Row],[RequiredDate]])</f>
        <v>45210</v>
      </c>
      <c r="H184" s="21">
        <f t="shared" si="22"/>
        <v>2</v>
      </c>
      <c r="I184" s="6" t="str">
        <f>IF(Table1[[#This Row],[New LTD]]&lt;=7,"Yes","No")</f>
        <v>Yes</v>
      </c>
      <c r="J184" s="6" t="str">
        <f t="shared" si="23"/>
        <v>No</v>
      </c>
      <c r="K184" t="s">
        <v>646</v>
      </c>
      <c r="L184" t="s">
        <v>651</v>
      </c>
      <c r="M184" t="s">
        <v>663</v>
      </c>
      <c r="N184" t="s">
        <v>702</v>
      </c>
      <c r="O184" t="s">
        <v>709</v>
      </c>
      <c r="P184" t="s">
        <v>723</v>
      </c>
      <c r="Q184" t="s">
        <v>729</v>
      </c>
      <c r="R184" t="s">
        <v>1348</v>
      </c>
      <c r="S184" s="6">
        <v>391.16</v>
      </c>
      <c r="T184" s="6">
        <v>902.47</v>
      </c>
      <c r="U184" s="6">
        <f t="shared" si="24"/>
        <v>902.47</v>
      </c>
      <c r="V184" s="8">
        <v>4.0000000000000001E-3</v>
      </c>
      <c r="W184" s="6">
        <v>12</v>
      </c>
      <c r="X184" s="6">
        <f t="shared" si="25"/>
        <v>10786.32144</v>
      </c>
      <c r="Y184">
        <f t="shared" si="26"/>
        <v>4693.92</v>
      </c>
      <c r="Z184" s="6">
        <f t="shared" si="27"/>
        <v>6092.4014399999996</v>
      </c>
      <c r="AA184">
        <f t="shared" si="28"/>
        <v>0.56482661618139207</v>
      </c>
      <c r="AB184" t="str">
        <f t="shared" si="29"/>
        <v>10-2023</v>
      </c>
      <c r="AC184" t="str">
        <f t="shared" si="30"/>
        <v>Q4-2023</v>
      </c>
      <c r="AD184" t="str">
        <f t="shared" si="31"/>
        <v>Africa →Nigeria →Port Harcourt</v>
      </c>
      <c r="AE184" t="str">
        <f t="shared" si="32"/>
        <v>Medium</v>
      </c>
      <c r="AF184" t="str">
        <f>TEXT(Table1[[#This Row],[OrderDate]],"MMM")</f>
        <v>Oct</v>
      </c>
      <c r="AG184" t="str">
        <f>TEXT(Table1[[#This Row],[OrderDate]],"YYYY")</f>
        <v>2023</v>
      </c>
      <c r="AI184" s="4">
        <f>IF(Table1[[#This Row],[RequiredDate]]&lt;Table1[[#This Row],[OrderDate]], Table1[[#This Row],[OrderDate]]+7, Table1[[#This Row],[RequiredDate]])</f>
        <v>45210</v>
      </c>
      <c r="AJ184">
        <f>IF(Dashboard!$D$3&gt;'Staging Data'!V184,'Staging Data'!V184,Dashboard!D$3)</f>
        <v>4.0000000000000001E-3</v>
      </c>
      <c r="AK184" s="19">
        <f>(100%+Dashboard!$D$4)*'Staging Data'!S184</f>
        <v>410.71800000000002</v>
      </c>
      <c r="AL184">
        <f>(100%+Dashboard!$D$5)*'Staging Data'!W184</f>
        <v>13.799999999999999</v>
      </c>
    </row>
    <row r="185" spans="1:38" x14ac:dyDescent="0.35">
      <c r="A185" s="6" t="s">
        <v>273</v>
      </c>
      <c r="B185" s="4">
        <v>45210</v>
      </c>
      <c r="C185" s="4">
        <v>45212</v>
      </c>
      <c r="D185" s="4">
        <f>IF(Table1[[#This Row],[RequiredDate]]&lt;Table1[[#This Row],[OrderDate]],Table1[[#This Row],[RequiredDate]],Table1[[#This Row],[OrderDate]])</f>
        <v>45210</v>
      </c>
      <c r="E185" s="4">
        <f>IF(Table1[[#This Row],[RequiredDate]]&gt;Table1[[#This Row],[OrderDate]],Table1[[#This Row],[RequiredDate]],Table1[[#This Row],[OrderDate]])</f>
        <v>45212</v>
      </c>
      <c r="F185" s="21">
        <f>Table1[[#This Row],[New RD]]-Table1[[#This Row],[new   od]]</f>
        <v>2</v>
      </c>
      <c r="G185" s="4">
        <f>IF(Table1[[#This Row],[RequiredDate]]&lt;Table1[[#This Row],[OrderDate]], Table1[[#This Row],[OrderDate]]+7, Table1[[#This Row],[RequiredDate]])</f>
        <v>45212</v>
      </c>
      <c r="H185" s="21">
        <f t="shared" si="22"/>
        <v>2</v>
      </c>
      <c r="I185" s="6" t="str">
        <f>IF(Table1[[#This Row],[New LTD]]&lt;=7,"Yes","No")</f>
        <v>Yes</v>
      </c>
      <c r="J185" s="6" t="str">
        <f t="shared" si="23"/>
        <v>No</v>
      </c>
      <c r="K185" t="s">
        <v>648</v>
      </c>
      <c r="L185" t="s">
        <v>655</v>
      </c>
      <c r="M185" t="s">
        <v>672</v>
      </c>
      <c r="N185" t="s">
        <v>704</v>
      </c>
      <c r="O185" t="s">
        <v>710</v>
      </c>
      <c r="P185" t="s">
        <v>1423</v>
      </c>
      <c r="Q185" t="s">
        <v>733</v>
      </c>
      <c r="R185" t="s">
        <v>993</v>
      </c>
      <c r="S185" s="6">
        <v>715.94</v>
      </c>
      <c r="T185" s="6">
        <v>550.07000000000005</v>
      </c>
      <c r="U185" s="6">
        <f t="shared" si="24"/>
        <v>550.07000000000005</v>
      </c>
      <c r="V185" s="8">
        <v>0.14000000000000001</v>
      </c>
      <c r="W185" s="6">
        <v>16</v>
      </c>
      <c r="X185" s="6">
        <f t="shared" si="25"/>
        <v>7568.9632000000001</v>
      </c>
      <c r="Y185">
        <f t="shared" si="26"/>
        <v>11455.04</v>
      </c>
      <c r="Z185" s="6">
        <f t="shared" si="27"/>
        <v>-3886.0768000000007</v>
      </c>
      <c r="AA185">
        <f t="shared" si="28"/>
        <v>-0.51342260456491595</v>
      </c>
      <c r="AB185" t="str">
        <f t="shared" si="29"/>
        <v>10-2023</v>
      </c>
      <c r="AC185" t="str">
        <f t="shared" si="30"/>
        <v>Q4-2023</v>
      </c>
      <c r="AD185" t="str">
        <f t="shared" si="31"/>
        <v>Americas →Brazil →Brasília</v>
      </c>
      <c r="AE185" t="str">
        <f t="shared" si="32"/>
        <v>Low</v>
      </c>
      <c r="AF185" t="str">
        <f>TEXT(Table1[[#This Row],[OrderDate]],"MMM")</f>
        <v>Oct</v>
      </c>
      <c r="AG185" t="str">
        <f>TEXT(Table1[[#This Row],[OrderDate]],"YYYY")</f>
        <v>2023</v>
      </c>
      <c r="AI185" s="4">
        <f>IF(Table1[[#This Row],[RequiredDate]]&lt;Table1[[#This Row],[OrderDate]], Table1[[#This Row],[OrderDate]]+7, Table1[[#This Row],[RequiredDate]])</f>
        <v>45212</v>
      </c>
      <c r="AJ185">
        <f>IF(Dashboard!$D$3&gt;'Staging Data'!V185,'Staging Data'!V185,Dashboard!D$3)</f>
        <v>0.14000000000000001</v>
      </c>
      <c r="AK185" s="19">
        <f>(100%+Dashboard!$D$4)*'Staging Data'!S185</f>
        <v>751.73700000000008</v>
      </c>
      <c r="AL185">
        <f>(100%+Dashboard!$D$5)*'Staging Data'!W185</f>
        <v>18.399999999999999</v>
      </c>
    </row>
    <row r="186" spans="1:38" x14ac:dyDescent="0.35">
      <c r="A186" s="6" t="s">
        <v>434</v>
      </c>
      <c r="B186" s="4">
        <v>45211</v>
      </c>
      <c r="C186" s="4">
        <v>45228</v>
      </c>
      <c r="D186" s="4">
        <f>IF(Table1[[#This Row],[RequiredDate]]&lt;Table1[[#This Row],[OrderDate]],Table1[[#This Row],[RequiredDate]],Table1[[#This Row],[OrderDate]])</f>
        <v>45211</v>
      </c>
      <c r="E186" s="4">
        <f>IF(Table1[[#This Row],[RequiredDate]]&gt;Table1[[#This Row],[OrderDate]],Table1[[#This Row],[RequiredDate]],Table1[[#This Row],[OrderDate]])</f>
        <v>45228</v>
      </c>
      <c r="F186" s="21">
        <f>Table1[[#This Row],[New RD]]-Table1[[#This Row],[new   od]]</f>
        <v>17</v>
      </c>
      <c r="G186" s="4">
        <f>IF(Table1[[#This Row],[RequiredDate]]&lt;Table1[[#This Row],[OrderDate]], Table1[[#This Row],[OrderDate]]+7, Table1[[#This Row],[RequiredDate]])</f>
        <v>45228</v>
      </c>
      <c r="H186" s="21">
        <f t="shared" si="22"/>
        <v>17</v>
      </c>
      <c r="I186" s="6" t="str">
        <f>IF(Table1[[#This Row],[New LTD]]&lt;=7,"Yes","No")</f>
        <v>No</v>
      </c>
      <c r="J186" s="6" t="str">
        <f t="shared" si="23"/>
        <v>No</v>
      </c>
      <c r="K186" t="s">
        <v>647</v>
      </c>
      <c r="L186" t="s">
        <v>652</v>
      </c>
      <c r="M186" t="s">
        <v>694</v>
      </c>
      <c r="N186" t="s">
        <v>703</v>
      </c>
      <c r="O186" t="s">
        <v>711</v>
      </c>
      <c r="P186" t="s">
        <v>722</v>
      </c>
      <c r="Q186" t="s">
        <v>730</v>
      </c>
      <c r="R186" t="s">
        <v>1153</v>
      </c>
      <c r="S186" s="6">
        <v>1102.19</v>
      </c>
      <c r="T186" s="6">
        <v>1711.16</v>
      </c>
      <c r="U186" s="6">
        <f t="shared" si="24"/>
        <v>1711.16</v>
      </c>
      <c r="V186" s="8">
        <v>0.151</v>
      </c>
      <c r="W186" s="6">
        <v>10</v>
      </c>
      <c r="X186" s="6">
        <f t="shared" si="25"/>
        <v>14527.748400000002</v>
      </c>
      <c r="Y186">
        <f t="shared" si="26"/>
        <v>11021.900000000001</v>
      </c>
      <c r="Z186" s="6">
        <f t="shared" si="27"/>
        <v>3505.8484000000008</v>
      </c>
      <c r="AA186">
        <f t="shared" si="28"/>
        <v>0.24132083675127525</v>
      </c>
      <c r="AB186" t="str">
        <f t="shared" si="29"/>
        <v>10-2023</v>
      </c>
      <c r="AC186" t="str">
        <f t="shared" si="30"/>
        <v>Q4-2023</v>
      </c>
      <c r="AD186" t="str">
        <f t="shared" si="31"/>
        <v>Asia →Japan →Nagoya</v>
      </c>
      <c r="AE186" t="str">
        <f t="shared" si="32"/>
        <v>High</v>
      </c>
      <c r="AF186" t="str">
        <f>TEXT(Table1[[#This Row],[OrderDate]],"MMM")</f>
        <v>Oct</v>
      </c>
      <c r="AG186" t="str">
        <f>TEXT(Table1[[#This Row],[OrderDate]],"YYYY")</f>
        <v>2023</v>
      </c>
      <c r="AI186" s="4">
        <f>IF(Table1[[#This Row],[RequiredDate]]&lt;Table1[[#This Row],[OrderDate]], Table1[[#This Row],[OrderDate]]+7, Table1[[#This Row],[RequiredDate]])</f>
        <v>45228</v>
      </c>
      <c r="AJ186">
        <f>IF(Dashboard!$D$3&gt;'Staging Data'!V186,'Staging Data'!V186,Dashboard!D$3)</f>
        <v>0.151</v>
      </c>
      <c r="AK186" s="19">
        <f>(100%+Dashboard!$D$4)*'Staging Data'!S186</f>
        <v>1157.2995000000001</v>
      </c>
      <c r="AL186">
        <f>(100%+Dashboard!$D$5)*'Staging Data'!W186</f>
        <v>11.5</v>
      </c>
    </row>
    <row r="187" spans="1:38" x14ac:dyDescent="0.35">
      <c r="A187" s="6" t="s">
        <v>207</v>
      </c>
      <c r="B187" s="4">
        <v>45214</v>
      </c>
      <c r="C187" s="4">
        <v>45243</v>
      </c>
      <c r="D187" s="4">
        <f>IF(Table1[[#This Row],[RequiredDate]]&lt;Table1[[#This Row],[OrderDate]],Table1[[#This Row],[RequiredDate]],Table1[[#This Row],[OrderDate]])</f>
        <v>45214</v>
      </c>
      <c r="E187" s="4">
        <f>IF(Table1[[#This Row],[RequiredDate]]&gt;Table1[[#This Row],[OrderDate]],Table1[[#This Row],[RequiredDate]],Table1[[#This Row],[OrderDate]])</f>
        <v>45243</v>
      </c>
      <c r="F187" s="21">
        <f>Table1[[#This Row],[New RD]]-Table1[[#This Row],[new   od]]</f>
        <v>29</v>
      </c>
      <c r="G187" s="4">
        <f>IF(Table1[[#This Row],[RequiredDate]]&lt;Table1[[#This Row],[OrderDate]], Table1[[#This Row],[OrderDate]]+7, Table1[[#This Row],[RequiredDate]])</f>
        <v>45243</v>
      </c>
      <c r="H187" s="21">
        <f t="shared" si="22"/>
        <v>29</v>
      </c>
      <c r="I187" s="6" t="str">
        <f>IF(Table1[[#This Row],[New LTD]]&lt;=7,"Yes","No")</f>
        <v>No</v>
      </c>
      <c r="J187" s="6" t="str">
        <f t="shared" si="23"/>
        <v>No</v>
      </c>
      <c r="K187" t="s">
        <v>647</v>
      </c>
      <c r="L187" t="s">
        <v>659</v>
      </c>
      <c r="M187" t="s">
        <v>676</v>
      </c>
      <c r="N187" t="s">
        <v>703</v>
      </c>
      <c r="O187" t="s">
        <v>710</v>
      </c>
      <c r="P187" t="s">
        <v>713</v>
      </c>
      <c r="Q187" t="s">
        <v>728</v>
      </c>
      <c r="R187" t="s">
        <v>927</v>
      </c>
      <c r="S187" s="6">
        <v>986.44</v>
      </c>
      <c r="T187" s="6">
        <v>790.61</v>
      </c>
      <c r="U187" s="6">
        <f t="shared" si="24"/>
        <v>790.61</v>
      </c>
      <c r="V187" s="8">
        <v>7.1999999999999995E-2</v>
      </c>
      <c r="W187" s="6">
        <v>6</v>
      </c>
      <c r="X187" s="6">
        <f t="shared" si="25"/>
        <v>4402.1164799999997</v>
      </c>
      <c r="Y187">
        <f t="shared" si="26"/>
        <v>5918.64</v>
      </c>
      <c r="Z187" s="6">
        <f t="shared" si="27"/>
        <v>-1516.5235200000006</v>
      </c>
      <c r="AA187">
        <f t="shared" si="28"/>
        <v>-0.34449872621271499</v>
      </c>
      <c r="AB187" t="str">
        <f t="shared" si="29"/>
        <v>10-2023</v>
      </c>
      <c r="AC187" t="str">
        <f t="shared" si="30"/>
        <v>Q4-2023</v>
      </c>
      <c r="AD187" t="str">
        <f t="shared" si="31"/>
        <v>Asia →China →Shenzhen</v>
      </c>
      <c r="AE187" t="str">
        <f t="shared" si="32"/>
        <v>Low</v>
      </c>
      <c r="AF187" t="str">
        <f>TEXT(Table1[[#This Row],[OrderDate]],"MMM")</f>
        <v>Oct</v>
      </c>
      <c r="AG187" t="str">
        <f>TEXT(Table1[[#This Row],[OrderDate]],"YYYY")</f>
        <v>2023</v>
      </c>
      <c r="AI187" s="4">
        <f>IF(Table1[[#This Row],[RequiredDate]]&lt;Table1[[#This Row],[OrderDate]], Table1[[#This Row],[OrderDate]]+7, Table1[[#This Row],[RequiredDate]])</f>
        <v>45243</v>
      </c>
      <c r="AJ187">
        <f>IF(Dashboard!$D$3&gt;'Staging Data'!V187,'Staging Data'!V187,Dashboard!D$3)</f>
        <v>7.1999999999999995E-2</v>
      </c>
      <c r="AK187" s="19">
        <f>(100%+Dashboard!$D$4)*'Staging Data'!S187</f>
        <v>1035.7620000000002</v>
      </c>
      <c r="AL187">
        <f>(100%+Dashboard!$D$5)*'Staging Data'!W187</f>
        <v>6.8999999999999995</v>
      </c>
    </row>
    <row r="188" spans="1:38" x14ac:dyDescent="0.35">
      <c r="A188" s="6" t="s">
        <v>449</v>
      </c>
      <c r="B188" s="4">
        <v>45217</v>
      </c>
      <c r="C188" s="4">
        <v>45219</v>
      </c>
      <c r="D188" s="4">
        <f>IF(Table1[[#This Row],[RequiredDate]]&lt;Table1[[#This Row],[OrderDate]],Table1[[#This Row],[RequiredDate]],Table1[[#This Row],[OrderDate]])</f>
        <v>45217</v>
      </c>
      <c r="E188" s="4">
        <f>IF(Table1[[#This Row],[RequiredDate]]&gt;Table1[[#This Row],[OrderDate]],Table1[[#This Row],[RequiredDate]],Table1[[#This Row],[OrderDate]])</f>
        <v>45219</v>
      </c>
      <c r="F188" s="21">
        <f>Table1[[#This Row],[New RD]]-Table1[[#This Row],[new   od]]</f>
        <v>2</v>
      </c>
      <c r="G188" s="4">
        <f>IF(Table1[[#This Row],[RequiredDate]]&lt;Table1[[#This Row],[OrderDate]], Table1[[#This Row],[OrderDate]]+7, Table1[[#This Row],[RequiredDate]])</f>
        <v>45219</v>
      </c>
      <c r="H188" s="21">
        <f t="shared" si="22"/>
        <v>2</v>
      </c>
      <c r="I188" s="6" t="str">
        <f>IF(Table1[[#This Row],[New LTD]]&lt;=7,"Yes","No")</f>
        <v>Yes</v>
      </c>
      <c r="J188" s="6" t="str">
        <f t="shared" si="23"/>
        <v>No</v>
      </c>
      <c r="K188" t="s">
        <v>646</v>
      </c>
      <c r="L188" t="s">
        <v>650</v>
      </c>
      <c r="M188" t="s">
        <v>662</v>
      </c>
      <c r="N188" t="s">
        <v>704</v>
      </c>
      <c r="O188" t="s">
        <v>707</v>
      </c>
      <c r="P188" t="s">
        <v>713</v>
      </c>
      <c r="Q188" t="s">
        <v>730</v>
      </c>
      <c r="R188" t="s">
        <v>1168</v>
      </c>
      <c r="S188" s="6">
        <v>774.12</v>
      </c>
      <c r="T188" s="6">
        <v>908.3</v>
      </c>
      <c r="U188" s="6">
        <f t="shared" si="24"/>
        <v>908.3</v>
      </c>
      <c r="V188" s="8">
        <v>0</v>
      </c>
      <c r="W188" s="6">
        <v>30</v>
      </c>
      <c r="X188" s="6">
        <f t="shared" si="25"/>
        <v>27249</v>
      </c>
      <c r="Y188">
        <f t="shared" si="26"/>
        <v>23223.599999999999</v>
      </c>
      <c r="Z188" s="6">
        <f t="shared" si="27"/>
        <v>4025.4000000000015</v>
      </c>
      <c r="AA188">
        <f t="shared" si="28"/>
        <v>0.14772652207420461</v>
      </c>
      <c r="AB188" t="str">
        <f t="shared" si="29"/>
        <v>10-2023</v>
      </c>
      <c r="AC188" t="str">
        <f t="shared" si="30"/>
        <v>Q4-2023</v>
      </c>
      <c r="AD188" t="str">
        <f t="shared" si="31"/>
        <v>Africa →Kenya →Kisumu</v>
      </c>
      <c r="AE188" t="str">
        <f t="shared" si="32"/>
        <v>Medium</v>
      </c>
      <c r="AF188" t="str">
        <f>TEXT(Table1[[#This Row],[OrderDate]],"MMM")</f>
        <v>Oct</v>
      </c>
      <c r="AG188" t="str">
        <f>TEXT(Table1[[#This Row],[OrderDate]],"YYYY")</f>
        <v>2023</v>
      </c>
      <c r="AI188" s="4">
        <f>IF(Table1[[#This Row],[RequiredDate]]&lt;Table1[[#This Row],[OrderDate]], Table1[[#This Row],[OrderDate]]+7, Table1[[#This Row],[RequiredDate]])</f>
        <v>45219</v>
      </c>
      <c r="AJ188">
        <f>IF(Dashboard!$D$3&gt;'Staging Data'!V188,'Staging Data'!V188,Dashboard!D$3)</f>
        <v>0</v>
      </c>
      <c r="AK188" s="19">
        <f>(100%+Dashboard!$D$4)*'Staging Data'!S188</f>
        <v>812.82600000000002</v>
      </c>
      <c r="AL188">
        <f>(100%+Dashboard!$D$5)*'Staging Data'!W188</f>
        <v>34.5</v>
      </c>
    </row>
    <row r="189" spans="1:38" x14ac:dyDescent="0.35">
      <c r="A189" s="6" t="s">
        <v>306</v>
      </c>
      <c r="B189" s="4">
        <v>45220</v>
      </c>
      <c r="C189" s="4">
        <v>45239</v>
      </c>
      <c r="D189" s="4">
        <f>IF(Table1[[#This Row],[RequiredDate]]&lt;Table1[[#This Row],[OrderDate]],Table1[[#This Row],[RequiredDate]],Table1[[#This Row],[OrderDate]])</f>
        <v>45220</v>
      </c>
      <c r="E189" s="4">
        <f>IF(Table1[[#This Row],[RequiredDate]]&gt;Table1[[#This Row],[OrderDate]],Table1[[#This Row],[RequiredDate]],Table1[[#This Row],[OrderDate]])</f>
        <v>45239</v>
      </c>
      <c r="F189" s="21">
        <f>Table1[[#This Row],[New RD]]-Table1[[#This Row],[new   od]]</f>
        <v>19</v>
      </c>
      <c r="G189" s="4">
        <f>IF(Table1[[#This Row],[RequiredDate]]&lt;Table1[[#This Row],[OrderDate]], Table1[[#This Row],[OrderDate]]+7, Table1[[#This Row],[RequiredDate]])</f>
        <v>45239</v>
      </c>
      <c r="H189" s="21">
        <f t="shared" si="22"/>
        <v>19</v>
      </c>
      <c r="I189" s="6" t="str">
        <f>IF(Table1[[#This Row],[New LTD]]&lt;=7,"Yes","No")</f>
        <v>No</v>
      </c>
      <c r="J189" s="6" t="str">
        <f t="shared" si="23"/>
        <v>Yes</v>
      </c>
      <c r="K189" t="s">
        <v>649</v>
      </c>
      <c r="L189" t="s">
        <v>658</v>
      </c>
      <c r="M189" t="s">
        <v>683</v>
      </c>
      <c r="N189" t="s">
        <v>703</v>
      </c>
      <c r="O189" t="s">
        <v>711</v>
      </c>
      <c r="P189" t="s">
        <v>720</v>
      </c>
      <c r="Q189" t="s">
        <v>733</v>
      </c>
      <c r="R189" t="s">
        <v>1026</v>
      </c>
      <c r="S189" s="6">
        <v>1142.48</v>
      </c>
      <c r="T189" s="6">
        <v>2105.5300000000002</v>
      </c>
      <c r="U189" s="6">
        <f t="shared" si="24"/>
        <v>2105.5300000000002</v>
      </c>
      <c r="V189" s="8">
        <v>0.20699999999999999</v>
      </c>
      <c r="W189" s="6">
        <v>14</v>
      </c>
      <c r="X189" s="6">
        <f t="shared" si="25"/>
        <v>23375.594060000003</v>
      </c>
      <c r="Y189">
        <f t="shared" si="26"/>
        <v>15994.720000000001</v>
      </c>
      <c r="Z189" s="6">
        <f t="shared" si="27"/>
        <v>7380.8740600000019</v>
      </c>
      <c r="AA189">
        <f t="shared" si="28"/>
        <v>0.31575129346680658</v>
      </c>
      <c r="AB189" t="str">
        <f t="shared" si="29"/>
        <v>10-2023</v>
      </c>
      <c r="AC189" t="str">
        <f t="shared" si="30"/>
        <v>Q4-2023</v>
      </c>
      <c r="AD189" t="str">
        <f t="shared" si="31"/>
        <v>Europe →United Kingdom →London</v>
      </c>
      <c r="AE189" t="str">
        <f t="shared" si="32"/>
        <v>High</v>
      </c>
      <c r="AF189" t="str">
        <f>TEXT(Table1[[#This Row],[OrderDate]],"MMM")</f>
        <v>Oct</v>
      </c>
      <c r="AG189" t="str">
        <f>TEXT(Table1[[#This Row],[OrderDate]],"YYYY")</f>
        <v>2023</v>
      </c>
      <c r="AI189" s="4">
        <f>IF(Table1[[#This Row],[RequiredDate]]&lt;Table1[[#This Row],[OrderDate]], Table1[[#This Row],[OrderDate]]+7, Table1[[#This Row],[RequiredDate]])</f>
        <v>45239</v>
      </c>
      <c r="AJ189">
        <f>IF(Dashboard!$D$3&gt;'Staging Data'!V189,'Staging Data'!V189,Dashboard!D$3)</f>
        <v>0.2</v>
      </c>
      <c r="AK189" s="19">
        <f>(100%+Dashboard!$D$4)*'Staging Data'!S189</f>
        <v>1199.604</v>
      </c>
      <c r="AL189">
        <f>(100%+Dashboard!$D$5)*'Staging Data'!W189</f>
        <v>16.099999999999998</v>
      </c>
    </row>
    <row r="190" spans="1:38" x14ac:dyDescent="0.35">
      <c r="A190" s="6" t="s">
        <v>446</v>
      </c>
      <c r="B190" s="4">
        <v>45220</v>
      </c>
      <c r="C190" s="4">
        <v>45220</v>
      </c>
      <c r="D190" s="4">
        <f>IF(Table1[[#This Row],[RequiredDate]]&lt;Table1[[#This Row],[OrderDate]],Table1[[#This Row],[RequiredDate]],Table1[[#This Row],[OrderDate]])</f>
        <v>45220</v>
      </c>
      <c r="E190" s="4">
        <f>IF(Table1[[#This Row],[RequiredDate]]&gt;Table1[[#This Row],[OrderDate]],Table1[[#This Row],[RequiredDate]],Table1[[#This Row],[OrderDate]])</f>
        <v>45220</v>
      </c>
      <c r="F190" s="21">
        <f>Table1[[#This Row],[New RD]]-Table1[[#This Row],[new   od]]</f>
        <v>0</v>
      </c>
      <c r="G190" s="4">
        <f>IF(Table1[[#This Row],[RequiredDate]]&lt;Table1[[#This Row],[OrderDate]], Table1[[#This Row],[OrderDate]]+7, Table1[[#This Row],[RequiredDate]])</f>
        <v>45220</v>
      </c>
      <c r="H190" s="21">
        <f t="shared" si="22"/>
        <v>0</v>
      </c>
      <c r="I190" s="6" t="str">
        <f>IF(Table1[[#This Row],[New LTD]]&lt;=7,"Yes","No")</f>
        <v>Yes</v>
      </c>
      <c r="J190" s="6" t="str">
        <f t="shared" si="23"/>
        <v>No</v>
      </c>
      <c r="K190" t="s">
        <v>649</v>
      </c>
      <c r="L190" t="s">
        <v>658</v>
      </c>
      <c r="M190" t="s">
        <v>693</v>
      </c>
      <c r="N190" t="s">
        <v>706</v>
      </c>
      <c r="O190" t="s">
        <v>710</v>
      </c>
      <c r="P190" t="s">
        <v>713</v>
      </c>
      <c r="Q190" t="s">
        <v>732</v>
      </c>
      <c r="R190" t="s">
        <v>1165</v>
      </c>
      <c r="S190" s="6">
        <v>384.19</v>
      </c>
      <c r="T190" s="6">
        <v>278.35000000000002</v>
      </c>
      <c r="U190" s="6">
        <f t="shared" si="24"/>
        <v>278.35000000000002</v>
      </c>
      <c r="V190" s="8">
        <v>5.6000000000000001E-2</v>
      </c>
      <c r="W190" s="6">
        <v>10</v>
      </c>
      <c r="X190" s="6">
        <f t="shared" si="25"/>
        <v>2627.6239999999998</v>
      </c>
      <c r="Y190">
        <f t="shared" si="26"/>
        <v>3841.9</v>
      </c>
      <c r="Z190" s="6">
        <f t="shared" si="27"/>
        <v>-1214.2760000000003</v>
      </c>
      <c r="AA190">
        <f t="shared" si="28"/>
        <v>-0.46211938998882657</v>
      </c>
      <c r="AB190" t="str">
        <f t="shared" si="29"/>
        <v>10-2023</v>
      </c>
      <c r="AC190" t="str">
        <f t="shared" si="30"/>
        <v>Q4-2023</v>
      </c>
      <c r="AD190" t="str">
        <f t="shared" si="31"/>
        <v>Europe →United Kingdom →Manchester</v>
      </c>
      <c r="AE190" t="str">
        <f t="shared" si="32"/>
        <v>Low</v>
      </c>
      <c r="AF190" t="str">
        <f>TEXT(Table1[[#This Row],[OrderDate]],"MMM")</f>
        <v>Oct</v>
      </c>
      <c r="AG190" t="str">
        <f>TEXT(Table1[[#This Row],[OrderDate]],"YYYY")</f>
        <v>2023</v>
      </c>
      <c r="AI190" s="4">
        <f>IF(Table1[[#This Row],[RequiredDate]]&lt;Table1[[#This Row],[OrderDate]], Table1[[#This Row],[OrderDate]]+7, Table1[[#This Row],[RequiredDate]])</f>
        <v>45220</v>
      </c>
      <c r="AJ190">
        <f>IF(Dashboard!$D$3&gt;'Staging Data'!V190,'Staging Data'!V190,Dashboard!D$3)</f>
        <v>5.6000000000000001E-2</v>
      </c>
      <c r="AK190" s="19">
        <f>(100%+Dashboard!$D$4)*'Staging Data'!S190</f>
        <v>403.39949999999999</v>
      </c>
      <c r="AL190">
        <f>(100%+Dashboard!$D$5)*'Staging Data'!W190</f>
        <v>11.5</v>
      </c>
    </row>
    <row r="191" spans="1:38" x14ac:dyDescent="0.35">
      <c r="A191" s="6" t="s">
        <v>343</v>
      </c>
      <c r="B191" s="4">
        <v>45221</v>
      </c>
      <c r="C191" s="4">
        <v>45246</v>
      </c>
      <c r="D191" s="4">
        <f>IF(Table1[[#This Row],[RequiredDate]]&lt;Table1[[#This Row],[OrderDate]],Table1[[#This Row],[RequiredDate]],Table1[[#This Row],[OrderDate]])</f>
        <v>45221</v>
      </c>
      <c r="E191" s="4">
        <f>IF(Table1[[#This Row],[RequiredDate]]&gt;Table1[[#This Row],[OrderDate]],Table1[[#This Row],[RequiredDate]],Table1[[#This Row],[OrderDate]])</f>
        <v>45246</v>
      </c>
      <c r="F191" s="21">
        <f>Table1[[#This Row],[New RD]]-Table1[[#This Row],[new   od]]</f>
        <v>25</v>
      </c>
      <c r="G191" s="4">
        <f>IF(Table1[[#This Row],[RequiredDate]]&lt;Table1[[#This Row],[OrderDate]], Table1[[#This Row],[OrderDate]]+7, Table1[[#This Row],[RequiredDate]])</f>
        <v>45246</v>
      </c>
      <c r="H191" s="21">
        <f t="shared" si="22"/>
        <v>25</v>
      </c>
      <c r="I191" s="6" t="str">
        <f>IF(Table1[[#This Row],[New LTD]]&lt;=7,"Yes","No")</f>
        <v>No</v>
      </c>
      <c r="J191" s="6" t="str">
        <f t="shared" si="23"/>
        <v>No</v>
      </c>
      <c r="K191" t="s">
        <v>648</v>
      </c>
      <c r="L191" t="s">
        <v>653</v>
      </c>
      <c r="M191" t="s">
        <v>667</v>
      </c>
      <c r="N191" t="s">
        <v>705</v>
      </c>
      <c r="O191" t="s">
        <v>709</v>
      </c>
      <c r="P191" t="s">
        <v>714</v>
      </c>
      <c r="Q191" t="s">
        <v>731</v>
      </c>
      <c r="R191" t="s">
        <v>1063</v>
      </c>
      <c r="S191" s="6">
        <v>1373.31</v>
      </c>
      <c r="T191" s="6">
        <v>3154.14</v>
      </c>
      <c r="U191" s="6">
        <f t="shared" si="24"/>
        <v>3154.14</v>
      </c>
      <c r="V191" s="8">
        <v>0.2</v>
      </c>
      <c r="W191" s="6">
        <v>11</v>
      </c>
      <c r="X191" s="6">
        <f t="shared" si="25"/>
        <v>27756.432000000001</v>
      </c>
      <c r="Y191">
        <f t="shared" si="26"/>
        <v>15106.41</v>
      </c>
      <c r="Z191" s="6">
        <f t="shared" si="27"/>
        <v>12650.022000000001</v>
      </c>
      <c r="AA191">
        <f t="shared" si="28"/>
        <v>0.45575101295440279</v>
      </c>
      <c r="AB191" t="str">
        <f t="shared" si="29"/>
        <v>10-2023</v>
      </c>
      <c r="AC191" t="str">
        <f t="shared" si="30"/>
        <v>Q4-2023</v>
      </c>
      <c r="AD191" t="str">
        <f t="shared" si="31"/>
        <v>Americas →Canada →Toronto</v>
      </c>
      <c r="AE191" t="str">
        <f t="shared" si="32"/>
        <v>High</v>
      </c>
      <c r="AF191" t="str">
        <f>TEXT(Table1[[#This Row],[OrderDate]],"MMM")</f>
        <v>Oct</v>
      </c>
      <c r="AG191" t="str">
        <f>TEXT(Table1[[#This Row],[OrderDate]],"YYYY")</f>
        <v>2023</v>
      </c>
      <c r="AI191" s="4">
        <f>IF(Table1[[#This Row],[RequiredDate]]&lt;Table1[[#This Row],[OrderDate]], Table1[[#This Row],[OrderDate]]+7, Table1[[#This Row],[RequiredDate]])</f>
        <v>45246</v>
      </c>
      <c r="AJ191">
        <f>IF(Dashboard!$D$3&gt;'Staging Data'!V191,'Staging Data'!V191,Dashboard!D$3)</f>
        <v>0.2</v>
      </c>
      <c r="AK191" s="19">
        <f>(100%+Dashboard!$D$4)*'Staging Data'!S191</f>
        <v>1441.9755</v>
      </c>
      <c r="AL191">
        <f>(100%+Dashboard!$D$5)*'Staging Data'!W191</f>
        <v>12.649999999999999</v>
      </c>
    </row>
    <row r="192" spans="1:38" x14ac:dyDescent="0.35">
      <c r="A192" s="6" t="s">
        <v>500</v>
      </c>
      <c r="B192" s="4">
        <v>45224</v>
      </c>
      <c r="C192" s="4">
        <v>45254</v>
      </c>
      <c r="D192" s="4">
        <f>IF(Table1[[#This Row],[RequiredDate]]&lt;Table1[[#This Row],[OrderDate]],Table1[[#This Row],[RequiredDate]],Table1[[#This Row],[OrderDate]])</f>
        <v>45224</v>
      </c>
      <c r="E192" s="4">
        <f>IF(Table1[[#This Row],[RequiredDate]]&gt;Table1[[#This Row],[OrderDate]],Table1[[#This Row],[RequiredDate]],Table1[[#This Row],[OrderDate]])</f>
        <v>45254</v>
      </c>
      <c r="F192" s="21">
        <f>Table1[[#This Row],[New RD]]-Table1[[#This Row],[new   od]]</f>
        <v>30</v>
      </c>
      <c r="G192" s="4">
        <f>IF(Table1[[#This Row],[RequiredDate]]&lt;Table1[[#This Row],[OrderDate]], Table1[[#This Row],[OrderDate]]+7, Table1[[#This Row],[RequiredDate]])</f>
        <v>45254</v>
      </c>
      <c r="H192" s="21">
        <f t="shared" si="22"/>
        <v>30</v>
      </c>
      <c r="I192" s="6" t="str">
        <f>IF(Table1[[#This Row],[New LTD]]&lt;=7,"Yes","No")</f>
        <v>No</v>
      </c>
      <c r="J192" s="6" t="str">
        <f t="shared" si="23"/>
        <v>Yes</v>
      </c>
      <c r="K192" t="s">
        <v>649</v>
      </c>
      <c r="L192" t="s">
        <v>657</v>
      </c>
      <c r="M192" t="s">
        <v>690</v>
      </c>
      <c r="N192" t="s">
        <v>706</v>
      </c>
      <c r="O192" t="s">
        <v>710</v>
      </c>
      <c r="P192" t="s">
        <v>712</v>
      </c>
      <c r="Q192" t="s">
        <v>730</v>
      </c>
      <c r="R192" t="s">
        <v>1219</v>
      </c>
      <c r="S192" s="6">
        <v>287.85000000000002</v>
      </c>
      <c r="T192" s="6">
        <v>602.91999999999996</v>
      </c>
      <c r="U192" s="6">
        <f t="shared" si="24"/>
        <v>602.91999999999996</v>
      </c>
      <c r="V192" s="8">
        <v>0.222</v>
      </c>
      <c r="W192" s="6">
        <v>11</v>
      </c>
      <c r="X192" s="6">
        <f t="shared" si="25"/>
        <v>5159.7893599999998</v>
      </c>
      <c r="Y192">
        <f t="shared" si="26"/>
        <v>3166.3500000000004</v>
      </c>
      <c r="Z192" s="6">
        <f t="shared" si="27"/>
        <v>1993.4393599999994</v>
      </c>
      <c r="AA192">
        <f t="shared" si="28"/>
        <v>0.38634122847216373</v>
      </c>
      <c r="AB192" t="str">
        <f t="shared" si="29"/>
        <v>10-2023</v>
      </c>
      <c r="AC192" t="str">
        <f t="shared" si="30"/>
        <v>Q4-2023</v>
      </c>
      <c r="AD192" t="str">
        <f t="shared" si="31"/>
        <v>Europe →France →Paris</v>
      </c>
      <c r="AE192" t="str">
        <f t="shared" si="32"/>
        <v>Low</v>
      </c>
      <c r="AF192" t="str">
        <f>TEXT(Table1[[#This Row],[OrderDate]],"MMM")</f>
        <v>Oct</v>
      </c>
      <c r="AG192" t="str">
        <f>TEXT(Table1[[#This Row],[OrderDate]],"YYYY")</f>
        <v>2023</v>
      </c>
      <c r="AI192" s="4">
        <f>IF(Table1[[#This Row],[RequiredDate]]&lt;Table1[[#This Row],[OrderDate]], Table1[[#This Row],[OrderDate]]+7, Table1[[#This Row],[RequiredDate]])</f>
        <v>45254</v>
      </c>
      <c r="AJ192">
        <f>IF(Dashboard!$D$3&gt;'Staging Data'!V192,'Staging Data'!V192,Dashboard!D$3)</f>
        <v>0.2</v>
      </c>
      <c r="AK192" s="19">
        <f>(100%+Dashboard!$D$4)*'Staging Data'!S192</f>
        <v>302.24250000000006</v>
      </c>
      <c r="AL192">
        <f>(100%+Dashboard!$D$5)*'Staging Data'!W192</f>
        <v>12.649999999999999</v>
      </c>
    </row>
    <row r="193" spans="1:38" x14ac:dyDescent="0.35">
      <c r="A193" s="6" t="s">
        <v>512</v>
      </c>
      <c r="B193" s="4">
        <v>45224</v>
      </c>
      <c r="C193" s="4">
        <v>45227</v>
      </c>
      <c r="D193" s="4">
        <f>IF(Table1[[#This Row],[RequiredDate]]&lt;Table1[[#This Row],[OrderDate]],Table1[[#This Row],[RequiredDate]],Table1[[#This Row],[OrderDate]])</f>
        <v>45224</v>
      </c>
      <c r="E193" s="4">
        <f>IF(Table1[[#This Row],[RequiredDate]]&gt;Table1[[#This Row],[OrderDate]],Table1[[#This Row],[RequiredDate]],Table1[[#This Row],[OrderDate]])</f>
        <v>45227</v>
      </c>
      <c r="F193" s="21">
        <f>Table1[[#This Row],[New RD]]-Table1[[#This Row],[new   od]]</f>
        <v>3</v>
      </c>
      <c r="G193" s="4">
        <f>IF(Table1[[#This Row],[RequiredDate]]&lt;Table1[[#This Row],[OrderDate]], Table1[[#This Row],[OrderDate]]+7, Table1[[#This Row],[RequiredDate]])</f>
        <v>45227</v>
      </c>
      <c r="H193" s="21">
        <f t="shared" si="22"/>
        <v>3</v>
      </c>
      <c r="I193" s="6" t="str">
        <f>IF(Table1[[#This Row],[New LTD]]&lt;=7,"Yes","No")</f>
        <v>Yes</v>
      </c>
      <c r="J193" s="6" t="str">
        <f t="shared" si="23"/>
        <v>No</v>
      </c>
      <c r="K193" t="s">
        <v>648</v>
      </c>
      <c r="L193" t="s">
        <v>655</v>
      </c>
      <c r="M193" t="s">
        <v>672</v>
      </c>
      <c r="N193" t="s">
        <v>701</v>
      </c>
      <c r="O193" t="s">
        <v>710</v>
      </c>
      <c r="P193" t="s">
        <v>716</v>
      </c>
      <c r="Q193" t="s">
        <v>733</v>
      </c>
      <c r="R193" t="s">
        <v>1231</v>
      </c>
      <c r="S193" s="6">
        <v>509.31</v>
      </c>
      <c r="T193" s="6">
        <v>1145.9000000000001</v>
      </c>
      <c r="U193" s="6">
        <f t="shared" si="24"/>
        <v>1145.9000000000001</v>
      </c>
      <c r="V193" s="8">
        <v>5.7000000000000002E-2</v>
      </c>
      <c r="W193" s="6">
        <v>8</v>
      </c>
      <c r="X193" s="6">
        <f t="shared" si="25"/>
        <v>8644.6696000000011</v>
      </c>
      <c r="Y193">
        <f t="shared" si="26"/>
        <v>4074.48</v>
      </c>
      <c r="Z193" s="6">
        <f t="shared" si="27"/>
        <v>4570.1896000000015</v>
      </c>
      <c r="AA193">
        <f t="shared" si="28"/>
        <v>0.52867140231709964</v>
      </c>
      <c r="AB193" t="str">
        <f t="shared" si="29"/>
        <v>10-2023</v>
      </c>
      <c r="AC193" t="str">
        <f t="shared" si="30"/>
        <v>Q4-2023</v>
      </c>
      <c r="AD193" t="str">
        <f t="shared" si="31"/>
        <v>Americas →Brazil →Brasília</v>
      </c>
      <c r="AE193" t="str">
        <f t="shared" si="32"/>
        <v>Medium</v>
      </c>
      <c r="AF193" t="str">
        <f>TEXT(Table1[[#This Row],[OrderDate]],"MMM")</f>
        <v>Oct</v>
      </c>
      <c r="AG193" t="str">
        <f>TEXT(Table1[[#This Row],[OrderDate]],"YYYY")</f>
        <v>2023</v>
      </c>
      <c r="AI193" s="4">
        <f>IF(Table1[[#This Row],[RequiredDate]]&lt;Table1[[#This Row],[OrderDate]], Table1[[#This Row],[OrderDate]]+7, Table1[[#This Row],[RequiredDate]])</f>
        <v>45227</v>
      </c>
      <c r="AJ193">
        <f>IF(Dashboard!$D$3&gt;'Staging Data'!V193,'Staging Data'!V193,Dashboard!D$3)</f>
        <v>5.7000000000000002E-2</v>
      </c>
      <c r="AK193" s="19">
        <f>(100%+Dashboard!$D$4)*'Staging Data'!S193</f>
        <v>534.77550000000008</v>
      </c>
      <c r="AL193">
        <f>(100%+Dashboard!$D$5)*'Staging Data'!W193</f>
        <v>9.1999999999999993</v>
      </c>
    </row>
    <row r="194" spans="1:38" x14ac:dyDescent="0.35">
      <c r="A194" s="6" t="s">
        <v>403</v>
      </c>
      <c r="B194" s="4">
        <v>45225</v>
      </c>
      <c r="C194" s="4">
        <v>45235</v>
      </c>
      <c r="D194" s="4">
        <f>IF(Table1[[#This Row],[RequiredDate]]&lt;Table1[[#This Row],[OrderDate]],Table1[[#This Row],[RequiredDate]],Table1[[#This Row],[OrderDate]])</f>
        <v>45225</v>
      </c>
      <c r="E194" s="4">
        <f>IF(Table1[[#This Row],[RequiredDate]]&gt;Table1[[#This Row],[OrderDate]],Table1[[#This Row],[RequiredDate]],Table1[[#This Row],[OrderDate]])</f>
        <v>45235</v>
      </c>
      <c r="F194" s="21">
        <f>Table1[[#This Row],[New RD]]-Table1[[#This Row],[new   od]]</f>
        <v>10</v>
      </c>
      <c r="G194" s="4">
        <f>IF(Table1[[#This Row],[RequiredDate]]&lt;Table1[[#This Row],[OrderDate]], Table1[[#This Row],[OrderDate]]+7, Table1[[#This Row],[RequiredDate]])</f>
        <v>45235</v>
      </c>
      <c r="H194" s="21">
        <f t="shared" ref="H194:H257" si="33">G194-B194</f>
        <v>10</v>
      </c>
      <c r="I194" s="6" t="str">
        <f>IF(Table1[[#This Row],[New LTD]]&lt;=7,"Yes","No")</f>
        <v>No</v>
      </c>
      <c r="J194" s="6" t="str">
        <f t="shared" ref="J194:J257" si="34">IF(V194&gt;20%,"Yes","No")</f>
        <v>No</v>
      </c>
      <c r="K194" t="s">
        <v>646</v>
      </c>
      <c r="L194" t="s">
        <v>661</v>
      </c>
      <c r="M194" t="s">
        <v>695</v>
      </c>
      <c r="N194" t="s">
        <v>703</v>
      </c>
      <c r="O194" t="s">
        <v>708</v>
      </c>
      <c r="P194" t="s">
        <v>714</v>
      </c>
      <c r="Q194" t="s">
        <v>731</v>
      </c>
      <c r="R194" t="s">
        <v>1122</v>
      </c>
      <c r="S194" s="6">
        <v>20.38</v>
      </c>
      <c r="T194" s="6">
        <v>42.56</v>
      </c>
      <c r="U194" s="6">
        <f t="shared" ref="U194:U257" si="35">ABS(T194)</f>
        <v>42.56</v>
      </c>
      <c r="V194" s="8">
        <v>7.1999999999999995E-2</v>
      </c>
      <c r="W194" s="6">
        <v>11</v>
      </c>
      <c r="X194" s="6">
        <f t="shared" ref="X194:X257" si="36">U194*W194*(1-V194)</f>
        <v>434.45248000000004</v>
      </c>
      <c r="Y194">
        <f t="shared" ref="Y194:Y257" si="37">S194*W194</f>
        <v>224.17999999999998</v>
      </c>
      <c r="Z194" s="6">
        <f t="shared" ref="Z194:Z257" si="38">X194-Y194</f>
        <v>210.27248000000006</v>
      </c>
      <c r="AA194">
        <f t="shared" ref="AA194:AA257" si="39">IF(X194=0, 0, Z194/ X194)</f>
        <v>0.48399419885921713</v>
      </c>
      <c r="AB194" t="str">
        <f t="shared" ref="AB194:AB257" si="40">_xlfn.CONCAT(MONTH(B194),"-",YEAR(B194))</f>
        <v>10-2023</v>
      </c>
      <c r="AC194" t="str">
        <f t="shared" ref="AC194:AC257" si="41">"Q"&amp;ROUNDUP(MONTH(B194)/3,0)&amp;"-"&amp;YEAR(B194)</f>
        <v>Q4-2023</v>
      </c>
      <c r="AD194" t="str">
        <f t="shared" ref="AD194:AD257" si="42">_xlfn.CONCAT(K194," →",L194," →",M194)</f>
        <v>Africa →South Africa →Cape Town</v>
      </c>
      <c r="AE194" t="str">
        <f t="shared" ref="AE194:AE257" si="43">IF(T194&lt;=LowerCutOff,"Low", IF(T194&lt;=HigherCutOff,"Medium","High"))</f>
        <v>Low</v>
      </c>
      <c r="AF194" t="str">
        <f>TEXT(Table1[[#This Row],[OrderDate]],"MMM")</f>
        <v>Oct</v>
      </c>
      <c r="AG194" t="str">
        <f>TEXT(Table1[[#This Row],[OrderDate]],"YYYY")</f>
        <v>2023</v>
      </c>
      <c r="AI194" s="4">
        <f>IF(Table1[[#This Row],[RequiredDate]]&lt;Table1[[#This Row],[OrderDate]], Table1[[#This Row],[OrderDate]]+7, Table1[[#This Row],[RequiredDate]])</f>
        <v>45235</v>
      </c>
      <c r="AJ194">
        <f>IF(Dashboard!$D$3&gt;'Staging Data'!V194,'Staging Data'!V194,Dashboard!D$3)</f>
        <v>7.1999999999999995E-2</v>
      </c>
      <c r="AK194" s="19">
        <f>(100%+Dashboard!$D$4)*'Staging Data'!S194</f>
        <v>21.399000000000001</v>
      </c>
      <c r="AL194">
        <f>(100%+Dashboard!$D$5)*'Staging Data'!W194</f>
        <v>12.649999999999999</v>
      </c>
    </row>
    <row r="195" spans="1:38" x14ac:dyDescent="0.35">
      <c r="A195" s="6" t="s">
        <v>293</v>
      </c>
      <c r="B195" s="4">
        <v>45229</v>
      </c>
      <c r="C195" s="4">
        <v>45244</v>
      </c>
      <c r="D195" s="4">
        <f>IF(Table1[[#This Row],[RequiredDate]]&lt;Table1[[#This Row],[OrderDate]],Table1[[#This Row],[RequiredDate]],Table1[[#This Row],[OrderDate]])</f>
        <v>45229</v>
      </c>
      <c r="E195" s="4">
        <f>IF(Table1[[#This Row],[RequiredDate]]&gt;Table1[[#This Row],[OrderDate]],Table1[[#This Row],[RequiredDate]],Table1[[#This Row],[OrderDate]])</f>
        <v>45244</v>
      </c>
      <c r="F195" s="21">
        <f>Table1[[#This Row],[New RD]]-Table1[[#This Row],[new   od]]</f>
        <v>15</v>
      </c>
      <c r="G195" s="4">
        <f>IF(Table1[[#This Row],[RequiredDate]]&lt;Table1[[#This Row],[OrderDate]], Table1[[#This Row],[OrderDate]]+7, Table1[[#This Row],[RequiredDate]])</f>
        <v>45244</v>
      </c>
      <c r="H195" s="21">
        <f t="shared" si="33"/>
        <v>15</v>
      </c>
      <c r="I195" s="6" t="str">
        <f>IF(Table1[[#This Row],[New LTD]]&lt;=7,"Yes","No")</f>
        <v>No</v>
      </c>
      <c r="J195" s="6" t="str">
        <f t="shared" si="34"/>
        <v>No</v>
      </c>
      <c r="K195" t="s">
        <v>647</v>
      </c>
      <c r="L195" t="s">
        <v>654</v>
      </c>
      <c r="M195" t="s">
        <v>668</v>
      </c>
      <c r="N195" t="s">
        <v>701</v>
      </c>
      <c r="O195" t="s">
        <v>708</v>
      </c>
      <c r="P195" t="s">
        <v>721</v>
      </c>
      <c r="Q195" t="s">
        <v>731</v>
      </c>
      <c r="R195" t="s">
        <v>1013</v>
      </c>
      <c r="S195" s="6">
        <v>953.46</v>
      </c>
      <c r="T195" s="6">
        <v>2066.75</v>
      </c>
      <c r="U195" s="6">
        <f t="shared" si="35"/>
        <v>2066.75</v>
      </c>
      <c r="V195" s="8">
        <v>0.13800000000000001</v>
      </c>
      <c r="W195" s="6">
        <v>5</v>
      </c>
      <c r="X195" s="6">
        <f t="shared" si="36"/>
        <v>8907.6924999999992</v>
      </c>
      <c r="Y195">
        <f t="shared" si="37"/>
        <v>4767.3</v>
      </c>
      <c r="Z195" s="6">
        <f t="shared" si="38"/>
        <v>4140.392499999999</v>
      </c>
      <c r="AA195">
        <f t="shared" si="39"/>
        <v>0.46481089238318446</v>
      </c>
      <c r="AB195" t="str">
        <f t="shared" si="40"/>
        <v>10-2023</v>
      </c>
      <c r="AC195" t="str">
        <f t="shared" si="41"/>
        <v>Q4-2023</v>
      </c>
      <c r="AD195" t="str">
        <f t="shared" si="42"/>
        <v>Asia →India →Bengaluru</v>
      </c>
      <c r="AE195" t="str">
        <f t="shared" si="43"/>
        <v>High</v>
      </c>
      <c r="AF195" t="str">
        <f>TEXT(Table1[[#This Row],[OrderDate]],"MMM")</f>
        <v>Oct</v>
      </c>
      <c r="AG195" t="str">
        <f>TEXT(Table1[[#This Row],[OrderDate]],"YYYY")</f>
        <v>2023</v>
      </c>
      <c r="AI195" s="4">
        <f>IF(Table1[[#This Row],[RequiredDate]]&lt;Table1[[#This Row],[OrderDate]], Table1[[#This Row],[OrderDate]]+7, Table1[[#This Row],[RequiredDate]])</f>
        <v>45244</v>
      </c>
      <c r="AJ195">
        <f>IF(Dashboard!$D$3&gt;'Staging Data'!V195,'Staging Data'!V195,Dashboard!D$3)</f>
        <v>0.13800000000000001</v>
      </c>
      <c r="AK195" s="19">
        <f>(100%+Dashboard!$D$4)*'Staging Data'!S195</f>
        <v>1001.133</v>
      </c>
      <c r="AL195">
        <f>(100%+Dashboard!$D$5)*'Staging Data'!W195</f>
        <v>5.75</v>
      </c>
    </row>
    <row r="196" spans="1:38" x14ac:dyDescent="0.35">
      <c r="A196" s="6" t="s">
        <v>169</v>
      </c>
      <c r="B196" s="4">
        <v>45230</v>
      </c>
      <c r="C196" s="4">
        <v>45232</v>
      </c>
      <c r="D196" s="4">
        <f>IF(Table1[[#This Row],[RequiredDate]]&lt;Table1[[#This Row],[OrderDate]],Table1[[#This Row],[RequiredDate]],Table1[[#This Row],[OrderDate]])</f>
        <v>45230</v>
      </c>
      <c r="E196" s="4">
        <f>IF(Table1[[#This Row],[RequiredDate]]&gt;Table1[[#This Row],[OrderDate]],Table1[[#This Row],[RequiredDate]],Table1[[#This Row],[OrderDate]])</f>
        <v>45232</v>
      </c>
      <c r="F196" s="21">
        <f>Table1[[#This Row],[New RD]]-Table1[[#This Row],[new   od]]</f>
        <v>2</v>
      </c>
      <c r="G196" s="4">
        <f>IF(Table1[[#This Row],[RequiredDate]]&lt;Table1[[#This Row],[OrderDate]], Table1[[#This Row],[OrderDate]]+7, Table1[[#This Row],[RequiredDate]])</f>
        <v>45232</v>
      </c>
      <c r="H196" s="21">
        <f t="shared" si="33"/>
        <v>2</v>
      </c>
      <c r="I196" s="6" t="str">
        <f>IF(Table1[[#This Row],[New LTD]]&lt;=7,"Yes","No")</f>
        <v>Yes</v>
      </c>
      <c r="J196" s="6" t="str">
        <f t="shared" si="34"/>
        <v>No</v>
      </c>
      <c r="K196" t="s">
        <v>646</v>
      </c>
      <c r="L196" t="s">
        <v>650</v>
      </c>
      <c r="M196" t="s">
        <v>662</v>
      </c>
      <c r="N196" t="s">
        <v>702</v>
      </c>
      <c r="O196" t="s">
        <v>707</v>
      </c>
      <c r="P196" t="s">
        <v>719</v>
      </c>
      <c r="Q196" t="s">
        <v>733</v>
      </c>
      <c r="R196" t="s">
        <v>888</v>
      </c>
      <c r="S196" s="6">
        <v>867.89</v>
      </c>
      <c r="T196" s="6">
        <v>1349.94</v>
      </c>
      <c r="U196" s="6">
        <f t="shared" si="35"/>
        <v>1349.94</v>
      </c>
      <c r="V196" s="8">
        <v>0.184</v>
      </c>
      <c r="W196" s="6">
        <v>10</v>
      </c>
      <c r="X196" s="6">
        <f t="shared" si="36"/>
        <v>11015.510400000003</v>
      </c>
      <c r="Y196">
        <f t="shared" si="37"/>
        <v>8678.9</v>
      </c>
      <c r="Z196" s="6">
        <f t="shared" si="38"/>
        <v>2336.6104000000032</v>
      </c>
      <c r="AA196">
        <f t="shared" si="39"/>
        <v>0.21212003031652557</v>
      </c>
      <c r="AB196" t="str">
        <f t="shared" si="40"/>
        <v>10-2023</v>
      </c>
      <c r="AC196" t="str">
        <f t="shared" si="41"/>
        <v>Q4-2023</v>
      </c>
      <c r="AD196" t="str">
        <f t="shared" si="42"/>
        <v>Africa →Kenya →Kisumu</v>
      </c>
      <c r="AE196" t="str">
        <f t="shared" si="43"/>
        <v>Medium</v>
      </c>
      <c r="AF196" t="str">
        <f>TEXT(Table1[[#This Row],[OrderDate]],"MMM")</f>
        <v>Oct</v>
      </c>
      <c r="AG196" t="str">
        <f>TEXT(Table1[[#This Row],[OrderDate]],"YYYY")</f>
        <v>2023</v>
      </c>
      <c r="AI196" s="4">
        <f>IF(Table1[[#This Row],[RequiredDate]]&lt;Table1[[#This Row],[OrderDate]], Table1[[#This Row],[OrderDate]]+7, Table1[[#This Row],[RequiredDate]])</f>
        <v>45232</v>
      </c>
      <c r="AJ196">
        <f>IF(Dashboard!$D$3&gt;'Staging Data'!V196,'Staging Data'!V196,Dashboard!D$3)</f>
        <v>0.184</v>
      </c>
      <c r="AK196" s="19">
        <f>(100%+Dashboard!$D$4)*'Staging Data'!S196</f>
        <v>911.28449999999998</v>
      </c>
      <c r="AL196">
        <f>(100%+Dashboard!$D$5)*'Staging Data'!W196</f>
        <v>11.5</v>
      </c>
    </row>
    <row r="197" spans="1:38" x14ac:dyDescent="0.35">
      <c r="A197" s="6" t="s">
        <v>228</v>
      </c>
      <c r="B197" s="4">
        <v>45240</v>
      </c>
      <c r="C197" s="4">
        <v>45258</v>
      </c>
      <c r="D197" s="4">
        <f>IF(Table1[[#This Row],[RequiredDate]]&lt;Table1[[#This Row],[OrderDate]],Table1[[#This Row],[RequiredDate]],Table1[[#This Row],[OrderDate]])</f>
        <v>45240</v>
      </c>
      <c r="E197" s="4">
        <f>IF(Table1[[#This Row],[RequiredDate]]&gt;Table1[[#This Row],[OrderDate]],Table1[[#This Row],[RequiredDate]],Table1[[#This Row],[OrderDate]])</f>
        <v>45258</v>
      </c>
      <c r="F197" s="21">
        <f>Table1[[#This Row],[New RD]]-Table1[[#This Row],[new   od]]</f>
        <v>18</v>
      </c>
      <c r="G197" s="4">
        <f>IF(Table1[[#This Row],[RequiredDate]]&lt;Table1[[#This Row],[OrderDate]], Table1[[#This Row],[OrderDate]]+7, Table1[[#This Row],[RequiredDate]])</f>
        <v>45258</v>
      </c>
      <c r="H197" s="21">
        <f t="shared" si="33"/>
        <v>18</v>
      </c>
      <c r="I197" s="6" t="str">
        <f>IF(Table1[[#This Row],[New LTD]]&lt;=7,"Yes","No")</f>
        <v>No</v>
      </c>
      <c r="J197" s="6" t="str">
        <f t="shared" si="34"/>
        <v>No</v>
      </c>
      <c r="K197" t="s">
        <v>648</v>
      </c>
      <c r="L197" t="s">
        <v>655</v>
      </c>
      <c r="M197" t="s">
        <v>672</v>
      </c>
      <c r="N197" t="s">
        <v>702</v>
      </c>
      <c r="O197" t="s">
        <v>709</v>
      </c>
      <c r="P197" t="s">
        <v>716</v>
      </c>
      <c r="Q197" t="s">
        <v>733</v>
      </c>
      <c r="R197" t="s">
        <v>948</v>
      </c>
      <c r="S197" s="6">
        <v>388.51</v>
      </c>
      <c r="T197" s="6">
        <v>776.46</v>
      </c>
      <c r="U197" s="6">
        <f t="shared" si="35"/>
        <v>776.46</v>
      </c>
      <c r="V197" s="8">
        <v>0.157</v>
      </c>
      <c r="W197" s="6">
        <v>12</v>
      </c>
      <c r="X197" s="6">
        <f t="shared" si="36"/>
        <v>7854.6693599999999</v>
      </c>
      <c r="Y197">
        <f t="shared" si="37"/>
        <v>4662.12</v>
      </c>
      <c r="Z197" s="6">
        <f t="shared" si="38"/>
        <v>3192.54936</v>
      </c>
      <c r="AA197">
        <f t="shared" si="39"/>
        <v>0.40645241876864946</v>
      </c>
      <c r="AB197" t="str">
        <f t="shared" si="40"/>
        <v>11-2023</v>
      </c>
      <c r="AC197" t="str">
        <f t="shared" si="41"/>
        <v>Q4-2023</v>
      </c>
      <c r="AD197" t="str">
        <f t="shared" si="42"/>
        <v>Americas →Brazil →Brasília</v>
      </c>
      <c r="AE197" t="str">
        <f t="shared" si="43"/>
        <v>Low</v>
      </c>
      <c r="AF197" t="str">
        <f>TEXT(Table1[[#This Row],[OrderDate]],"MMM")</f>
        <v>Nov</v>
      </c>
      <c r="AG197" t="str">
        <f>TEXT(Table1[[#This Row],[OrderDate]],"YYYY")</f>
        <v>2023</v>
      </c>
      <c r="AI197" s="4">
        <f>IF(Table1[[#This Row],[RequiredDate]]&lt;Table1[[#This Row],[OrderDate]], Table1[[#This Row],[OrderDate]]+7, Table1[[#This Row],[RequiredDate]])</f>
        <v>45258</v>
      </c>
      <c r="AJ197">
        <f>IF(Dashboard!$D$3&gt;'Staging Data'!V197,'Staging Data'!V197,Dashboard!D$3)</f>
        <v>0.157</v>
      </c>
      <c r="AK197" s="19">
        <f>(100%+Dashboard!$D$4)*'Staging Data'!S197</f>
        <v>407.93549999999999</v>
      </c>
      <c r="AL197">
        <f>(100%+Dashboard!$D$5)*'Staging Data'!W197</f>
        <v>13.799999999999999</v>
      </c>
    </row>
    <row r="198" spans="1:38" x14ac:dyDescent="0.35">
      <c r="A198" s="6" t="s">
        <v>331</v>
      </c>
      <c r="B198" s="4">
        <v>45244</v>
      </c>
      <c r="C198" s="4">
        <v>45260</v>
      </c>
      <c r="D198" s="4">
        <f>IF(Table1[[#This Row],[RequiredDate]]&lt;Table1[[#This Row],[OrderDate]],Table1[[#This Row],[RequiredDate]],Table1[[#This Row],[OrderDate]])</f>
        <v>45244</v>
      </c>
      <c r="E198" s="4">
        <f>IF(Table1[[#This Row],[RequiredDate]]&gt;Table1[[#This Row],[OrderDate]],Table1[[#This Row],[RequiredDate]],Table1[[#This Row],[OrderDate]])</f>
        <v>45260</v>
      </c>
      <c r="F198" s="21">
        <f>Table1[[#This Row],[New RD]]-Table1[[#This Row],[new   od]]</f>
        <v>16</v>
      </c>
      <c r="G198" s="4">
        <f>IF(Table1[[#This Row],[RequiredDate]]&lt;Table1[[#This Row],[OrderDate]], Table1[[#This Row],[OrderDate]]+7, Table1[[#This Row],[RequiredDate]])</f>
        <v>45260</v>
      </c>
      <c r="H198" s="21">
        <f t="shared" si="33"/>
        <v>16</v>
      </c>
      <c r="I198" s="6" t="str">
        <f>IF(Table1[[#This Row],[New LTD]]&lt;=7,"Yes","No")</f>
        <v>No</v>
      </c>
      <c r="J198" s="6" t="str">
        <f t="shared" si="34"/>
        <v>No</v>
      </c>
      <c r="K198" t="s">
        <v>648</v>
      </c>
      <c r="L198" t="s">
        <v>655</v>
      </c>
      <c r="M198" t="s">
        <v>670</v>
      </c>
      <c r="N198" t="s">
        <v>706</v>
      </c>
      <c r="O198" t="s">
        <v>711</v>
      </c>
      <c r="P198" t="s">
        <v>723</v>
      </c>
      <c r="Q198" t="s">
        <v>729</v>
      </c>
      <c r="R198" t="s">
        <v>1051</v>
      </c>
      <c r="S198" s="6">
        <v>1017.92</v>
      </c>
      <c r="T198" s="6">
        <v>1175.25</v>
      </c>
      <c r="U198" s="6">
        <f t="shared" si="35"/>
        <v>1175.25</v>
      </c>
      <c r="V198" s="8">
        <v>7.4999999999999997E-2</v>
      </c>
      <c r="W198" s="6">
        <v>15</v>
      </c>
      <c r="X198" s="6">
        <f t="shared" si="36"/>
        <v>16306.59375</v>
      </c>
      <c r="Y198">
        <f t="shared" si="37"/>
        <v>15268.8</v>
      </c>
      <c r="Z198" s="6">
        <f t="shared" si="38"/>
        <v>1037.7937500000007</v>
      </c>
      <c r="AA198">
        <f t="shared" si="39"/>
        <v>6.3642583234159542E-2</v>
      </c>
      <c r="AB198" t="str">
        <f t="shared" si="40"/>
        <v>11-2023</v>
      </c>
      <c r="AC198" t="str">
        <f t="shared" si="41"/>
        <v>Q4-2023</v>
      </c>
      <c r="AD198" t="str">
        <f t="shared" si="42"/>
        <v>Americas →Brazil →São Paulo</v>
      </c>
      <c r="AE198" t="str">
        <f t="shared" si="43"/>
        <v>Medium</v>
      </c>
      <c r="AF198" t="str">
        <f>TEXT(Table1[[#This Row],[OrderDate]],"MMM")</f>
        <v>Nov</v>
      </c>
      <c r="AG198" t="str">
        <f>TEXT(Table1[[#This Row],[OrderDate]],"YYYY")</f>
        <v>2023</v>
      </c>
      <c r="AI198" s="4">
        <f>IF(Table1[[#This Row],[RequiredDate]]&lt;Table1[[#This Row],[OrderDate]], Table1[[#This Row],[OrderDate]]+7, Table1[[#This Row],[RequiredDate]])</f>
        <v>45260</v>
      </c>
      <c r="AJ198">
        <f>IF(Dashboard!$D$3&gt;'Staging Data'!V198,'Staging Data'!V198,Dashboard!D$3)</f>
        <v>7.4999999999999997E-2</v>
      </c>
      <c r="AK198" s="19">
        <f>(100%+Dashboard!$D$4)*'Staging Data'!S198</f>
        <v>1068.816</v>
      </c>
      <c r="AL198">
        <f>(100%+Dashboard!$D$5)*'Staging Data'!W198</f>
        <v>17.25</v>
      </c>
    </row>
    <row r="199" spans="1:38" x14ac:dyDescent="0.35">
      <c r="A199" s="6" t="s">
        <v>347</v>
      </c>
      <c r="B199" s="4">
        <v>45245</v>
      </c>
      <c r="C199" s="4">
        <v>45266</v>
      </c>
      <c r="D199" s="4">
        <f>IF(Table1[[#This Row],[RequiredDate]]&lt;Table1[[#This Row],[OrderDate]],Table1[[#This Row],[RequiredDate]],Table1[[#This Row],[OrderDate]])</f>
        <v>45245</v>
      </c>
      <c r="E199" s="4">
        <f>IF(Table1[[#This Row],[RequiredDate]]&gt;Table1[[#This Row],[OrderDate]],Table1[[#This Row],[RequiredDate]],Table1[[#This Row],[OrderDate]])</f>
        <v>45266</v>
      </c>
      <c r="F199" s="21">
        <f>Table1[[#This Row],[New RD]]-Table1[[#This Row],[new   od]]</f>
        <v>21</v>
      </c>
      <c r="G199" s="4">
        <f>IF(Table1[[#This Row],[RequiredDate]]&lt;Table1[[#This Row],[OrderDate]], Table1[[#This Row],[OrderDate]]+7, Table1[[#This Row],[RequiredDate]])</f>
        <v>45266</v>
      </c>
      <c r="H199" s="21">
        <f t="shared" si="33"/>
        <v>21</v>
      </c>
      <c r="I199" s="6" t="str">
        <f>IF(Table1[[#This Row],[New LTD]]&lt;=7,"Yes","No")</f>
        <v>No</v>
      </c>
      <c r="J199" s="6" t="str">
        <f t="shared" si="34"/>
        <v>No</v>
      </c>
      <c r="K199" t="s">
        <v>649</v>
      </c>
      <c r="L199" t="s">
        <v>658</v>
      </c>
      <c r="M199" t="s">
        <v>693</v>
      </c>
      <c r="N199" t="s">
        <v>702</v>
      </c>
      <c r="O199" t="s">
        <v>711</v>
      </c>
      <c r="P199" t="s">
        <v>722</v>
      </c>
      <c r="Q199" t="s">
        <v>733</v>
      </c>
      <c r="R199" t="s">
        <v>1067</v>
      </c>
      <c r="S199" s="6">
        <v>1184.99</v>
      </c>
      <c r="T199" s="6">
        <v>1154.3399999999999</v>
      </c>
      <c r="U199" s="6">
        <f t="shared" si="35"/>
        <v>1154.3399999999999</v>
      </c>
      <c r="V199" s="8">
        <v>2.8000000000000001E-2</v>
      </c>
      <c r="W199" s="6">
        <v>5</v>
      </c>
      <c r="X199" s="6">
        <f t="shared" si="36"/>
        <v>5610.0923999999995</v>
      </c>
      <c r="Y199">
        <f t="shared" si="37"/>
        <v>5924.95</v>
      </c>
      <c r="Z199" s="6">
        <f t="shared" si="38"/>
        <v>-314.85760000000028</v>
      </c>
      <c r="AA199">
        <f t="shared" si="39"/>
        <v>-5.6123424990290764E-2</v>
      </c>
      <c r="AB199" t="str">
        <f t="shared" si="40"/>
        <v>11-2023</v>
      </c>
      <c r="AC199" t="str">
        <f t="shared" si="41"/>
        <v>Q4-2023</v>
      </c>
      <c r="AD199" t="str">
        <f t="shared" si="42"/>
        <v>Europe →United Kingdom →Manchester</v>
      </c>
      <c r="AE199" t="str">
        <f t="shared" si="43"/>
        <v>Medium</v>
      </c>
      <c r="AF199" t="str">
        <f>TEXT(Table1[[#This Row],[OrderDate]],"MMM")</f>
        <v>Nov</v>
      </c>
      <c r="AG199" t="str">
        <f>TEXT(Table1[[#This Row],[OrderDate]],"YYYY")</f>
        <v>2023</v>
      </c>
      <c r="AI199" s="4">
        <f>IF(Table1[[#This Row],[RequiredDate]]&lt;Table1[[#This Row],[OrderDate]], Table1[[#This Row],[OrderDate]]+7, Table1[[#This Row],[RequiredDate]])</f>
        <v>45266</v>
      </c>
      <c r="AJ199">
        <f>IF(Dashboard!$D$3&gt;'Staging Data'!V199,'Staging Data'!V199,Dashboard!D$3)</f>
        <v>2.8000000000000001E-2</v>
      </c>
      <c r="AK199" s="19">
        <f>(100%+Dashboard!$D$4)*'Staging Data'!S199</f>
        <v>1244.2395000000001</v>
      </c>
      <c r="AL199">
        <f>(100%+Dashboard!$D$5)*'Staging Data'!W199</f>
        <v>5.75</v>
      </c>
    </row>
    <row r="200" spans="1:38" x14ac:dyDescent="0.35">
      <c r="A200" s="6" t="s">
        <v>136</v>
      </c>
      <c r="B200" s="4">
        <v>45249</v>
      </c>
      <c r="C200" s="4">
        <v>45273</v>
      </c>
      <c r="D200" s="4">
        <f>IF(Table1[[#This Row],[RequiredDate]]&lt;Table1[[#This Row],[OrderDate]],Table1[[#This Row],[RequiredDate]],Table1[[#This Row],[OrderDate]])</f>
        <v>45249</v>
      </c>
      <c r="E200" s="4">
        <f>IF(Table1[[#This Row],[RequiredDate]]&gt;Table1[[#This Row],[OrderDate]],Table1[[#This Row],[RequiredDate]],Table1[[#This Row],[OrderDate]])</f>
        <v>45273</v>
      </c>
      <c r="F200" s="21">
        <f>Table1[[#This Row],[New RD]]-Table1[[#This Row],[new   od]]</f>
        <v>24</v>
      </c>
      <c r="G200" s="4">
        <f>IF(Table1[[#This Row],[RequiredDate]]&lt;Table1[[#This Row],[OrderDate]], Table1[[#This Row],[OrderDate]]+7, Table1[[#This Row],[RequiredDate]])</f>
        <v>45273</v>
      </c>
      <c r="H200" s="21">
        <f t="shared" si="33"/>
        <v>24</v>
      </c>
      <c r="I200" s="6" t="str">
        <f>IF(Table1[[#This Row],[New LTD]]&lt;=7,"Yes","No")</f>
        <v>No</v>
      </c>
      <c r="J200" s="6" t="str">
        <f t="shared" si="34"/>
        <v>No</v>
      </c>
      <c r="K200" t="s">
        <v>649</v>
      </c>
      <c r="L200" t="s">
        <v>657</v>
      </c>
      <c r="M200" t="s">
        <v>679</v>
      </c>
      <c r="N200" t="s">
        <v>703</v>
      </c>
      <c r="O200" t="s">
        <v>711</v>
      </c>
      <c r="P200" t="s">
        <v>722</v>
      </c>
      <c r="Q200" t="s">
        <v>732</v>
      </c>
      <c r="R200" t="s">
        <v>855</v>
      </c>
      <c r="S200" s="6">
        <v>1297.42</v>
      </c>
      <c r="T200" s="6">
        <v>2742.97</v>
      </c>
      <c r="U200" s="6">
        <f t="shared" si="35"/>
        <v>2742.97</v>
      </c>
      <c r="V200" s="8">
        <v>6.9000000000000006E-2</v>
      </c>
      <c r="W200" s="6">
        <v>9</v>
      </c>
      <c r="X200" s="6">
        <f t="shared" si="36"/>
        <v>22983.34563</v>
      </c>
      <c r="Y200">
        <f t="shared" si="37"/>
        <v>11676.78</v>
      </c>
      <c r="Z200" s="6">
        <f t="shared" si="38"/>
        <v>11306.565629999999</v>
      </c>
      <c r="AA200">
        <f t="shared" si="39"/>
        <v>0.49194602961727291</v>
      </c>
      <c r="AB200" t="str">
        <f t="shared" si="40"/>
        <v>11-2023</v>
      </c>
      <c r="AC200" t="str">
        <f t="shared" si="41"/>
        <v>Q4-2023</v>
      </c>
      <c r="AD200" t="str">
        <f t="shared" si="42"/>
        <v>Europe →France →Lyon</v>
      </c>
      <c r="AE200" t="str">
        <f t="shared" si="43"/>
        <v>High</v>
      </c>
      <c r="AF200" t="str">
        <f>TEXT(Table1[[#This Row],[OrderDate]],"MMM")</f>
        <v>Nov</v>
      </c>
      <c r="AG200" t="str">
        <f>TEXT(Table1[[#This Row],[OrderDate]],"YYYY")</f>
        <v>2023</v>
      </c>
      <c r="AI200" s="4">
        <f>IF(Table1[[#This Row],[RequiredDate]]&lt;Table1[[#This Row],[OrderDate]], Table1[[#This Row],[OrderDate]]+7, Table1[[#This Row],[RequiredDate]])</f>
        <v>45273</v>
      </c>
      <c r="AJ200">
        <f>IF(Dashboard!$D$3&gt;'Staging Data'!V200,'Staging Data'!V200,Dashboard!D$3)</f>
        <v>6.9000000000000006E-2</v>
      </c>
      <c r="AK200" s="19">
        <f>(100%+Dashboard!$D$4)*'Staging Data'!S200</f>
        <v>1362.2910000000002</v>
      </c>
      <c r="AL200">
        <f>(100%+Dashboard!$D$5)*'Staging Data'!W200</f>
        <v>10.35</v>
      </c>
    </row>
    <row r="201" spans="1:38" x14ac:dyDescent="0.35">
      <c r="A201" s="6" t="s">
        <v>639</v>
      </c>
      <c r="B201" s="4">
        <v>45249</v>
      </c>
      <c r="C201" s="4">
        <v>45272</v>
      </c>
      <c r="D201" s="4">
        <f>IF(Table1[[#This Row],[RequiredDate]]&lt;Table1[[#This Row],[OrderDate]],Table1[[#This Row],[RequiredDate]],Table1[[#This Row],[OrderDate]])</f>
        <v>45249</v>
      </c>
      <c r="E201" s="4">
        <f>IF(Table1[[#This Row],[RequiredDate]]&gt;Table1[[#This Row],[OrderDate]],Table1[[#This Row],[RequiredDate]],Table1[[#This Row],[OrderDate]])</f>
        <v>45272</v>
      </c>
      <c r="F201" s="21">
        <f>Table1[[#This Row],[New RD]]-Table1[[#This Row],[new   od]]</f>
        <v>23</v>
      </c>
      <c r="G201" s="4">
        <f>IF(Table1[[#This Row],[RequiredDate]]&lt;Table1[[#This Row],[OrderDate]], Table1[[#This Row],[OrderDate]]+7, Table1[[#This Row],[RequiredDate]])</f>
        <v>45272</v>
      </c>
      <c r="H201" s="21">
        <f t="shared" si="33"/>
        <v>23</v>
      </c>
      <c r="I201" s="6" t="str">
        <f>IF(Table1[[#This Row],[New LTD]]&lt;=7,"Yes","No")</f>
        <v>No</v>
      </c>
      <c r="J201" s="6" t="str">
        <f t="shared" si="34"/>
        <v>No</v>
      </c>
      <c r="K201" t="s">
        <v>647</v>
      </c>
      <c r="L201" t="s">
        <v>654</v>
      </c>
      <c r="M201" t="s">
        <v>680</v>
      </c>
      <c r="N201" t="s">
        <v>705</v>
      </c>
      <c r="O201" t="s">
        <v>711</v>
      </c>
      <c r="P201" t="s">
        <v>712</v>
      </c>
      <c r="Q201" t="s">
        <v>729</v>
      </c>
      <c r="R201" t="s">
        <v>1357</v>
      </c>
      <c r="S201" s="6">
        <v>1349.04</v>
      </c>
      <c r="T201" s="6">
        <v>2636.6</v>
      </c>
      <c r="U201" s="6">
        <f t="shared" si="35"/>
        <v>2636.6</v>
      </c>
      <c r="V201" s="8">
        <v>0.114</v>
      </c>
      <c r="W201" s="6">
        <v>14</v>
      </c>
      <c r="X201" s="6">
        <f t="shared" si="36"/>
        <v>32704.386400000003</v>
      </c>
      <c r="Y201">
        <f t="shared" si="37"/>
        <v>18886.559999999998</v>
      </c>
      <c r="Z201" s="6">
        <f t="shared" si="38"/>
        <v>13817.826400000005</v>
      </c>
      <c r="AA201">
        <f t="shared" si="39"/>
        <v>0.42250682312143928</v>
      </c>
      <c r="AB201" t="str">
        <f t="shared" si="40"/>
        <v>11-2023</v>
      </c>
      <c r="AC201" t="str">
        <f t="shared" si="41"/>
        <v>Q4-2023</v>
      </c>
      <c r="AD201" t="str">
        <f t="shared" si="42"/>
        <v>Asia →India →Delhi</v>
      </c>
      <c r="AE201" t="str">
        <f t="shared" si="43"/>
        <v>High</v>
      </c>
      <c r="AF201" t="str">
        <f>TEXT(Table1[[#This Row],[OrderDate]],"MMM")</f>
        <v>Nov</v>
      </c>
      <c r="AG201" t="str">
        <f>TEXT(Table1[[#This Row],[OrderDate]],"YYYY")</f>
        <v>2023</v>
      </c>
      <c r="AI201" s="4">
        <f>IF(Table1[[#This Row],[RequiredDate]]&lt;Table1[[#This Row],[OrderDate]], Table1[[#This Row],[OrderDate]]+7, Table1[[#This Row],[RequiredDate]])</f>
        <v>45272</v>
      </c>
      <c r="AJ201">
        <f>IF(Dashboard!$D$3&gt;'Staging Data'!V201,'Staging Data'!V201,Dashboard!D$3)</f>
        <v>0.114</v>
      </c>
      <c r="AK201" s="19">
        <f>(100%+Dashboard!$D$4)*'Staging Data'!S201</f>
        <v>1416.492</v>
      </c>
      <c r="AL201">
        <f>(100%+Dashboard!$D$5)*'Staging Data'!W201</f>
        <v>16.099999999999998</v>
      </c>
    </row>
    <row r="202" spans="1:38" x14ac:dyDescent="0.35">
      <c r="A202" s="6" t="s">
        <v>644</v>
      </c>
      <c r="B202" s="4">
        <v>45249</v>
      </c>
      <c r="C202" s="4">
        <v>45279</v>
      </c>
      <c r="D202" s="4">
        <f>IF(Table1[[#This Row],[RequiredDate]]&lt;Table1[[#This Row],[OrderDate]],Table1[[#This Row],[RequiredDate]],Table1[[#This Row],[OrderDate]])</f>
        <v>45249</v>
      </c>
      <c r="E202" s="4">
        <f>IF(Table1[[#This Row],[RequiredDate]]&gt;Table1[[#This Row],[OrderDate]],Table1[[#This Row],[RequiredDate]],Table1[[#This Row],[OrderDate]])</f>
        <v>45279</v>
      </c>
      <c r="F202" s="21">
        <f>Table1[[#This Row],[New RD]]-Table1[[#This Row],[new   od]]</f>
        <v>30</v>
      </c>
      <c r="G202" s="4">
        <f>IF(Table1[[#This Row],[RequiredDate]]&lt;Table1[[#This Row],[OrderDate]], Table1[[#This Row],[OrderDate]]+7, Table1[[#This Row],[RequiredDate]])</f>
        <v>45279</v>
      </c>
      <c r="H202" s="21">
        <f t="shared" si="33"/>
        <v>30</v>
      </c>
      <c r="I202" s="6" t="str">
        <f>IF(Table1[[#This Row],[New LTD]]&lt;=7,"Yes","No")</f>
        <v>No</v>
      </c>
      <c r="J202" s="6" t="str">
        <f t="shared" si="34"/>
        <v>No</v>
      </c>
      <c r="K202" t="s">
        <v>647</v>
      </c>
      <c r="L202" t="s">
        <v>652</v>
      </c>
      <c r="M202" t="s">
        <v>694</v>
      </c>
      <c r="N202" t="s">
        <v>704</v>
      </c>
      <c r="O202" t="s">
        <v>707</v>
      </c>
      <c r="P202" t="s">
        <v>1423</v>
      </c>
      <c r="Q202" t="s">
        <v>730</v>
      </c>
      <c r="R202" t="s">
        <v>1362</v>
      </c>
      <c r="S202" s="6">
        <v>807.11</v>
      </c>
      <c r="T202" s="6">
        <v>1853.86</v>
      </c>
      <c r="U202" s="6">
        <f t="shared" si="35"/>
        <v>1853.86</v>
      </c>
      <c r="V202" s="8">
        <v>0.13900000000000001</v>
      </c>
      <c r="W202" s="6">
        <v>8</v>
      </c>
      <c r="X202" s="6">
        <f t="shared" si="36"/>
        <v>12769.38768</v>
      </c>
      <c r="Y202">
        <f t="shared" si="37"/>
        <v>6456.88</v>
      </c>
      <c r="Z202" s="6">
        <f t="shared" si="38"/>
        <v>6312.5076799999997</v>
      </c>
      <c r="AA202">
        <f t="shared" si="39"/>
        <v>0.49434693645388639</v>
      </c>
      <c r="AB202" t="str">
        <f t="shared" si="40"/>
        <v>11-2023</v>
      </c>
      <c r="AC202" t="str">
        <f t="shared" si="41"/>
        <v>Q4-2023</v>
      </c>
      <c r="AD202" t="str">
        <f t="shared" si="42"/>
        <v>Asia →Japan →Nagoya</v>
      </c>
      <c r="AE202" t="str">
        <f t="shared" si="43"/>
        <v>High</v>
      </c>
      <c r="AF202" t="str">
        <f>TEXT(Table1[[#This Row],[OrderDate]],"MMM")</f>
        <v>Nov</v>
      </c>
      <c r="AG202" t="str">
        <f>TEXT(Table1[[#This Row],[OrderDate]],"YYYY")</f>
        <v>2023</v>
      </c>
      <c r="AI202" s="4">
        <f>IF(Table1[[#This Row],[RequiredDate]]&lt;Table1[[#This Row],[OrderDate]], Table1[[#This Row],[OrderDate]]+7, Table1[[#This Row],[RequiredDate]])</f>
        <v>45279</v>
      </c>
      <c r="AJ202">
        <f>IF(Dashboard!$D$3&gt;'Staging Data'!V202,'Staging Data'!V202,Dashboard!D$3)</f>
        <v>0.13900000000000001</v>
      </c>
      <c r="AK202" s="19">
        <f>(100%+Dashboard!$D$4)*'Staging Data'!S202</f>
        <v>847.46550000000002</v>
      </c>
      <c r="AL202">
        <f>(100%+Dashboard!$D$5)*'Staging Data'!W202</f>
        <v>9.1999999999999993</v>
      </c>
    </row>
    <row r="203" spans="1:38" x14ac:dyDescent="0.35">
      <c r="A203" s="6" t="s">
        <v>129</v>
      </c>
      <c r="B203" s="4">
        <v>45250</v>
      </c>
      <c r="C203" s="4">
        <v>45265</v>
      </c>
      <c r="D203" s="4">
        <f>IF(Table1[[#This Row],[RequiredDate]]&lt;Table1[[#This Row],[OrderDate]],Table1[[#This Row],[RequiredDate]],Table1[[#This Row],[OrderDate]])</f>
        <v>45250</v>
      </c>
      <c r="E203" s="4">
        <f>IF(Table1[[#This Row],[RequiredDate]]&gt;Table1[[#This Row],[OrderDate]],Table1[[#This Row],[RequiredDate]],Table1[[#This Row],[OrderDate]])</f>
        <v>45265</v>
      </c>
      <c r="F203" s="21">
        <f>Table1[[#This Row],[New RD]]-Table1[[#This Row],[new   od]]</f>
        <v>15</v>
      </c>
      <c r="G203" s="4">
        <f>IF(Table1[[#This Row],[RequiredDate]]&lt;Table1[[#This Row],[OrderDate]], Table1[[#This Row],[OrderDate]]+7, Table1[[#This Row],[RequiredDate]])</f>
        <v>45265</v>
      </c>
      <c r="H203" s="21">
        <f t="shared" si="33"/>
        <v>15</v>
      </c>
      <c r="I203" s="6" t="str">
        <f>IF(Table1[[#This Row],[New LTD]]&lt;=7,"Yes","No")</f>
        <v>No</v>
      </c>
      <c r="J203" s="6" t="str">
        <f t="shared" si="34"/>
        <v>No</v>
      </c>
      <c r="K203" t="s">
        <v>647</v>
      </c>
      <c r="L203" t="s">
        <v>652</v>
      </c>
      <c r="M203" t="s">
        <v>689</v>
      </c>
      <c r="N203" t="s">
        <v>706</v>
      </c>
      <c r="O203" t="s">
        <v>707</v>
      </c>
      <c r="P203" t="s">
        <v>716</v>
      </c>
      <c r="Q203" t="s">
        <v>729</v>
      </c>
      <c r="R203" t="s">
        <v>848</v>
      </c>
      <c r="S203" s="6">
        <v>354.24</v>
      </c>
      <c r="T203" s="6">
        <v>249.87</v>
      </c>
      <c r="U203" s="6">
        <f t="shared" si="35"/>
        <v>249.87</v>
      </c>
      <c r="V203" s="8">
        <v>0</v>
      </c>
      <c r="W203" s="6">
        <v>6</v>
      </c>
      <c r="X203" s="6">
        <f t="shared" si="36"/>
        <v>1499.22</v>
      </c>
      <c r="Y203">
        <f t="shared" si="37"/>
        <v>2125.44</v>
      </c>
      <c r="Z203" s="6">
        <f t="shared" si="38"/>
        <v>-626.22</v>
      </c>
      <c r="AA203">
        <f t="shared" si="39"/>
        <v>-0.41769720254532355</v>
      </c>
      <c r="AB203" t="str">
        <f t="shared" si="40"/>
        <v>11-2023</v>
      </c>
      <c r="AC203" t="str">
        <f t="shared" si="41"/>
        <v>Q4-2023</v>
      </c>
      <c r="AD203" t="str">
        <f t="shared" si="42"/>
        <v>Asia →Japan →Tokyo</v>
      </c>
      <c r="AE203" t="str">
        <f t="shared" si="43"/>
        <v>Low</v>
      </c>
      <c r="AF203" t="str">
        <f>TEXT(Table1[[#This Row],[OrderDate]],"MMM")</f>
        <v>Nov</v>
      </c>
      <c r="AG203" t="str">
        <f>TEXT(Table1[[#This Row],[OrderDate]],"YYYY")</f>
        <v>2023</v>
      </c>
      <c r="AI203" s="4">
        <f>IF(Table1[[#This Row],[RequiredDate]]&lt;Table1[[#This Row],[OrderDate]], Table1[[#This Row],[OrderDate]]+7, Table1[[#This Row],[RequiredDate]])</f>
        <v>45265</v>
      </c>
      <c r="AJ203">
        <f>IF(Dashboard!$D$3&gt;'Staging Data'!V203,'Staging Data'!V203,Dashboard!D$3)</f>
        <v>0</v>
      </c>
      <c r="AK203" s="19">
        <f>(100%+Dashboard!$D$4)*'Staging Data'!S203</f>
        <v>371.952</v>
      </c>
      <c r="AL203">
        <f>(100%+Dashboard!$D$5)*'Staging Data'!W203</f>
        <v>6.8999999999999995</v>
      </c>
    </row>
    <row r="204" spans="1:38" x14ac:dyDescent="0.35">
      <c r="A204" s="6" t="s">
        <v>252</v>
      </c>
      <c r="B204" s="4">
        <v>45258</v>
      </c>
      <c r="C204" s="4">
        <v>45267</v>
      </c>
      <c r="D204" s="4">
        <f>IF(Table1[[#This Row],[RequiredDate]]&lt;Table1[[#This Row],[OrderDate]],Table1[[#This Row],[RequiredDate]],Table1[[#This Row],[OrderDate]])</f>
        <v>45258</v>
      </c>
      <c r="E204" s="4">
        <f>IF(Table1[[#This Row],[RequiredDate]]&gt;Table1[[#This Row],[OrderDate]],Table1[[#This Row],[RequiredDate]],Table1[[#This Row],[OrderDate]])</f>
        <v>45267</v>
      </c>
      <c r="F204" s="21">
        <f>Table1[[#This Row],[New RD]]-Table1[[#This Row],[new   od]]</f>
        <v>9</v>
      </c>
      <c r="G204" s="4">
        <f>IF(Table1[[#This Row],[RequiredDate]]&lt;Table1[[#This Row],[OrderDate]], Table1[[#This Row],[OrderDate]]+7, Table1[[#This Row],[RequiredDate]])</f>
        <v>45267</v>
      </c>
      <c r="H204" s="21">
        <f t="shared" si="33"/>
        <v>9</v>
      </c>
      <c r="I204" s="6" t="str">
        <f>IF(Table1[[#This Row],[New LTD]]&lt;=7,"Yes","No")</f>
        <v>No</v>
      </c>
      <c r="J204" s="6" t="str">
        <f t="shared" si="34"/>
        <v>Yes</v>
      </c>
      <c r="K204" t="s">
        <v>647</v>
      </c>
      <c r="L204" t="s">
        <v>654</v>
      </c>
      <c r="M204" t="s">
        <v>680</v>
      </c>
      <c r="N204" t="s">
        <v>706</v>
      </c>
      <c r="O204" t="s">
        <v>709</v>
      </c>
      <c r="P204" t="s">
        <v>716</v>
      </c>
      <c r="Q204" t="s">
        <v>730</v>
      </c>
      <c r="R204" t="s">
        <v>972</v>
      </c>
      <c r="S204" s="6">
        <v>699.33</v>
      </c>
      <c r="T204" s="6">
        <v>873.75</v>
      </c>
      <c r="U204" s="6">
        <f t="shared" si="35"/>
        <v>873.75</v>
      </c>
      <c r="V204" s="8">
        <v>0.23499999999999999</v>
      </c>
      <c r="W204" s="6">
        <v>10</v>
      </c>
      <c r="X204" s="6">
        <f t="shared" si="36"/>
        <v>6684.1875</v>
      </c>
      <c r="Y204">
        <f t="shared" si="37"/>
        <v>6993.3</v>
      </c>
      <c r="Z204" s="6">
        <f t="shared" si="38"/>
        <v>-309.11250000000018</v>
      </c>
      <c r="AA204">
        <f t="shared" si="39"/>
        <v>-4.6245336475076469E-2</v>
      </c>
      <c r="AB204" t="str">
        <f t="shared" si="40"/>
        <v>11-2023</v>
      </c>
      <c r="AC204" t="str">
        <f t="shared" si="41"/>
        <v>Q4-2023</v>
      </c>
      <c r="AD204" t="str">
        <f t="shared" si="42"/>
        <v>Asia →India →Delhi</v>
      </c>
      <c r="AE204" t="str">
        <f t="shared" si="43"/>
        <v>Medium</v>
      </c>
      <c r="AF204" t="str">
        <f>TEXT(Table1[[#This Row],[OrderDate]],"MMM")</f>
        <v>Nov</v>
      </c>
      <c r="AG204" t="str">
        <f>TEXT(Table1[[#This Row],[OrderDate]],"YYYY")</f>
        <v>2023</v>
      </c>
      <c r="AI204" s="4">
        <f>IF(Table1[[#This Row],[RequiredDate]]&lt;Table1[[#This Row],[OrderDate]], Table1[[#This Row],[OrderDate]]+7, Table1[[#This Row],[RequiredDate]])</f>
        <v>45267</v>
      </c>
      <c r="AJ204">
        <f>IF(Dashboard!$D$3&gt;'Staging Data'!V204,'Staging Data'!V204,Dashboard!D$3)</f>
        <v>0.2</v>
      </c>
      <c r="AK204" s="19">
        <f>(100%+Dashboard!$D$4)*'Staging Data'!S204</f>
        <v>734.29650000000004</v>
      </c>
      <c r="AL204">
        <f>(100%+Dashboard!$D$5)*'Staging Data'!W204</f>
        <v>11.5</v>
      </c>
    </row>
    <row r="205" spans="1:38" x14ac:dyDescent="0.35">
      <c r="A205" s="6" t="s">
        <v>160</v>
      </c>
      <c r="B205" s="4">
        <v>45260</v>
      </c>
      <c r="C205" s="4">
        <v>45259</v>
      </c>
      <c r="D205" s="4">
        <f>IF(Table1[[#This Row],[RequiredDate]]&lt;Table1[[#This Row],[OrderDate]],Table1[[#This Row],[RequiredDate]],Table1[[#This Row],[OrderDate]])</f>
        <v>45259</v>
      </c>
      <c r="E205" s="4">
        <f>IF(Table1[[#This Row],[RequiredDate]]&gt;Table1[[#This Row],[OrderDate]],Table1[[#This Row],[RequiredDate]],Table1[[#This Row],[OrderDate]])</f>
        <v>45260</v>
      </c>
      <c r="F205" s="21">
        <f>Table1[[#This Row],[New RD]]-Table1[[#This Row],[new   od]]</f>
        <v>1</v>
      </c>
      <c r="G205" s="4">
        <f>IF(Table1[[#This Row],[RequiredDate]]&lt;Table1[[#This Row],[OrderDate]], Table1[[#This Row],[OrderDate]]+7, Table1[[#This Row],[RequiredDate]])</f>
        <v>45267</v>
      </c>
      <c r="H205" s="21">
        <f t="shared" si="33"/>
        <v>7</v>
      </c>
      <c r="I205" s="6" t="str">
        <f>IF(Table1[[#This Row],[New LTD]]&lt;=7,"Yes","No")</f>
        <v>Yes</v>
      </c>
      <c r="J205" s="6" t="str">
        <f t="shared" si="34"/>
        <v>No</v>
      </c>
      <c r="K205" t="s">
        <v>646</v>
      </c>
      <c r="L205" t="s">
        <v>661</v>
      </c>
      <c r="M205" t="s">
        <v>687</v>
      </c>
      <c r="N205" t="s">
        <v>705</v>
      </c>
      <c r="O205" t="s">
        <v>709</v>
      </c>
      <c r="P205" t="s">
        <v>718</v>
      </c>
      <c r="Q205" t="s">
        <v>731</v>
      </c>
      <c r="R205" t="s">
        <v>879</v>
      </c>
      <c r="S205" s="6">
        <v>275.56</v>
      </c>
      <c r="T205" s="6">
        <v>630.72</v>
      </c>
      <c r="U205" s="6">
        <f t="shared" si="35"/>
        <v>630.72</v>
      </c>
      <c r="V205" s="8">
        <v>0.107</v>
      </c>
      <c r="W205" s="6">
        <v>23</v>
      </c>
      <c r="X205" s="6">
        <f t="shared" si="36"/>
        <v>12954.358080000002</v>
      </c>
      <c r="Y205">
        <f t="shared" si="37"/>
        <v>6337.88</v>
      </c>
      <c r="Z205" s="6">
        <f t="shared" si="38"/>
        <v>6616.4780800000017</v>
      </c>
      <c r="AA205">
        <f t="shared" si="39"/>
        <v>0.5107530638831933</v>
      </c>
      <c r="AB205" t="str">
        <f t="shared" si="40"/>
        <v>11-2023</v>
      </c>
      <c r="AC205" t="str">
        <f t="shared" si="41"/>
        <v>Q4-2023</v>
      </c>
      <c r="AD205" t="str">
        <f t="shared" si="42"/>
        <v>Africa →South Africa →Durban</v>
      </c>
      <c r="AE205" t="str">
        <f t="shared" si="43"/>
        <v>Low</v>
      </c>
      <c r="AF205" t="str">
        <f>TEXT(Table1[[#This Row],[OrderDate]],"MMM")</f>
        <v>Nov</v>
      </c>
      <c r="AG205" t="str">
        <f>TEXT(Table1[[#This Row],[OrderDate]],"YYYY")</f>
        <v>2023</v>
      </c>
      <c r="AI205" s="4">
        <f>IF(Table1[[#This Row],[RequiredDate]]&lt;Table1[[#This Row],[OrderDate]], Table1[[#This Row],[OrderDate]]+7, Table1[[#This Row],[RequiredDate]])</f>
        <v>45267</v>
      </c>
      <c r="AJ205">
        <f>IF(Dashboard!$D$3&gt;'Staging Data'!V205,'Staging Data'!V205,Dashboard!D$3)</f>
        <v>0.107</v>
      </c>
      <c r="AK205" s="19">
        <f>(100%+Dashboard!$D$4)*'Staging Data'!S205</f>
        <v>289.33800000000002</v>
      </c>
      <c r="AL205">
        <f>(100%+Dashboard!$D$5)*'Staging Data'!W205</f>
        <v>26.45</v>
      </c>
    </row>
    <row r="206" spans="1:38" x14ac:dyDescent="0.35">
      <c r="A206" s="6" t="s">
        <v>472</v>
      </c>
      <c r="B206" s="4">
        <v>45260</v>
      </c>
      <c r="C206" s="4">
        <v>45270</v>
      </c>
      <c r="D206" s="4">
        <f>IF(Table1[[#This Row],[RequiredDate]]&lt;Table1[[#This Row],[OrderDate]],Table1[[#This Row],[RequiredDate]],Table1[[#This Row],[OrderDate]])</f>
        <v>45260</v>
      </c>
      <c r="E206" s="4">
        <f>IF(Table1[[#This Row],[RequiredDate]]&gt;Table1[[#This Row],[OrderDate]],Table1[[#This Row],[RequiredDate]],Table1[[#This Row],[OrderDate]])</f>
        <v>45270</v>
      </c>
      <c r="F206" s="21">
        <f>Table1[[#This Row],[New RD]]-Table1[[#This Row],[new   od]]</f>
        <v>10</v>
      </c>
      <c r="G206" s="4">
        <f>IF(Table1[[#This Row],[RequiredDate]]&lt;Table1[[#This Row],[OrderDate]], Table1[[#This Row],[OrderDate]]+7, Table1[[#This Row],[RequiredDate]])</f>
        <v>45270</v>
      </c>
      <c r="H206" s="21">
        <f t="shared" si="33"/>
        <v>10</v>
      </c>
      <c r="I206" s="6" t="str">
        <f>IF(Table1[[#This Row],[New LTD]]&lt;=7,"Yes","No")</f>
        <v>No</v>
      </c>
      <c r="J206" s="6" t="str">
        <f t="shared" si="34"/>
        <v>No</v>
      </c>
      <c r="K206" t="s">
        <v>649</v>
      </c>
      <c r="L206" t="s">
        <v>656</v>
      </c>
      <c r="M206" t="s">
        <v>684</v>
      </c>
      <c r="N206" t="s">
        <v>705</v>
      </c>
      <c r="O206" t="s">
        <v>711</v>
      </c>
      <c r="P206" t="s">
        <v>721</v>
      </c>
      <c r="Q206" t="s">
        <v>731</v>
      </c>
      <c r="R206" t="s">
        <v>1191</v>
      </c>
      <c r="S206" s="6">
        <v>174.74</v>
      </c>
      <c r="T206" s="6">
        <v>415.96</v>
      </c>
      <c r="U206" s="6">
        <f t="shared" si="35"/>
        <v>415.96</v>
      </c>
      <c r="V206" s="8">
        <v>0.125</v>
      </c>
      <c r="W206" s="6">
        <v>21</v>
      </c>
      <c r="X206" s="6">
        <f t="shared" si="36"/>
        <v>7643.2649999999994</v>
      </c>
      <c r="Y206">
        <f t="shared" si="37"/>
        <v>3669.54</v>
      </c>
      <c r="Z206" s="6">
        <f t="shared" si="38"/>
        <v>3973.7249999999995</v>
      </c>
      <c r="AA206">
        <f t="shared" si="39"/>
        <v>0.51989889137691803</v>
      </c>
      <c r="AB206" t="str">
        <f t="shared" si="40"/>
        <v>11-2023</v>
      </c>
      <c r="AC206" t="str">
        <f t="shared" si="41"/>
        <v>Q4-2023</v>
      </c>
      <c r="AD206" t="str">
        <f t="shared" si="42"/>
        <v>Europe →Germany →Munich</v>
      </c>
      <c r="AE206" t="str">
        <f t="shared" si="43"/>
        <v>Low</v>
      </c>
      <c r="AF206" t="str">
        <f>TEXT(Table1[[#This Row],[OrderDate]],"MMM")</f>
        <v>Nov</v>
      </c>
      <c r="AG206" t="str">
        <f>TEXT(Table1[[#This Row],[OrderDate]],"YYYY")</f>
        <v>2023</v>
      </c>
      <c r="AI206" s="4">
        <f>IF(Table1[[#This Row],[RequiredDate]]&lt;Table1[[#This Row],[OrderDate]], Table1[[#This Row],[OrderDate]]+7, Table1[[#This Row],[RequiredDate]])</f>
        <v>45270</v>
      </c>
      <c r="AJ206">
        <f>IF(Dashboard!$D$3&gt;'Staging Data'!V206,'Staging Data'!V206,Dashboard!D$3)</f>
        <v>0.125</v>
      </c>
      <c r="AK206" s="19">
        <f>(100%+Dashboard!$D$4)*'Staging Data'!S206</f>
        <v>183.477</v>
      </c>
      <c r="AL206">
        <f>(100%+Dashboard!$D$5)*'Staging Data'!W206</f>
        <v>24.15</v>
      </c>
    </row>
    <row r="207" spans="1:38" x14ac:dyDescent="0.35">
      <c r="A207" s="6" t="s">
        <v>359</v>
      </c>
      <c r="B207" s="4">
        <v>45261</v>
      </c>
      <c r="C207" s="4">
        <v>45278</v>
      </c>
      <c r="D207" s="4">
        <f>IF(Table1[[#This Row],[RequiredDate]]&lt;Table1[[#This Row],[OrderDate]],Table1[[#This Row],[RequiredDate]],Table1[[#This Row],[OrderDate]])</f>
        <v>45261</v>
      </c>
      <c r="E207" s="4">
        <f>IF(Table1[[#This Row],[RequiredDate]]&gt;Table1[[#This Row],[OrderDate]],Table1[[#This Row],[RequiredDate]],Table1[[#This Row],[OrderDate]])</f>
        <v>45278</v>
      </c>
      <c r="F207" s="21">
        <f>Table1[[#This Row],[New RD]]-Table1[[#This Row],[new   od]]</f>
        <v>17</v>
      </c>
      <c r="G207" s="4">
        <f>IF(Table1[[#This Row],[RequiredDate]]&lt;Table1[[#This Row],[OrderDate]], Table1[[#This Row],[OrderDate]]+7, Table1[[#This Row],[RequiredDate]])</f>
        <v>45278</v>
      </c>
      <c r="H207" s="21">
        <f t="shared" si="33"/>
        <v>17</v>
      </c>
      <c r="I207" s="6" t="str">
        <f>IF(Table1[[#This Row],[New LTD]]&lt;=7,"Yes","No")</f>
        <v>No</v>
      </c>
      <c r="J207" s="6" t="str">
        <f t="shared" si="34"/>
        <v>No</v>
      </c>
      <c r="K207" t="s">
        <v>647</v>
      </c>
      <c r="L207" t="s">
        <v>652</v>
      </c>
      <c r="M207" t="s">
        <v>694</v>
      </c>
      <c r="N207" t="s">
        <v>705</v>
      </c>
      <c r="O207" t="s">
        <v>711</v>
      </c>
      <c r="P207" t="s">
        <v>725</v>
      </c>
      <c r="Q207" t="s">
        <v>731</v>
      </c>
      <c r="R207" t="s">
        <v>1079</v>
      </c>
      <c r="S207" s="6">
        <v>1495.79</v>
      </c>
      <c r="T207" s="6">
        <v>2783.12</v>
      </c>
      <c r="U207" s="6">
        <f t="shared" si="35"/>
        <v>2783.12</v>
      </c>
      <c r="V207" s="8">
        <v>0.02</v>
      </c>
      <c r="W207" s="6">
        <v>5</v>
      </c>
      <c r="X207" s="6">
        <f t="shared" si="36"/>
        <v>13637.287999999999</v>
      </c>
      <c r="Y207">
        <f t="shared" si="37"/>
        <v>7478.95</v>
      </c>
      <c r="Z207" s="6">
        <f t="shared" si="38"/>
        <v>6158.3379999999988</v>
      </c>
      <c r="AA207">
        <f t="shared" si="39"/>
        <v>0.45158084217331185</v>
      </c>
      <c r="AB207" t="str">
        <f t="shared" si="40"/>
        <v>12-2023</v>
      </c>
      <c r="AC207" t="str">
        <f t="shared" si="41"/>
        <v>Q4-2023</v>
      </c>
      <c r="AD207" t="str">
        <f t="shared" si="42"/>
        <v>Asia →Japan →Nagoya</v>
      </c>
      <c r="AE207" t="str">
        <f t="shared" si="43"/>
        <v>High</v>
      </c>
      <c r="AF207" t="str">
        <f>TEXT(Table1[[#This Row],[OrderDate]],"MMM")</f>
        <v>Dec</v>
      </c>
      <c r="AG207" t="str">
        <f>TEXT(Table1[[#This Row],[OrderDate]],"YYYY")</f>
        <v>2023</v>
      </c>
      <c r="AI207" s="4">
        <f>IF(Table1[[#This Row],[RequiredDate]]&lt;Table1[[#This Row],[OrderDate]], Table1[[#This Row],[OrderDate]]+7, Table1[[#This Row],[RequiredDate]])</f>
        <v>45278</v>
      </c>
      <c r="AJ207">
        <f>IF(Dashboard!$D$3&gt;'Staging Data'!V207,'Staging Data'!V207,Dashboard!D$3)</f>
        <v>0.02</v>
      </c>
      <c r="AK207" s="19">
        <f>(100%+Dashboard!$D$4)*'Staging Data'!S207</f>
        <v>1570.5795000000001</v>
      </c>
      <c r="AL207">
        <f>(100%+Dashboard!$D$5)*'Staging Data'!W207</f>
        <v>5.75</v>
      </c>
    </row>
    <row r="208" spans="1:38" x14ac:dyDescent="0.35">
      <c r="A208" s="6" t="s">
        <v>365</v>
      </c>
      <c r="B208" s="4">
        <v>45262</v>
      </c>
      <c r="C208" s="4">
        <v>45276</v>
      </c>
      <c r="D208" s="4">
        <f>IF(Table1[[#This Row],[RequiredDate]]&lt;Table1[[#This Row],[OrderDate]],Table1[[#This Row],[RequiredDate]],Table1[[#This Row],[OrderDate]])</f>
        <v>45262</v>
      </c>
      <c r="E208" s="4">
        <f>IF(Table1[[#This Row],[RequiredDate]]&gt;Table1[[#This Row],[OrderDate]],Table1[[#This Row],[RequiredDate]],Table1[[#This Row],[OrderDate]])</f>
        <v>45276</v>
      </c>
      <c r="F208" s="21">
        <f>Table1[[#This Row],[New RD]]-Table1[[#This Row],[new   od]]</f>
        <v>14</v>
      </c>
      <c r="G208" s="4">
        <f>IF(Table1[[#This Row],[RequiredDate]]&lt;Table1[[#This Row],[OrderDate]], Table1[[#This Row],[OrderDate]]+7, Table1[[#This Row],[RequiredDate]])</f>
        <v>45276</v>
      </c>
      <c r="H208" s="21">
        <f t="shared" si="33"/>
        <v>14</v>
      </c>
      <c r="I208" s="6" t="str">
        <f>IF(Table1[[#This Row],[New LTD]]&lt;=7,"Yes","No")</f>
        <v>No</v>
      </c>
      <c r="J208" s="6" t="str">
        <f t="shared" si="34"/>
        <v>No</v>
      </c>
      <c r="K208" t="s">
        <v>649</v>
      </c>
      <c r="L208" t="s">
        <v>656</v>
      </c>
      <c r="M208" t="s">
        <v>698</v>
      </c>
      <c r="N208" t="s">
        <v>702</v>
      </c>
      <c r="O208" t="s">
        <v>711</v>
      </c>
      <c r="P208" t="s">
        <v>725</v>
      </c>
      <c r="Q208" t="s">
        <v>732</v>
      </c>
      <c r="R208" t="s">
        <v>1085</v>
      </c>
      <c r="S208" s="6">
        <v>879.08</v>
      </c>
      <c r="T208" s="6">
        <v>1093.3900000000001</v>
      </c>
      <c r="U208" s="6">
        <f t="shared" si="35"/>
        <v>1093.3900000000001</v>
      </c>
      <c r="V208" s="8">
        <v>0.113</v>
      </c>
      <c r="W208" s="6">
        <v>17</v>
      </c>
      <c r="X208" s="6">
        <f t="shared" si="36"/>
        <v>16487.22781</v>
      </c>
      <c r="Y208">
        <f t="shared" si="37"/>
        <v>14944.36</v>
      </c>
      <c r="Z208" s="6">
        <f t="shared" si="38"/>
        <v>1542.8678099999997</v>
      </c>
      <c r="AA208">
        <f t="shared" si="39"/>
        <v>9.3579577341935186E-2</v>
      </c>
      <c r="AB208" t="str">
        <f t="shared" si="40"/>
        <v>12-2023</v>
      </c>
      <c r="AC208" t="str">
        <f t="shared" si="41"/>
        <v>Q4-2023</v>
      </c>
      <c r="AD208" t="str">
        <f t="shared" si="42"/>
        <v>Europe →Germany →Frankfurt</v>
      </c>
      <c r="AE208" t="str">
        <f t="shared" si="43"/>
        <v>Medium</v>
      </c>
      <c r="AF208" t="str">
        <f>TEXT(Table1[[#This Row],[OrderDate]],"MMM")</f>
        <v>Dec</v>
      </c>
      <c r="AG208" t="str">
        <f>TEXT(Table1[[#This Row],[OrderDate]],"YYYY")</f>
        <v>2023</v>
      </c>
      <c r="AI208" s="4">
        <f>IF(Table1[[#This Row],[RequiredDate]]&lt;Table1[[#This Row],[OrderDate]], Table1[[#This Row],[OrderDate]]+7, Table1[[#This Row],[RequiredDate]])</f>
        <v>45276</v>
      </c>
      <c r="AJ208">
        <f>IF(Dashboard!$D$3&gt;'Staging Data'!V208,'Staging Data'!V208,Dashboard!D$3)</f>
        <v>0.113</v>
      </c>
      <c r="AK208" s="19">
        <f>(100%+Dashboard!$D$4)*'Staging Data'!S208</f>
        <v>923.03400000000011</v>
      </c>
      <c r="AL208">
        <f>(100%+Dashboard!$D$5)*'Staging Data'!W208</f>
        <v>19.549999999999997</v>
      </c>
    </row>
    <row r="209" spans="1:38" x14ac:dyDescent="0.35">
      <c r="A209" s="6" t="s">
        <v>80</v>
      </c>
      <c r="B209" s="4">
        <v>45263</v>
      </c>
      <c r="C209" s="4">
        <v>45286</v>
      </c>
      <c r="D209" s="4">
        <f>IF(Table1[[#This Row],[RequiredDate]]&lt;Table1[[#This Row],[OrderDate]],Table1[[#This Row],[RequiredDate]],Table1[[#This Row],[OrderDate]])</f>
        <v>45263</v>
      </c>
      <c r="E209" s="4">
        <f>IF(Table1[[#This Row],[RequiredDate]]&gt;Table1[[#This Row],[OrderDate]],Table1[[#This Row],[RequiredDate]],Table1[[#This Row],[OrderDate]])</f>
        <v>45286</v>
      </c>
      <c r="F209" s="21">
        <f>Table1[[#This Row],[New RD]]-Table1[[#This Row],[new   od]]</f>
        <v>23</v>
      </c>
      <c r="G209" s="4">
        <f>IF(Table1[[#This Row],[RequiredDate]]&lt;Table1[[#This Row],[OrderDate]], Table1[[#This Row],[OrderDate]]+7, Table1[[#This Row],[RequiredDate]])</f>
        <v>45286</v>
      </c>
      <c r="H209" s="21">
        <f t="shared" si="33"/>
        <v>23</v>
      </c>
      <c r="I209" s="6" t="str">
        <f>IF(Table1[[#This Row],[New LTD]]&lt;=7,"Yes","No")</f>
        <v>No</v>
      </c>
      <c r="J209" s="6" t="str">
        <f t="shared" si="34"/>
        <v>No</v>
      </c>
      <c r="K209" t="s">
        <v>648</v>
      </c>
      <c r="L209" t="s">
        <v>655</v>
      </c>
      <c r="M209" t="s">
        <v>692</v>
      </c>
      <c r="N209" t="s">
        <v>702</v>
      </c>
      <c r="O209" t="s">
        <v>707</v>
      </c>
      <c r="P209" t="s">
        <v>719</v>
      </c>
      <c r="Q209" t="s">
        <v>730</v>
      </c>
      <c r="R209" t="s">
        <v>799</v>
      </c>
      <c r="S209" s="6">
        <v>1303.1099999999999</v>
      </c>
      <c r="T209" s="6">
        <v>1145.67</v>
      </c>
      <c r="U209" s="6">
        <f t="shared" si="35"/>
        <v>1145.67</v>
      </c>
      <c r="V209" s="8">
        <v>0.184</v>
      </c>
      <c r="W209" s="6">
        <v>13</v>
      </c>
      <c r="X209" s="6">
        <f t="shared" si="36"/>
        <v>12153.267360000002</v>
      </c>
      <c r="Y209">
        <f t="shared" si="37"/>
        <v>16940.43</v>
      </c>
      <c r="Z209" s="6">
        <f t="shared" si="38"/>
        <v>-4787.1626399999986</v>
      </c>
      <c r="AA209">
        <f t="shared" si="39"/>
        <v>-0.39389922875851208</v>
      </c>
      <c r="AB209" t="str">
        <f t="shared" si="40"/>
        <v>12-2023</v>
      </c>
      <c r="AC209" t="str">
        <f t="shared" si="41"/>
        <v>Q4-2023</v>
      </c>
      <c r="AD209" t="str">
        <f t="shared" si="42"/>
        <v>Americas →Brazil →Rio de Janeiro</v>
      </c>
      <c r="AE209" t="str">
        <f t="shared" si="43"/>
        <v>Medium</v>
      </c>
      <c r="AF209" t="str">
        <f>TEXT(Table1[[#This Row],[OrderDate]],"MMM")</f>
        <v>Dec</v>
      </c>
      <c r="AG209" t="str">
        <f>TEXT(Table1[[#This Row],[OrderDate]],"YYYY")</f>
        <v>2023</v>
      </c>
      <c r="AI209" s="4">
        <f>IF(Table1[[#This Row],[RequiredDate]]&lt;Table1[[#This Row],[OrderDate]], Table1[[#This Row],[OrderDate]]+7, Table1[[#This Row],[RequiredDate]])</f>
        <v>45286</v>
      </c>
      <c r="AJ209">
        <f>IF(Dashboard!$D$3&gt;'Staging Data'!V209,'Staging Data'!V209,Dashboard!D$3)</f>
        <v>0.184</v>
      </c>
      <c r="AK209" s="19">
        <f>(100%+Dashboard!$D$4)*'Staging Data'!S209</f>
        <v>1368.2655</v>
      </c>
      <c r="AL209">
        <f>(100%+Dashboard!$D$5)*'Staging Data'!W209</f>
        <v>14.95</v>
      </c>
    </row>
    <row r="210" spans="1:38" x14ac:dyDescent="0.35">
      <c r="A210" s="6" t="s">
        <v>470</v>
      </c>
      <c r="B210" s="4">
        <v>45265</v>
      </c>
      <c r="C210" s="4">
        <v>45272</v>
      </c>
      <c r="D210" s="4">
        <f>IF(Table1[[#This Row],[RequiredDate]]&lt;Table1[[#This Row],[OrderDate]],Table1[[#This Row],[RequiredDate]],Table1[[#This Row],[OrderDate]])</f>
        <v>45265</v>
      </c>
      <c r="E210" s="4">
        <f>IF(Table1[[#This Row],[RequiredDate]]&gt;Table1[[#This Row],[OrderDate]],Table1[[#This Row],[RequiredDate]],Table1[[#This Row],[OrderDate]])</f>
        <v>45272</v>
      </c>
      <c r="F210" s="21">
        <f>Table1[[#This Row],[New RD]]-Table1[[#This Row],[new   od]]</f>
        <v>7</v>
      </c>
      <c r="G210" s="4">
        <f>IF(Table1[[#This Row],[RequiredDate]]&lt;Table1[[#This Row],[OrderDate]], Table1[[#This Row],[OrderDate]]+7, Table1[[#This Row],[RequiredDate]])</f>
        <v>45272</v>
      </c>
      <c r="H210" s="21">
        <f t="shared" si="33"/>
        <v>7</v>
      </c>
      <c r="I210" s="6" t="str">
        <f>IF(Table1[[#This Row],[New LTD]]&lt;=7,"Yes","No")</f>
        <v>Yes</v>
      </c>
      <c r="J210" s="6" t="str">
        <f t="shared" si="34"/>
        <v>No</v>
      </c>
      <c r="K210" t="s">
        <v>648</v>
      </c>
      <c r="L210" t="s">
        <v>655</v>
      </c>
      <c r="M210" t="s">
        <v>672</v>
      </c>
      <c r="N210" t="s">
        <v>701</v>
      </c>
      <c r="O210" t="s">
        <v>711</v>
      </c>
      <c r="P210" t="s">
        <v>721</v>
      </c>
      <c r="Q210" t="s">
        <v>730</v>
      </c>
      <c r="R210" t="s">
        <v>1189</v>
      </c>
      <c r="S210" s="6">
        <v>307.43</v>
      </c>
      <c r="T210" s="6">
        <v>495.19</v>
      </c>
      <c r="U210" s="6">
        <f t="shared" si="35"/>
        <v>495.19</v>
      </c>
      <c r="V210" s="8">
        <v>0</v>
      </c>
      <c r="W210" s="6">
        <v>42</v>
      </c>
      <c r="X210" s="6">
        <f t="shared" si="36"/>
        <v>20797.98</v>
      </c>
      <c r="Y210">
        <f t="shared" si="37"/>
        <v>12912.06</v>
      </c>
      <c r="Z210" s="6">
        <f t="shared" si="38"/>
        <v>7885.92</v>
      </c>
      <c r="AA210">
        <f t="shared" si="39"/>
        <v>0.37916759223732305</v>
      </c>
      <c r="AB210" t="str">
        <f t="shared" si="40"/>
        <v>12-2023</v>
      </c>
      <c r="AC210" t="str">
        <f t="shared" si="41"/>
        <v>Q4-2023</v>
      </c>
      <c r="AD210" t="str">
        <f t="shared" si="42"/>
        <v>Americas →Brazil →Brasília</v>
      </c>
      <c r="AE210" t="str">
        <f t="shared" si="43"/>
        <v>Low</v>
      </c>
      <c r="AF210" t="str">
        <f>TEXT(Table1[[#This Row],[OrderDate]],"MMM")</f>
        <v>Dec</v>
      </c>
      <c r="AG210" t="str">
        <f>TEXT(Table1[[#This Row],[OrderDate]],"YYYY")</f>
        <v>2023</v>
      </c>
      <c r="AI210" s="4">
        <f>IF(Table1[[#This Row],[RequiredDate]]&lt;Table1[[#This Row],[OrderDate]], Table1[[#This Row],[OrderDate]]+7, Table1[[#This Row],[RequiredDate]])</f>
        <v>45272</v>
      </c>
      <c r="AJ210">
        <f>IF(Dashboard!$D$3&gt;'Staging Data'!V210,'Staging Data'!V210,Dashboard!D$3)</f>
        <v>0</v>
      </c>
      <c r="AK210" s="19">
        <f>(100%+Dashboard!$D$4)*'Staging Data'!S210</f>
        <v>322.80150000000003</v>
      </c>
      <c r="AL210">
        <f>(100%+Dashboard!$D$5)*'Staging Data'!W210</f>
        <v>48.3</v>
      </c>
    </row>
    <row r="211" spans="1:38" x14ac:dyDescent="0.35">
      <c r="A211" s="6" t="s">
        <v>19</v>
      </c>
      <c r="B211" s="4">
        <v>45266</v>
      </c>
      <c r="C211" s="4">
        <v>45291</v>
      </c>
      <c r="D211" s="4">
        <f>IF(Table1[[#This Row],[RequiredDate]]&lt;Table1[[#This Row],[OrderDate]],Table1[[#This Row],[RequiredDate]],Table1[[#This Row],[OrderDate]])</f>
        <v>45266</v>
      </c>
      <c r="E211" s="4">
        <f>IF(Table1[[#This Row],[RequiredDate]]&gt;Table1[[#This Row],[OrderDate]],Table1[[#This Row],[RequiredDate]],Table1[[#This Row],[OrderDate]])</f>
        <v>45291</v>
      </c>
      <c r="F211" s="21">
        <f>Table1[[#This Row],[New RD]]-Table1[[#This Row],[new   od]]</f>
        <v>25</v>
      </c>
      <c r="G211" s="4">
        <f>IF(Table1[[#This Row],[RequiredDate]]&lt;Table1[[#This Row],[OrderDate]], Table1[[#This Row],[OrderDate]]+7, Table1[[#This Row],[RequiredDate]])</f>
        <v>45291</v>
      </c>
      <c r="H211" s="21">
        <f t="shared" si="33"/>
        <v>25</v>
      </c>
      <c r="I211" s="6" t="str">
        <f>IF(Table1[[#This Row],[New LTD]]&lt;=7,"Yes","No")</f>
        <v>No</v>
      </c>
      <c r="J211" s="6" t="str">
        <f t="shared" si="34"/>
        <v>No</v>
      </c>
      <c r="K211" t="s">
        <v>647</v>
      </c>
      <c r="L211" t="s">
        <v>652</v>
      </c>
      <c r="M211" t="s">
        <v>666</v>
      </c>
      <c r="N211" t="s">
        <v>704</v>
      </c>
      <c r="O211" t="s">
        <v>707</v>
      </c>
      <c r="P211" t="s">
        <v>716</v>
      </c>
      <c r="Q211" t="s">
        <v>728</v>
      </c>
      <c r="R211" t="s">
        <v>738</v>
      </c>
      <c r="S211" s="6">
        <v>663.03</v>
      </c>
      <c r="T211" s="6">
        <v>813.51</v>
      </c>
      <c r="U211" s="6">
        <f t="shared" si="35"/>
        <v>813.51</v>
      </c>
      <c r="V211" s="8">
        <v>0.10199999999999999</v>
      </c>
      <c r="W211" s="6">
        <v>15</v>
      </c>
      <c r="X211" s="6">
        <f t="shared" si="36"/>
        <v>10957.9797</v>
      </c>
      <c r="Y211">
        <f t="shared" si="37"/>
        <v>9945.4499999999989</v>
      </c>
      <c r="Z211" s="6">
        <f t="shared" si="38"/>
        <v>1012.529700000001</v>
      </c>
      <c r="AA211">
        <f t="shared" si="39"/>
        <v>9.2401129379715952E-2</v>
      </c>
      <c r="AB211" t="str">
        <f t="shared" si="40"/>
        <v>12-2023</v>
      </c>
      <c r="AC211" t="str">
        <f t="shared" si="41"/>
        <v>Q4-2023</v>
      </c>
      <c r="AD211" t="str">
        <f t="shared" si="42"/>
        <v>Asia →Japan →Osaka</v>
      </c>
      <c r="AE211" t="str">
        <f t="shared" si="43"/>
        <v>Low</v>
      </c>
      <c r="AF211" t="str">
        <f>TEXT(Table1[[#This Row],[OrderDate]],"MMM")</f>
        <v>Dec</v>
      </c>
      <c r="AG211" t="str">
        <f>TEXT(Table1[[#This Row],[OrderDate]],"YYYY")</f>
        <v>2023</v>
      </c>
      <c r="AI211" s="4">
        <f>IF(Table1[[#This Row],[RequiredDate]]&lt;Table1[[#This Row],[OrderDate]], Table1[[#This Row],[OrderDate]]+7, Table1[[#This Row],[RequiredDate]])</f>
        <v>45291</v>
      </c>
      <c r="AJ211">
        <f>IF(Dashboard!$D$3&gt;'Staging Data'!V211,'Staging Data'!V211,Dashboard!D$3)</f>
        <v>0.10199999999999999</v>
      </c>
      <c r="AK211" s="19">
        <f>(100%+Dashboard!$D$4)*'Staging Data'!S211</f>
        <v>696.18150000000003</v>
      </c>
      <c r="AL211">
        <f>(100%+Dashboard!$D$5)*'Staging Data'!W211</f>
        <v>17.25</v>
      </c>
    </row>
    <row r="212" spans="1:38" x14ac:dyDescent="0.35">
      <c r="A212" s="6" t="s">
        <v>167</v>
      </c>
      <c r="B212" s="4">
        <v>45267</v>
      </c>
      <c r="C212" s="4">
        <v>45265</v>
      </c>
      <c r="D212" s="4">
        <f>IF(Table1[[#This Row],[RequiredDate]]&lt;Table1[[#This Row],[OrderDate]],Table1[[#This Row],[RequiredDate]],Table1[[#This Row],[OrderDate]])</f>
        <v>45265</v>
      </c>
      <c r="E212" s="4">
        <f>IF(Table1[[#This Row],[RequiredDate]]&gt;Table1[[#This Row],[OrderDate]],Table1[[#This Row],[RequiredDate]],Table1[[#This Row],[OrderDate]])</f>
        <v>45267</v>
      </c>
      <c r="F212" s="21">
        <f>Table1[[#This Row],[New RD]]-Table1[[#This Row],[new   od]]</f>
        <v>2</v>
      </c>
      <c r="G212" s="4">
        <f>IF(Table1[[#This Row],[RequiredDate]]&lt;Table1[[#This Row],[OrderDate]], Table1[[#This Row],[OrderDate]]+7, Table1[[#This Row],[RequiredDate]])</f>
        <v>45274</v>
      </c>
      <c r="H212" s="21">
        <f t="shared" si="33"/>
        <v>7</v>
      </c>
      <c r="I212" s="6" t="str">
        <f>IF(Table1[[#This Row],[New LTD]]&lt;=7,"Yes","No")</f>
        <v>Yes</v>
      </c>
      <c r="J212" s="6" t="str">
        <f t="shared" si="34"/>
        <v>No</v>
      </c>
      <c r="K212" t="s">
        <v>647</v>
      </c>
      <c r="L212" t="s">
        <v>652</v>
      </c>
      <c r="M212" t="s">
        <v>689</v>
      </c>
      <c r="N212" t="s">
        <v>703</v>
      </c>
      <c r="O212" t="s">
        <v>709</v>
      </c>
      <c r="P212" t="s">
        <v>722</v>
      </c>
      <c r="Q212" t="s">
        <v>728</v>
      </c>
      <c r="R212" t="s">
        <v>886</v>
      </c>
      <c r="S212" s="6">
        <v>1097.5899999999999</v>
      </c>
      <c r="T212" s="6">
        <v>845.55</v>
      </c>
      <c r="U212" s="6">
        <f t="shared" si="35"/>
        <v>845.55</v>
      </c>
      <c r="V212" s="8">
        <v>0.184</v>
      </c>
      <c r="W212" s="6">
        <v>6</v>
      </c>
      <c r="X212" s="6">
        <f t="shared" si="36"/>
        <v>4139.8127999999997</v>
      </c>
      <c r="Y212">
        <f t="shared" si="37"/>
        <v>6585.5399999999991</v>
      </c>
      <c r="Z212" s="6">
        <f t="shared" si="38"/>
        <v>-2445.7271999999994</v>
      </c>
      <c r="AA212">
        <f t="shared" si="39"/>
        <v>-0.59078207594314402</v>
      </c>
      <c r="AB212" t="str">
        <f t="shared" si="40"/>
        <v>12-2023</v>
      </c>
      <c r="AC212" t="str">
        <f t="shared" si="41"/>
        <v>Q4-2023</v>
      </c>
      <c r="AD212" t="str">
        <f t="shared" si="42"/>
        <v>Asia →Japan →Tokyo</v>
      </c>
      <c r="AE212" t="str">
        <f t="shared" si="43"/>
        <v>Medium</v>
      </c>
      <c r="AF212" t="str">
        <f>TEXT(Table1[[#This Row],[OrderDate]],"MMM")</f>
        <v>Dec</v>
      </c>
      <c r="AG212" t="str">
        <f>TEXT(Table1[[#This Row],[OrderDate]],"YYYY")</f>
        <v>2023</v>
      </c>
      <c r="AI212" s="4">
        <f>IF(Table1[[#This Row],[RequiredDate]]&lt;Table1[[#This Row],[OrderDate]], Table1[[#This Row],[OrderDate]]+7, Table1[[#This Row],[RequiredDate]])</f>
        <v>45274</v>
      </c>
      <c r="AJ212">
        <f>IF(Dashboard!$D$3&gt;'Staging Data'!V212,'Staging Data'!V212,Dashboard!D$3)</f>
        <v>0.184</v>
      </c>
      <c r="AK212" s="19">
        <f>(100%+Dashboard!$D$4)*'Staging Data'!S212</f>
        <v>1152.4694999999999</v>
      </c>
      <c r="AL212">
        <f>(100%+Dashboard!$D$5)*'Staging Data'!W212</f>
        <v>6.8999999999999995</v>
      </c>
    </row>
    <row r="213" spans="1:38" x14ac:dyDescent="0.35">
      <c r="A213" s="6" t="s">
        <v>643</v>
      </c>
      <c r="B213" s="4">
        <v>45267</v>
      </c>
      <c r="C213" s="4">
        <v>45293</v>
      </c>
      <c r="D213" s="4">
        <f>IF(Table1[[#This Row],[RequiredDate]]&lt;Table1[[#This Row],[OrderDate]],Table1[[#This Row],[RequiredDate]],Table1[[#This Row],[OrderDate]])</f>
        <v>45267</v>
      </c>
      <c r="E213" s="4">
        <f>IF(Table1[[#This Row],[RequiredDate]]&gt;Table1[[#This Row],[OrderDate]],Table1[[#This Row],[RequiredDate]],Table1[[#This Row],[OrderDate]])</f>
        <v>45293</v>
      </c>
      <c r="F213" s="21">
        <f>Table1[[#This Row],[New RD]]-Table1[[#This Row],[new   od]]</f>
        <v>26</v>
      </c>
      <c r="G213" s="4">
        <f>IF(Table1[[#This Row],[RequiredDate]]&lt;Table1[[#This Row],[OrderDate]], Table1[[#This Row],[OrderDate]]+7, Table1[[#This Row],[RequiredDate]])</f>
        <v>45293</v>
      </c>
      <c r="H213" s="21">
        <f t="shared" si="33"/>
        <v>26</v>
      </c>
      <c r="I213" s="6" t="str">
        <f>IF(Table1[[#This Row],[New LTD]]&lt;=7,"Yes","No")</f>
        <v>No</v>
      </c>
      <c r="J213" s="6" t="str">
        <f t="shared" si="34"/>
        <v>No</v>
      </c>
      <c r="K213" t="s">
        <v>649</v>
      </c>
      <c r="L213" t="s">
        <v>656</v>
      </c>
      <c r="M213" t="s">
        <v>698</v>
      </c>
      <c r="N213" t="s">
        <v>706</v>
      </c>
      <c r="O213" t="s">
        <v>710</v>
      </c>
      <c r="P213" t="s">
        <v>718</v>
      </c>
      <c r="Q213" t="s">
        <v>727</v>
      </c>
      <c r="R213" t="s">
        <v>1361</v>
      </c>
      <c r="S213" s="6">
        <v>1071.99</v>
      </c>
      <c r="T213" s="6">
        <v>2397.3000000000002</v>
      </c>
      <c r="U213" s="6">
        <f t="shared" si="35"/>
        <v>2397.3000000000002</v>
      </c>
      <c r="V213" s="8">
        <v>6.2E-2</v>
      </c>
      <c r="W213" s="6">
        <v>18</v>
      </c>
      <c r="X213" s="6">
        <f t="shared" si="36"/>
        <v>40476.013200000001</v>
      </c>
      <c r="Y213">
        <f t="shared" si="37"/>
        <v>19295.82</v>
      </c>
      <c r="Z213" s="6">
        <f t="shared" si="38"/>
        <v>21180.193200000002</v>
      </c>
      <c r="AA213">
        <f t="shared" si="39"/>
        <v>0.52327765324476183</v>
      </c>
      <c r="AB213" t="str">
        <f t="shared" si="40"/>
        <v>12-2023</v>
      </c>
      <c r="AC213" t="str">
        <f t="shared" si="41"/>
        <v>Q4-2023</v>
      </c>
      <c r="AD213" t="str">
        <f t="shared" si="42"/>
        <v>Europe →Germany →Frankfurt</v>
      </c>
      <c r="AE213" t="str">
        <f t="shared" si="43"/>
        <v>High</v>
      </c>
      <c r="AF213" t="str">
        <f>TEXT(Table1[[#This Row],[OrderDate]],"MMM")</f>
        <v>Dec</v>
      </c>
      <c r="AG213" t="str">
        <f>TEXT(Table1[[#This Row],[OrderDate]],"YYYY")</f>
        <v>2023</v>
      </c>
      <c r="AI213" s="4">
        <f>IF(Table1[[#This Row],[RequiredDate]]&lt;Table1[[#This Row],[OrderDate]], Table1[[#This Row],[OrderDate]]+7, Table1[[#This Row],[RequiredDate]])</f>
        <v>45293</v>
      </c>
      <c r="AJ213">
        <f>IF(Dashboard!$D$3&gt;'Staging Data'!V213,'Staging Data'!V213,Dashboard!D$3)</f>
        <v>6.2E-2</v>
      </c>
      <c r="AK213" s="19">
        <f>(100%+Dashboard!$D$4)*'Staging Data'!S213</f>
        <v>1125.5895</v>
      </c>
      <c r="AL213">
        <f>(100%+Dashboard!$D$5)*'Staging Data'!W213</f>
        <v>20.7</v>
      </c>
    </row>
    <row r="214" spans="1:38" x14ac:dyDescent="0.35">
      <c r="A214" s="6" t="s">
        <v>423</v>
      </c>
      <c r="B214" s="4">
        <v>45276</v>
      </c>
      <c r="C214" s="4">
        <v>45279</v>
      </c>
      <c r="D214" s="4">
        <f>IF(Table1[[#This Row],[RequiredDate]]&lt;Table1[[#This Row],[OrderDate]],Table1[[#This Row],[RequiredDate]],Table1[[#This Row],[OrderDate]])</f>
        <v>45276</v>
      </c>
      <c r="E214" s="4">
        <f>IF(Table1[[#This Row],[RequiredDate]]&gt;Table1[[#This Row],[OrderDate]],Table1[[#This Row],[RequiredDate]],Table1[[#This Row],[OrderDate]])</f>
        <v>45279</v>
      </c>
      <c r="F214" s="21">
        <f>Table1[[#This Row],[New RD]]-Table1[[#This Row],[new   od]]</f>
        <v>3</v>
      </c>
      <c r="G214" s="4">
        <f>IF(Table1[[#This Row],[RequiredDate]]&lt;Table1[[#This Row],[OrderDate]], Table1[[#This Row],[OrderDate]]+7, Table1[[#This Row],[RequiredDate]])</f>
        <v>45279</v>
      </c>
      <c r="H214" s="21">
        <f t="shared" si="33"/>
        <v>3</v>
      </c>
      <c r="I214" s="6" t="str">
        <f>IF(Table1[[#This Row],[New LTD]]&lt;=7,"Yes","No")</f>
        <v>Yes</v>
      </c>
      <c r="J214" s="6" t="str">
        <f t="shared" si="34"/>
        <v>No</v>
      </c>
      <c r="K214" t="s">
        <v>647</v>
      </c>
      <c r="L214" t="s">
        <v>659</v>
      </c>
      <c r="M214" t="s">
        <v>699</v>
      </c>
      <c r="N214" t="s">
        <v>702</v>
      </c>
      <c r="O214" t="s">
        <v>707</v>
      </c>
      <c r="P214" t="s">
        <v>720</v>
      </c>
      <c r="Q214" t="s">
        <v>733</v>
      </c>
      <c r="R214" t="s">
        <v>1142</v>
      </c>
      <c r="S214" s="6">
        <v>1415.05</v>
      </c>
      <c r="T214" s="6">
        <v>1972.38</v>
      </c>
      <c r="U214" s="6">
        <f t="shared" si="35"/>
        <v>1972.38</v>
      </c>
      <c r="V214" s="8">
        <v>0</v>
      </c>
      <c r="W214" s="6">
        <v>12</v>
      </c>
      <c r="X214" s="6">
        <f t="shared" si="36"/>
        <v>23668.560000000001</v>
      </c>
      <c r="Y214">
        <f t="shared" si="37"/>
        <v>16980.599999999999</v>
      </c>
      <c r="Z214" s="6">
        <f t="shared" si="38"/>
        <v>6687.9600000000028</v>
      </c>
      <c r="AA214">
        <f t="shared" si="39"/>
        <v>0.28256725377462771</v>
      </c>
      <c r="AB214" t="str">
        <f t="shared" si="40"/>
        <v>12-2023</v>
      </c>
      <c r="AC214" t="str">
        <f t="shared" si="41"/>
        <v>Q4-2023</v>
      </c>
      <c r="AD214" t="str">
        <f t="shared" si="42"/>
        <v>Asia →China →Beijing</v>
      </c>
      <c r="AE214" t="str">
        <f t="shared" si="43"/>
        <v>High</v>
      </c>
      <c r="AF214" t="str">
        <f>TEXT(Table1[[#This Row],[OrderDate]],"MMM")</f>
        <v>Dec</v>
      </c>
      <c r="AG214" t="str">
        <f>TEXT(Table1[[#This Row],[OrderDate]],"YYYY")</f>
        <v>2023</v>
      </c>
      <c r="AI214" s="4">
        <f>IF(Table1[[#This Row],[RequiredDate]]&lt;Table1[[#This Row],[OrderDate]], Table1[[#This Row],[OrderDate]]+7, Table1[[#This Row],[RequiredDate]])</f>
        <v>45279</v>
      </c>
      <c r="AJ214">
        <f>IF(Dashboard!$D$3&gt;'Staging Data'!V214,'Staging Data'!V214,Dashboard!D$3)</f>
        <v>0</v>
      </c>
      <c r="AK214" s="19">
        <f>(100%+Dashboard!$D$4)*'Staging Data'!S214</f>
        <v>1485.8025</v>
      </c>
      <c r="AL214">
        <f>(100%+Dashboard!$D$5)*'Staging Data'!W214</f>
        <v>13.799999999999999</v>
      </c>
    </row>
    <row r="215" spans="1:38" x14ac:dyDescent="0.35">
      <c r="A215" s="6" t="s">
        <v>481</v>
      </c>
      <c r="B215" s="4">
        <v>45278</v>
      </c>
      <c r="C215" s="4">
        <v>45305</v>
      </c>
      <c r="D215" s="4">
        <f>IF(Table1[[#This Row],[RequiredDate]]&lt;Table1[[#This Row],[OrderDate]],Table1[[#This Row],[RequiredDate]],Table1[[#This Row],[OrderDate]])</f>
        <v>45278</v>
      </c>
      <c r="E215" s="4">
        <f>IF(Table1[[#This Row],[RequiredDate]]&gt;Table1[[#This Row],[OrderDate]],Table1[[#This Row],[RequiredDate]],Table1[[#This Row],[OrderDate]])</f>
        <v>45305</v>
      </c>
      <c r="F215" s="21">
        <f>Table1[[#This Row],[New RD]]-Table1[[#This Row],[new   od]]</f>
        <v>27</v>
      </c>
      <c r="G215" s="4">
        <f>IF(Table1[[#This Row],[RequiredDate]]&lt;Table1[[#This Row],[OrderDate]], Table1[[#This Row],[OrderDate]]+7, Table1[[#This Row],[RequiredDate]])</f>
        <v>45305</v>
      </c>
      <c r="H215" s="21">
        <f t="shared" si="33"/>
        <v>27</v>
      </c>
      <c r="I215" s="6" t="str">
        <f>IF(Table1[[#This Row],[New LTD]]&lt;=7,"Yes","No")</f>
        <v>No</v>
      </c>
      <c r="J215" s="6" t="str">
        <f t="shared" si="34"/>
        <v>No</v>
      </c>
      <c r="K215" t="s">
        <v>647</v>
      </c>
      <c r="L215" t="s">
        <v>654</v>
      </c>
      <c r="M215" t="s">
        <v>691</v>
      </c>
      <c r="N215" t="s">
        <v>704</v>
      </c>
      <c r="O215" t="s">
        <v>710</v>
      </c>
      <c r="P215" t="s">
        <v>726</v>
      </c>
      <c r="Q215" t="s">
        <v>729</v>
      </c>
      <c r="R215" t="s">
        <v>1200</v>
      </c>
      <c r="S215" s="6">
        <v>1408.3</v>
      </c>
      <c r="T215" s="6">
        <v>2193.13</v>
      </c>
      <c r="U215" s="6">
        <f t="shared" si="35"/>
        <v>2193.13</v>
      </c>
      <c r="V215" s="8">
        <v>7.0999999999999994E-2</v>
      </c>
      <c r="W215" s="6">
        <v>7</v>
      </c>
      <c r="X215" s="6">
        <f t="shared" si="36"/>
        <v>14261.92439</v>
      </c>
      <c r="Y215">
        <f t="shared" si="37"/>
        <v>9858.1</v>
      </c>
      <c r="Z215" s="6">
        <f t="shared" si="38"/>
        <v>4403.8243899999998</v>
      </c>
      <c r="AA215">
        <f t="shared" si="39"/>
        <v>0.30878191957656281</v>
      </c>
      <c r="AB215" t="str">
        <f t="shared" si="40"/>
        <v>12-2023</v>
      </c>
      <c r="AC215" t="str">
        <f t="shared" si="41"/>
        <v>Q4-2023</v>
      </c>
      <c r="AD215" t="str">
        <f t="shared" si="42"/>
        <v>Asia →India →Mumbai</v>
      </c>
      <c r="AE215" t="str">
        <f t="shared" si="43"/>
        <v>High</v>
      </c>
      <c r="AF215" t="str">
        <f>TEXT(Table1[[#This Row],[OrderDate]],"MMM")</f>
        <v>Dec</v>
      </c>
      <c r="AG215" t="str">
        <f>TEXT(Table1[[#This Row],[OrderDate]],"YYYY")</f>
        <v>2023</v>
      </c>
      <c r="AI215" s="4">
        <f>IF(Table1[[#This Row],[RequiredDate]]&lt;Table1[[#This Row],[OrderDate]], Table1[[#This Row],[OrderDate]]+7, Table1[[#This Row],[RequiredDate]])</f>
        <v>45305</v>
      </c>
      <c r="AJ215">
        <f>IF(Dashboard!$D$3&gt;'Staging Data'!V215,'Staging Data'!V215,Dashboard!D$3)</f>
        <v>7.0999999999999994E-2</v>
      </c>
      <c r="AK215" s="19">
        <f>(100%+Dashboard!$D$4)*'Staging Data'!S215</f>
        <v>1478.7149999999999</v>
      </c>
      <c r="AL215">
        <f>(100%+Dashboard!$D$5)*'Staging Data'!W215</f>
        <v>8.0499999999999989</v>
      </c>
    </row>
    <row r="216" spans="1:38" x14ac:dyDescent="0.35">
      <c r="A216" s="6" t="s">
        <v>239</v>
      </c>
      <c r="B216" s="4">
        <v>45279</v>
      </c>
      <c r="C216" s="4">
        <v>45280</v>
      </c>
      <c r="D216" s="4">
        <f>IF(Table1[[#This Row],[RequiredDate]]&lt;Table1[[#This Row],[OrderDate]],Table1[[#This Row],[RequiredDate]],Table1[[#This Row],[OrderDate]])</f>
        <v>45279</v>
      </c>
      <c r="E216" s="4">
        <f>IF(Table1[[#This Row],[RequiredDate]]&gt;Table1[[#This Row],[OrderDate]],Table1[[#This Row],[RequiredDate]],Table1[[#This Row],[OrderDate]])</f>
        <v>45280</v>
      </c>
      <c r="F216" s="21">
        <f>Table1[[#This Row],[New RD]]-Table1[[#This Row],[new   od]]</f>
        <v>1</v>
      </c>
      <c r="G216" s="4">
        <f>IF(Table1[[#This Row],[RequiredDate]]&lt;Table1[[#This Row],[OrderDate]], Table1[[#This Row],[OrderDate]]+7, Table1[[#This Row],[RequiredDate]])</f>
        <v>45280</v>
      </c>
      <c r="H216" s="21">
        <f t="shared" si="33"/>
        <v>1</v>
      </c>
      <c r="I216" s="6" t="str">
        <f>IF(Table1[[#This Row],[New LTD]]&lt;=7,"Yes","No")</f>
        <v>Yes</v>
      </c>
      <c r="J216" s="6" t="str">
        <f t="shared" si="34"/>
        <v>No</v>
      </c>
      <c r="K216" t="s">
        <v>648</v>
      </c>
      <c r="L216" t="s">
        <v>655</v>
      </c>
      <c r="M216" t="s">
        <v>692</v>
      </c>
      <c r="N216" t="s">
        <v>704</v>
      </c>
      <c r="O216" t="s">
        <v>710</v>
      </c>
      <c r="P216" t="s">
        <v>713</v>
      </c>
      <c r="Q216" t="s">
        <v>730</v>
      </c>
      <c r="R216" t="s">
        <v>959</v>
      </c>
      <c r="S216" s="6">
        <v>1080.43</v>
      </c>
      <c r="T216" s="6">
        <v>2529.15</v>
      </c>
      <c r="U216" s="6">
        <f t="shared" si="35"/>
        <v>2529.15</v>
      </c>
      <c r="V216" s="8">
        <v>0.14699999999999999</v>
      </c>
      <c r="W216" s="6">
        <v>10</v>
      </c>
      <c r="X216" s="6">
        <f t="shared" si="36"/>
        <v>21573.6495</v>
      </c>
      <c r="Y216">
        <f t="shared" si="37"/>
        <v>10804.300000000001</v>
      </c>
      <c r="Z216" s="6">
        <f t="shared" si="38"/>
        <v>10769.349499999998</v>
      </c>
      <c r="AA216">
        <f t="shared" si="39"/>
        <v>0.49918997247081437</v>
      </c>
      <c r="AB216" t="str">
        <f t="shared" si="40"/>
        <v>12-2023</v>
      </c>
      <c r="AC216" t="str">
        <f t="shared" si="41"/>
        <v>Q4-2023</v>
      </c>
      <c r="AD216" t="str">
        <f t="shared" si="42"/>
        <v>Americas →Brazil →Rio de Janeiro</v>
      </c>
      <c r="AE216" t="str">
        <f t="shared" si="43"/>
        <v>High</v>
      </c>
      <c r="AF216" t="str">
        <f>TEXT(Table1[[#This Row],[OrderDate]],"MMM")</f>
        <v>Dec</v>
      </c>
      <c r="AG216" t="str">
        <f>TEXT(Table1[[#This Row],[OrderDate]],"YYYY")</f>
        <v>2023</v>
      </c>
      <c r="AI216" s="4">
        <f>IF(Table1[[#This Row],[RequiredDate]]&lt;Table1[[#This Row],[OrderDate]], Table1[[#This Row],[OrderDate]]+7, Table1[[#This Row],[RequiredDate]])</f>
        <v>45280</v>
      </c>
      <c r="AJ216">
        <f>IF(Dashboard!$D$3&gt;'Staging Data'!V216,'Staging Data'!V216,Dashboard!D$3)</f>
        <v>0.14699999999999999</v>
      </c>
      <c r="AK216" s="19">
        <f>(100%+Dashboard!$D$4)*'Staging Data'!S216</f>
        <v>1134.4515000000001</v>
      </c>
      <c r="AL216">
        <f>(100%+Dashboard!$D$5)*'Staging Data'!W216</f>
        <v>11.5</v>
      </c>
    </row>
    <row r="217" spans="1:38" x14ac:dyDescent="0.35">
      <c r="A217" s="6" t="s">
        <v>588</v>
      </c>
      <c r="B217" s="4">
        <v>45279</v>
      </c>
      <c r="C217" s="4">
        <v>45292</v>
      </c>
      <c r="D217" s="4">
        <f>IF(Table1[[#This Row],[RequiredDate]]&lt;Table1[[#This Row],[OrderDate]],Table1[[#This Row],[RequiredDate]],Table1[[#This Row],[OrderDate]])</f>
        <v>45279</v>
      </c>
      <c r="E217" s="4">
        <f>IF(Table1[[#This Row],[RequiredDate]]&gt;Table1[[#This Row],[OrderDate]],Table1[[#This Row],[RequiredDate]],Table1[[#This Row],[OrderDate]])</f>
        <v>45292</v>
      </c>
      <c r="F217" s="21">
        <f>Table1[[#This Row],[New RD]]-Table1[[#This Row],[new   od]]</f>
        <v>13</v>
      </c>
      <c r="G217" s="4">
        <f>IF(Table1[[#This Row],[RequiredDate]]&lt;Table1[[#This Row],[OrderDate]], Table1[[#This Row],[OrderDate]]+7, Table1[[#This Row],[RequiredDate]])</f>
        <v>45292</v>
      </c>
      <c r="H217" s="21">
        <f t="shared" si="33"/>
        <v>13</v>
      </c>
      <c r="I217" s="6" t="str">
        <f>IF(Table1[[#This Row],[New LTD]]&lt;=7,"Yes","No")</f>
        <v>No</v>
      </c>
      <c r="J217" s="6" t="str">
        <f t="shared" si="34"/>
        <v>No</v>
      </c>
      <c r="K217" t="s">
        <v>648</v>
      </c>
      <c r="L217" t="s">
        <v>653</v>
      </c>
      <c r="M217" t="s">
        <v>667</v>
      </c>
      <c r="N217" t="s">
        <v>706</v>
      </c>
      <c r="O217" t="s">
        <v>707</v>
      </c>
      <c r="P217" t="s">
        <v>723</v>
      </c>
      <c r="Q217" t="s">
        <v>732</v>
      </c>
      <c r="R217" t="s">
        <v>1306</v>
      </c>
      <c r="S217" s="6">
        <v>856.1</v>
      </c>
      <c r="T217" s="6">
        <v>901.48</v>
      </c>
      <c r="U217" s="6">
        <f t="shared" si="35"/>
        <v>901.48</v>
      </c>
      <c r="V217" s="8">
        <v>5.6000000000000001E-2</v>
      </c>
      <c r="W217" s="6">
        <v>17</v>
      </c>
      <c r="X217" s="6">
        <f t="shared" si="36"/>
        <v>14466.95104</v>
      </c>
      <c r="Y217">
        <f t="shared" si="37"/>
        <v>14553.7</v>
      </c>
      <c r="Z217" s="6">
        <f t="shared" si="38"/>
        <v>-86.748960000000807</v>
      </c>
      <c r="AA217">
        <f t="shared" si="39"/>
        <v>-5.9963540182134192E-3</v>
      </c>
      <c r="AB217" t="str">
        <f t="shared" si="40"/>
        <v>12-2023</v>
      </c>
      <c r="AC217" t="str">
        <f t="shared" si="41"/>
        <v>Q4-2023</v>
      </c>
      <c r="AD217" t="str">
        <f t="shared" si="42"/>
        <v>Americas →Canada →Toronto</v>
      </c>
      <c r="AE217" t="str">
        <f t="shared" si="43"/>
        <v>Medium</v>
      </c>
      <c r="AF217" t="str">
        <f>TEXT(Table1[[#This Row],[OrderDate]],"MMM")</f>
        <v>Dec</v>
      </c>
      <c r="AG217" t="str">
        <f>TEXT(Table1[[#This Row],[OrderDate]],"YYYY")</f>
        <v>2023</v>
      </c>
      <c r="AI217" s="4">
        <f>IF(Table1[[#This Row],[RequiredDate]]&lt;Table1[[#This Row],[OrderDate]], Table1[[#This Row],[OrderDate]]+7, Table1[[#This Row],[RequiredDate]])</f>
        <v>45292</v>
      </c>
      <c r="AJ217">
        <f>IF(Dashboard!$D$3&gt;'Staging Data'!V217,'Staging Data'!V217,Dashboard!D$3)</f>
        <v>5.6000000000000001E-2</v>
      </c>
      <c r="AK217" s="19">
        <f>(100%+Dashboard!$D$4)*'Staging Data'!S217</f>
        <v>898.90500000000009</v>
      </c>
      <c r="AL217">
        <f>(100%+Dashboard!$D$5)*'Staging Data'!W217</f>
        <v>19.549999999999997</v>
      </c>
    </row>
    <row r="218" spans="1:38" x14ac:dyDescent="0.35">
      <c r="A218" s="6" t="s">
        <v>230</v>
      </c>
      <c r="B218" s="4">
        <v>45280</v>
      </c>
      <c r="C218" s="4">
        <v>45305</v>
      </c>
      <c r="D218" s="4">
        <f>IF(Table1[[#This Row],[RequiredDate]]&lt;Table1[[#This Row],[OrderDate]],Table1[[#This Row],[RequiredDate]],Table1[[#This Row],[OrderDate]])</f>
        <v>45280</v>
      </c>
      <c r="E218" s="4">
        <f>IF(Table1[[#This Row],[RequiredDate]]&gt;Table1[[#This Row],[OrderDate]],Table1[[#This Row],[RequiredDate]],Table1[[#This Row],[OrderDate]])</f>
        <v>45305</v>
      </c>
      <c r="F218" s="21">
        <f>Table1[[#This Row],[New RD]]-Table1[[#This Row],[new   od]]</f>
        <v>25</v>
      </c>
      <c r="G218" s="4">
        <f>IF(Table1[[#This Row],[RequiredDate]]&lt;Table1[[#This Row],[OrderDate]], Table1[[#This Row],[OrderDate]]+7, Table1[[#This Row],[RequiredDate]])</f>
        <v>45305</v>
      </c>
      <c r="H218" s="21">
        <f t="shared" si="33"/>
        <v>25</v>
      </c>
      <c r="I218" s="6" t="str">
        <f>IF(Table1[[#This Row],[New LTD]]&lt;=7,"Yes","No")</f>
        <v>No</v>
      </c>
      <c r="J218" s="6" t="str">
        <f t="shared" si="34"/>
        <v>No</v>
      </c>
      <c r="K218" t="s">
        <v>647</v>
      </c>
      <c r="L218" t="s">
        <v>654</v>
      </c>
      <c r="M218" t="s">
        <v>691</v>
      </c>
      <c r="N218" t="s">
        <v>703</v>
      </c>
      <c r="O218" t="s">
        <v>709</v>
      </c>
      <c r="P218" t="s">
        <v>716</v>
      </c>
      <c r="Q218" t="s">
        <v>732</v>
      </c>
      <c r="R218" t="s">
        <v>950</v>
      </c>
      <c r="S218" s="6">
        <v>1085.6099999999999</v>
      </c>
      <c r="T218" s="6">
        <v>1246.4100000000001</v>
      </c>
      <c r="U218" s="6">
        <f t="shared" si="35"/>
        <v>1246.4100000000001</v>
      </c>
      <c r="V218" s="8">
        <v>0.113</v>
      </c>
      <c r="W218" s="6">
        <v>7</v>
      </c>
      <c r="X218" s="6">
        <f t="shared" si="36"/>
        <v>7738.9596900000006</v>
      </c>
      <c r="Y218">
        <f t="shared" si="37"/>
        <v>7599.2699999999995</v>
      </c>
      <c r="Z218" s="6">
        <f t="shared" si="38"/>
        <v>139.68969000000106</v>
      </c>
      <c r="AA218">
        <f t="shared" si="39"/>
        <v>1.8050189637310417E-2</v>
      </c>
      <c r="AB218" t="str">
        <f t="shared" si="40"/>
        <v>12-2023</v>
      </c>
      <c r="AC218" t="str">
        <f t="shared" si="41"/>
        <v>Q4-2023</v>
      </c>
      <c r="AD218" t="str">
        <f t="shared" si="42"/>
        <v>Asia →India →Mumbai</v>
      </c>
      <c r="AE218" t="str">
        <f t="shared" si="43"/>
        <v>Medium</v>
      </c>
      <c r="AF218" t="str">
        <f>TEXT(Table1[[#This Row],[OrderDate]],"MMM")</f>
        <v>Dec</v>
      </c>
      <c r="AG218" t="str">
        <f>TEXT(Table1[[#This Row],[OrderDate]],"YYYY")</f>
        <v>2023</v>
      </c>
      <c r="AI218" s="4">
        <f>IF(Table1[[#This Row],[RequiredDate]]&lt;Table1[[#This Row],[OrderDate]], Table1[[#This Row],[OrderDate]]+7, Table1[[#This Row],[RequiredDate]])</f>
        <v>45305</v>
      </c>
      <c r="AJ218">
        <f>IF(Dashboard!$D$3&gt;'Staging Data'!V218,'Staging Data'!V218,Dashboard!D$3)</f>
        <v>0.113</v>
      </c>
      <c r="AK218" s="19">
        <f>(100%+Dashboard!$D$4)*'Staging Data'!S218</f>
        <v>1139.8905</v>
      </c>
      <c r="AL218">
        <f>(100%+Dashboard!$D$5)*'Staging Data'!W218</f>
        <v>8.0499999999999989</v>
      </c>
    </row>
    <row r="219" spans="1:38" x14ac:dyDescent="0.35">
      <c r="A219" s="6" t="s">
        <v>362</v>
      </c>
      <c r="B219" s="4">
        <v>45281</v>
      </c>
      <c r="C219" s="4">
        <v>45297</v>
      </c>
      <c r="D219" s="4">
        <f>IF(Table1[[#This Row],[RequiredDate]]&lt;Table1[[#This Row],[OrderDate]],Table1[[#This Row],[RequiredDate]],Table1[[#This Row],[OrderDate]])</f>
        <v>45281</v>
      </c>
      <c r="E219" s="4">
        <f>IF(Table1[[#This Row],[RequiredDate]]&gt;Table1[[#This Row],[OrderDate]],Table1[[#This Row],[RequiredDate]],Table1[[#This Row],[OrderDate]])</f>
        <v>45297</v>
      </c>
      <c r="F219" s="21">
        <f>Table1[[#This Row],[New RD]]-Table1[[#This Row],[new   od]]</f>
        <v>16</v>
      </c>
      <c r="G219" s="4">
        <f>IF(Table1[[#This Row],[RequiredDate]]&lt;Table1[[#This Row],[OrderDate]], Table1[[#This Row],[OrderDate]]+7, Table1[[#This Row],[RequiredDate]])</f>
        <v>45297</v>
      </c>
      <c r="H219" s="21">
        <f t="shared" si="33"/>
        <v>16</v>
      </c>
      <c r="I219" s="6" t="str">
        <f>IF(Table1[[#This Row],[New LTD]]&lt;=7,"Yes","No")</f>
        <v>No</v>
      </c>
      <c r="J219" s="6" t="str">
        <f t="shared" si="34"/>
        <v>No</v>
      </c>
      <c r="K219" t="s">
        <v>646</v>
      </c>
      <c r="L219" t="s">
        <v>651</v>
      </c>
      <c r="M219" t="s">
        <v>1423</v>
      </c>
      <c r="N219" t="s">
        <v>701</v>
      </c>
      <c r="O219" t="s">
        <v>709</v>
      </c>
      <c r="P219" t="s">
        <v>723</v>
      </c>
      <c r="Q219" t="s">
        <v>727</v>
      </c>
      <c r="R219" t="s">
        <v>1082</v>
      </c>
      <c r="S219" s="6">
        <v>932.61</v>
      </c>
      <c r="T219" s="6">
        <v>1982.98</v>
      </c>
      <c r="U219" s="6">
        <f t="shared" si="35"/>
        <v>1982.98</v>
      </c>
      <c r="V219" s="8">
        <v>0.14399999999999999</v>
      </c>
      <c r="W219" s="6">
        <v>16</v>
      </c>
      <c r="X219" s="6">
        <f t="shared" si="36"/>
        <v>27158.894079999998</v>
      </c>
      <c r="Y219">
        <f t="shared" si="37"/>
        <v>14921.76</v>
      </c>
      <c r="Z219" s="6">
        <f t="shared" si="38"/>
        <v>12237.134079999998</v>
      </c>
      <c r="AA219">
        <f t="shared" si="39"/>
        <v>0.45057556629345635</v>
      </c>
      <c r="AB219" t="str">
        <f t="shared" si="40"/>
        <v>12-2023</v>
      </c>
      <c r="AC219" t="str">
        <f t="shared" si="41"/>
        <v>Q4-2023</v>
      </c>
      <c r="AD219" t="str">
        <f t="shared" si="42"/>
        <v>Africa →Nigeria →N/A</v>
      </c>
      <c r="AE219" t="str">
        <f t="shared" si="43"/>
        <v>High</v>
      </c>
      <c r="AF219" t="str">
        <f>TEXT(Table1[[#This Row],[OrderDate]],"MMM")</f>
        <v>Dec</v>
      </c>
      <c r="AG219" t="str">
        <f>TEXT(Table1[[#This Row],[OrderDate]],"YYYY")</f>
        <v>2023</v>
      </c>
      <c r="AI219" s="4">
        <f>IF(Table1[[#This Row],[RequiredDate]]&lt;Table1[[#This Row],[OrderDate]], Table1[[#This Row],[OrderDate]]+7, Table1[[#This Row],[RequiredDate]])</f>
        <v>45297</v>
      </c>
      <c r="AJ219">
        <f>IF(Dashboard!$D$3&gt;'Staging Data'!V219,'Staging Data'!V219,Dashboard!D$3)</f>
        <v>0.14399999999999999</v>
      </c>
      <c r="AK219" s="19">
        <f>(100%+Dashboard!$D$4)*'Staging Data'!S219</f>
        <v>979.24050000000011</v>
      </c>
      <c r="AL219">
        <f>(100%+Dashboard!$D$5)*'Staging Data'!W219</f>
        <v>18.399999999999999</v>
      </c>
    </row>
    <row r="220" spans="1:38" x14ac:dyDescent="0.35">
      <c r="A220" s="6" t="s">
        <v>100</v>
      </c>
      <c r="B220" s="4">
        <v>45282</v>
      </c>
      <c r="C220" s="4">
        <v>45283</v>
      </c>
      <c r="D220" s="4">
        <f>IF(Table1[[#This Row],[RequiredDate]]&lt;Table1[[#This Row],[OrderDate]],Table1[[#This Row],[RequiredDate]],Table1[[#This Row],[OrderDate]])</f>
        <v>45282</v>
      </c>
      <c r="E220" s="4">
        <f>IF(Table1[[#This Row],[RequiredDate]]&gt;Table1[[#This Row],[OrderDate]],Table1[[#This Row],[RequiredDate]],Table1[[#This Row],[OrderDate]])</f>
        <v>45283</v>
      </c>
      <c r="F220" s="21">
        <f>Table1[[#This Row],[New RD]]-Table1[[#This Row],[new   od]]</f>
        <v>1</v>
      </c>
      <c r="G220" s="4">
        <f>IF(Table1[[#This Row],[RequiredDate]]&lt;Table1[[#This Row],[OrderDate]], Table1[[#This Row],[OrderDate]]+7, Table1[[#This Row],[RequiredDate]])</f>
        <v>45283</v>
      </c>
      <c r="H220" s="21">
        <f t="shared" si="33"/>
        <v>1</v>
      </c>
      <c r="I220" s="6" t="str">
        <f>IF(Table1[[#This Row],[New LTD]]&lt;=7,"Yes","No")</f>
        <v>Yes</v>
      </c>
      <c r="J220" s="6" t="str">
        <f t="shared" si="34"/>
        <v>No</v>
      </c>
      <c r="K220" t="s">
        <v>646</v>
      </c>
      <c r="L220" t="s">
        <v>661</v>
      </c>
      <c r="M220" t="s">
        <v>695</v>
      </c>
      <c r="N220" t="s">
        <v>703</v>
      </c>
      <c r="O220" t="s">
        <v>709</v>
      </c>
      <c r="P220" t="s">
        <v>726</v>
      </c>
      <c r="Q220" t="s">
        <v>727</v>
      </c>
      <c r="R220" t="s">
        <v>819</v>
      </c>
      <c r="S220" s="6">
        <v>1186.18</v>
      </c>
      <c r="T220" s="6">
        <v>1285.0899999999999</v>
      </c>
      <c r="U220" s="6">
        <f t="shared" si="35"/>
        <v>1285.0899999999999</v>
      </c>
      <c r="V220" s="8">
        <v>7.0000000000000007E-2</v>
      </c>
      <c r="W220" s="6">
        <v>11</v>
      </c>
      <c r="X220" s="6">
        <f t="shared" si="36"/>
        <v>13146.470699999998</v>
      </c>
      <c r="Y220">
        <f t="shared" si="37"/>
        <v>13047.980000000001</v>
      </c>
      <c r="Z220" s="6">
        <f t="shared" si="38"/>
        <v>98.49069999999665</v>
      </c>
      <c r="AA220">
        <f t="shared" si="39"/>
        <v>7.4917977796121861E-3</v>
      </c>
      <c r="AB220" t="str">
        <f t="shared" si="40"/>
        <v>12-2023</v>
      </c>
      <c r="AC220" t="str">
        <f t="shared" si="41"/>
        <v>Q4-2023</v>
      </c>
      <c r="AD220" t="str">
        <f t="shared" si="42"/>
        <v>Africa →South Africa →Cape Town</v>
      </c>
      <c r="AE220" t="str">
        <f t="shared" si="43"/>
        <v>Medium</v>
      </c>
      <c r="AF220" t="str">
        <f>TEXT(Table1[[#This Row],[OrderDate]],"MMM")</f>
        <v>Dec</v>
      </c>
      <c r="AG220" t="str">
        <f>TEXT(Table1[[#This Row],[OrderDate]],"YYYY")</f>
        <v>2023</v>
      </c>
      <c r="AI220" s="4">
        <f>IF(Table1[[#This Row],[RequiredDate]]&lt;Table1[[#This Row],[OrderDate]], Table1[[#This Row],[OrderDate]]+7, Table1[[#This Row],[RequiredDate]])</f>
        <v>45283</v>
      </c>
      <c r="AJ220">
        <f>IF(Dashboard!$D$3&gt;'Staging Data'!V220,'Staging Data'!V220,Dashboard!D$3)</f>
        <v>7.0000000000000007E-2</v>
      </c>
      <c r="AK220" s="19">
        <f>(100%+Dashboard!$D$4)*'Staging Data'!S220</f>
        <v>1245.489</v>
      </c>
      <c r="AL220">
        <f>(100%+Dashboard!$D$5)*'Staging Data'!W220</f>
        <v>12.649999999999999</v>
      </c>
    </row>
    <row r="221" spans="1:38" x14ac:dyDescent="0.35">
      <c r="A221" s="6" t="s">
        <v>640</v>
      </c>
      <c r="B221" s="4">
        <v>45282</v>
      </c>
      <c r="C221" s="4">
        <v>45307</v>
      </c>
      <c r="D221" s="4">
        <f>IF(Table1[[#This Row],[RequiredDate]]&lt;Table1[[#This Row],[OrderDate]],Table1[[#This Row],[RequiredDate]],Table1[[#This Row],[OrderDate]])</f>
        <v>45282</v>
      </c>
      <c r="E221" s="4">
        <f>IF(Table1[[#This Row],[RequiredDate]]&gt;Table1[[#This Row],[OrderDate]],Table1[[#This Row],[RequiredDate]],Table1[[#This Row],[OrderDate]])</f>
        <v>45307</v>
      </c>
      <c r="F221" s="21">
        <f>Table1[[#This Row],[New RD]]-Table1[[#This Row],[new   od]]</f>
        <v>25</v>
      </c>
      <c r="G221" s="4">
        <f>IF(Table1[[#This Row],[RequiredDate]]&lt;Table1[[#This Row],[OrderDate]], Table1[[#This Row],[OrderDate]]+7, Table1[[#This Row],[RequiredDate]])</f>
        <v>45307</v>
      </c>
      <c r="H221" s="21">
        <f t="shared" si="33"/>
        <v>25</v>
      </c>
      <c r="I221" s="6" t="str">
        <f>IF(Table1[[#This Row],[New LTD]]&lt;=7,"Yes","No")</f>
        <v>No</v>
      </c>
      <c r="J221" s="6" t="str">
        <f t="shared" si="34"/>
        <v>No</v>
      </c>
      <c r="K221" t="s">
        <v>647</v>
      </c>
      <c r="L221" t="s">
        <v>654</v>
      </c>
      <c r="M221" t="s">
        <v>696</v>
      </c>
      <c r="N221" t="s">
        <v>705</v>
      </c>
      <c r="O221" t="s">
        <v>707</v>
      </c>
      <c r="P221" t="s">
        <v>720</v>
      </c>
      <c r="Q221" t="s">
        <v>727</v>
      </c>
      <c r="R221" t="s">
        <v>1358</v>
      </c>
      <c r="S221" s="6">
        <v>1346.81</v>
      </c>
      <c r="T221" s="6">
        <v>978.09</v>
      </c>
      <c r="U221" s="6">
        <f t="shared" si="35"/>
        <v>978.09</v>
      </c>
      <c r="V221" s="8">
        <v>0.159</v>
      </c>
      <c r="W221" s="6">
        <v>17</v>
      </c>
      <c r="X221" s="6">
        <f t="shared" si="36"/>
        <v>13983.752729999998</v>
      </c>
      <c r="Y221">
        <f t="shared" si="37"/>
        <v>22895.77</v>
      </c>
      <c r="Z221" s="6">
        <f t="shared" si="38"/>
        <v>-8912.0172700000021</v>
      </c>
      <c r="AA221">
        <f t="shared" si="39"/>
        <v>-0.6373122753293996</v>
      </c>
      <c r="AB221" t="str">
        <f t="shared" si="40"/>
        <v>12-2023</v>
      </c>
      <c r="AC221" t="str">
        <f t="shared" si="41"/>
        <v>Q4-2023</v>
      </c>
      <c r="AD221" t="str">
        <f t="shared" si="42"/>
        <v>Asia →India →Hyderabad</v>
      </c>
      <c r="AE221" t="str">
        <f t="shared" si="43"/>
        <v>Medium</v>
      </c>
      <c r="AF221" t="str">
        <f>TEXT(Table1[[#This Row],[OrderDate]],"MMM")</f>
        <v>Dec</v>
      </c>
      <c r="AG221" t="str">
        <f>TEXT(Table1[[#This Row],[OrderDate]],"YYYY")</f>
        <v>2023</v>
      </c>
      <c r="AI221" s="4">
        <f>IF(Table1[[#This Row],[RequiredDate]]&lt;Table1[[#This Row],[OrderDate]], Table1[[#This Row],[OrderDate]]+7, Table1[[#This Row],[RequiredDate]])</f>
        <v>45307</v>
      </c>
      <c r="AJ221">
        <f>IF(Dashboard!$D$3&gt;'Staging Data'!V221,'Staging Data'!V221,Dashboard!D$3)</f>
        <v>0.159</v>
      </c>
      <c r="AK221" s="19">
        <f>(100%+Dashboard!$D$4)*'Staging Data'!S221</f>
        <v>1414.1505</v>
      </c>
      <c r="AL221">
        <f>(100%+Dashboard!$D$5)*'Staging Data'!W221</f>
        <v>19.549999999999997</v>
      </c>
    </row>
    <row r="222" spans="1:38" x14ac:dyDescent="0.35">
      <c r="A222" s="6" t="s">
        <v>282</v>
      </c>
      <c r="B222" s="4">
        <v>45284</v>
      </c>
      <c r="C222" s="4">
        <v>45292</v>
      </c>
      <c r="D222" s="4">
        <f>IF(Table1[[#This Row],[RequiredDate]]&lt;Table1[[#This Row],[OrderDate]],Table1[[#This Row],[RequiredDate]],Table1[[#This Row],[OrderDate]])</f>
        <v>45284</v>
      </c>
      <c r="E222" s="4">
        <f>IF(Table1[[#This Row],[RequiredDate]]&gt;Table1[[#This Row],[OrderDate]],Table1[[#This Row],[RequiredDate]],Table1[[#This Row],[OrderDate]])</f>
        <v>45292</v>
      </c>
      <c r="F222" s="21">
        <f>Table1[[#This Row],[New RD]]-Table1[[#This Row],[new   od]]</f>
        <v>8</v>
      </c>
      <c r="G222" s="4">
        <f>IF(Table1[[#This Row],[RequiredDate]]&lt;Table1[[#This Row],[OrderDate]], Table1[[#This Row],[OrderDate]]+7, Table1[[#This Row],[RequiredDate]])</f>
        <v>45292</v>
      </c>
      <c r="H222" s="21">
        <f t="shared" si="33"/>
        <v>8</v>
      </c>
      <c r="I222" s="6" t="str">
        <f>IF(Table1[[#This Row],[New LTD]]&lt;=7,"Yes","No")</f>
        <v>No</v>
      </c>
      <c r="J222" s="6" t="str">
        <f t="shared" si="34"/>
        <v>No</v>
      </c>
      <c r="K222" t="s">
        <v>648</v>
      </c>
      <c r="L222" t="s">
        <v>655</v>
      </c>
      <c r="M222" t="s">
        <v>670</v>
      </c>
      <c r="N222" t="s">
        <v>702</v>
      </c>
      <c r="O222" t="s">
        <v>711</v>
      </c>
      <c r="P222" t="s">
        <v>712</v>
      </c>
      <c r="Q222" t="s">
        <v>730</v>
      </c>
      <c r="R222" t="s">
        <v>1002</v>
      </c>
      <c r="S222" s="6">
        <v>526.49</v>
      </c>
      <c r="T222" s="6">
        <v>496.2</v>
      </c>
      <c r="U222" s="6">
        <f t="shared" si="35"/>
        <v>496.2</v>
      </c>
      <c r="V222" s="8">
        <v>0</v>
      </c>
      <c r="W222" s="6">
        <v>14</v>
      </c>
      <c r="X222" s="6">
        <f t="shared" si="36"/>
        <v>6946.8</v>
      </c>
      <c r="Y222">
        <f t="shared" si="37"/>
        <v>7370.8600000000006</v>
      </c>
      <c r="Z222" s="6">
        <f t="shared" si="38"/>
        <v>-424.0600000000004</v>
      </c>
      <c r="AA222">
        <f t="shared" si="39"/>
        <v>-6.1043933897621985E-2</v>
      </c>
      <c r="AB222" t="str">
        <f t="shared" si="40"/>
        <v>12-2023</v>
      </c>
      <c r="AC222" t="str">
        <f t="shared" si="41"/>
        <v>Q4-2023</v>
      </c>
      <c r="AD222" t="str">
        <f t="shared" si="42"/>
        <v>Americas →Brazil →São Paulo</v>
      </c>
      <c r="AE222" t="str">
        <f t="shared" si="43"/>
        <v>Low</v>
      </c>
      <c r="AF222" t="str">
        <f>TEXT(Table1[[#This Row],[OrderDate]],"MMM")</f>
        <v>Dec</v>
      </c>
      <c r="AG222" t="str">
        <f>TEXT(Table1[[#This Row],[OrderDate]],"YYYY")</f>
        <v>2023</v>
      </c>
      <c r="AI222" s="4">
        <f>IF(Table1[[#This Row],[RequiredDate]]&lt;Table1[[#This Row],[OrderDate]], Table1[[#This Row],[OrderDate]]+7, Table1[[#This Row],[RequiredDate]])</f>
        <v>45292</v>
      </c>
      <c r="AJ222">
        <f>IF(Dashboard!$D$3&gt;'Staging Data'!V222,'Staging Data'!V222,Dashboard!D$3)</f>
        <v>0</v>
      </c>
      <c r="AK222" s="19">
        <f>(100%+Dashboard!$D$4)*'Staging Data'!S222</f>
        <v>552.81450000000007</v>
      </c>
      <c r="AL222">
        <f>(100%+Dashboard!$D$5)*'Staging Data'!W222</f>
        <v>16.099999999999998</v>
      </c>
    </row>
    <row r="223" spans="1:38" x14ac:dyDescent="0.35">
      <c r="A223" s="6" t="s">
        <v>460</v>
      </c>
      <c r="B223" s="4">
        <v>45284</v>
      </c>
      <c r="C223" s="4">
        <v>45304</v>
      </c>
      <c r="D223" s="4">
        <f>IF(Table1[[#This Row],[RequiredDate]]&lt;Table1[[#This Row],[OrderDate]],Table1[[#This Row],[RequiredDate]],Table1[[#This Row],[OrderDate]])</f>
        <v>45284</v>
      </c>
      <c r="E223" s="4">
        <f>IF(Table1[[#This Row],[RequiredDate]]&gt;Table1[[#This Row],[OrderDate]],Table1[[#This Row],[RequiredDate]],Table1[[#This Row],[OrderDate]])</f>
        <v>45304</v>
      </c>
      <c r="F223" s="21">
        <f>Table1[[#This Row],[New RD]]-Table1[[#This Row],[new   od]]</f>
        <v>20</v>
      </c>
      <c r="G223" s="4">
        <f>IF(Table1[[#This Row],[RequiredDate]]&lt;Table1[[#This Row],[OrderDate]], Table1[[#This Row],[OrderDate]]+7, Table1[[#This Row],[RequiredDate]])</f>
        <v>45304</v>
      </c>
      <c r="H223" s="21">
        <f t="shared" si="33"/>
        <v>20</v>
      </c>
      <c r="I223" s="6" t="str">
        <f>IF(Table1[[#This Row],[New LTD]]&lt;=7,"Yes","No")</f>
        <v>No</v>
      </c>
      <c r="J223" s="6" t="str">
        <f t="shared" si="34"/>
        <v>No</v>
      </c>
      <c r="K223" t="s">
        <v>647</v>
      </c>
      <c r="L223" t="s">
        <v>652</v>
      </c>
      <c r="M223" t="s">
        <v>694</v>
      </c>
      <c r="N223" t="s">
        <v>702</v>
      </c>
      <c r="O223" t="s">
        <v>711</v>
      </c>
      <c r="P223" t="s">
        <v>717</v>
      </c>
      <c r="Q223" t="s">
        <v>731</v>
      </c>
      <c r="R223" t="s">
        <v>1179</v>
      </c>
      <c r="S223" s="6">
        <v>625.37</v>
      </c>
      <c r="T223" s="6">
        <v>1319.04</v>
      </c>
      <c r="U223" s="6">
        <f t="shared" si="35"/>
        <v>1319.04</v>
      </c>
      <c r="V223" s="8">
        <v>7.3999999999999996E-2</v>
      </c>
      <c r="W223" s="6">
        <v>8</v>
      </c>
      <c r="X223" s="6">
        <f t="shared" si="36"/>
        <v>9771.4483199999995</v>
      </c>
      <c r="Y223">
        <f t="shared" si="37"/>
        <v>5002.96</v>
      </c>
      <c r="Z223" s="6">
        <f t="shared" si="38"/>
        <v>4768.4883199999995</v>
      </c>
      <c r="AA223">
        <f t="shared" si="39"/>
        <v>0.48800220436513547</v>
      </c>
      <c r="AB223" t="str">
        <f t="shared" si="40"/>
        <v>12-2023</v>
      </c>
      <c r="AC223" t="str">
        <f t="shared" si="41"/>
        <v>Q4-2023</v>
      </c>
      <c r="AD223" t="str">
        <f t="shared" si="42"/>
        <v>Asia →Japan →Nagoya</v>
      </c>
      <c r="AE223" t="str">
        <f t="shared" si="43"/>
        <v>Medium</v>
      </c>
      <c r="AF223" t="str">
        <f>TEXT(Table1[[#This Row],[OrderDate]],"MMM")</f>
        <v>Dec</v>
      </c>
      <c r="AG223" t="str">
        <f>TEXT(Table1[[#This Row],[OrderDate]],"YYYY")</f>
        <v>2023</v>
      </c>
      <c r="AI223" s="4">
        <f>IF(Table1[[#This Row],[RequiredDate]]&lt;Table1[[#This Row],[OrderDate]], Table1[[#This Row],[OrderDate]]+7, Table1[[#This Row],[RequiredDate]])</f>
        <v>45304</v>
      </c>
      <c r="AJ223">
        <f>IF(Dashboard!$D$3&gt;'Staging Data'!V223,'Staging Data'!V223,Dashboard!D$3)</f>
        <v>7.3999999999999996E-2</v>
      </c>
      <c r="AK223" s="19">
        <f>(100%+Dashboard!$D$4)*'Staging Data'!S223</f>
        <v>656.63850000000002</v>
      </c>
      <c r="AL223">
        <f>(100%+Dashboard!$D$5)*'Staging Data'!W223</f>
        <v>9.1999999999999993</v>
      </c>
    </row>
    <row r="224" spans="1:38" x14ac:dyDescent="0.35">
      <c r="A224" s="6" t="s">
        <v>384</v>
      </c>
      <c r="B224" s="4">
        <v>45286</v>
      </c>
      <c r="C224" s="4">
        <v>45294</v>
      </c>
      <c r="D224" s="4">
        <f>IF(Table1[[#This Row],[RequiredDate]]&lt;Table1[[#This Row],[OrderDate]],Table1[[#This Row],[RequiredDate]],Table1[[#This Row],[OrderDate]])</f>
        <v>45286</v>
      </c>
      <c r="E224" s="4">
        <f>IF(Table1[[#This Row],[RequiredDate]]&gt;Table1[[#This Row],[OrderDate]],Table1[[#This Row],[RequiredDate]],Table1[[#This Row],[OrderDate]])</f>
        <v>45294</v>
      </c>
      <c r="F224" s="21">
        <f>Table1[[#This Row],[New RD]]-Table1[[#This Row],[new   od]]</f>
        <v>8</v>
      </c>
      <c r="G224" s="4">
        <f>IF(Table1[[#This Row],[RequiredDate]]&lt;Table1[[#This Row],[OrderDate]], Table1[[#This Row],[OrderDate]]+7, Table1[[#This Row],[RequiredDate]])</f>
        <v>45294</v>
      </c>
      <c r="H224" s="21">
        <f t="shared" si="33"/>
        <v>8</v>
      </c>
      <c r="I224" s="6" t="str">
        <f>IF(Table1[[#This Row],[New LTD]]&lt;=7,"Yes","No")</f>
        <v>No</v>
      </c>
      <c r="J224" s="6" t="str">
        <f t="shared" si="34"/>
        <v>No</v>
      </c>
      <c r="K224" t="s">
        <v>649</v>
      </c>
      <c r="L224" t="s">
        <v>657</v>
      </c>
      <c r="M224" t="s">
        <v>679</v>
      </c>
      <c r="N224" t="s">
        <v>705</v>
      </c>
      <c r="O224" t="s">
        <v>707</v>
      </c>
      <c r="P224" t="s">
        <v>724</v>
      </c>
      <c r="Q224" t="s">
        <v>731</v>
      </c>
      <c r="R224" t="s">
        <v>1104</v>
      </c>
      <c r="S224" s="6">
        <v>492.75</v>
      </c>
      <c r="T224" s="6">
        <v>731.29</v>
      </c>
      <c r="U224" s="6">
        <f t="shared" si="35"/>
        <v>731.29</v>
      </c>
      <c r="V224" s="8">
        <v>5.8000000000000003E-2</v>
      </c>
      <c r="W224" s="6">
        <v>6</v>
      </c>
      <c r="X224" s="6">
        <f t="shared" si="36"/>
        <v>4133.25108</v>
      </c>
      <c r="Y224">
        <f t="shared" si="37"/>
        <v>2956.5</v>
      </c>
      <c r="Z224" s="6">
        <f t="shared" si="38"/>
        <v>1176.75108</v>
      </c>
      <c r="AA224">
        <f t="shared" si="39"/>
        <v>0.28470350753528384</v>
      </c>
      <c r="AB224" t="str">
        <f t="shared" si="40"/>
        <v>12-2023</v>
      </c>
      <c r="AC224" t="str">
        <f t="shared" si="41"/>
        <v>Q4-2023</v>
      </c>
      <c r="AD224" t="str">
        <f t="shared" si="42"/>
        <v>Europe →France →Lyon</v>
      </c>
      <c r="AE224" t="str">
        <f t="shared" si="43"/>
        <v>Low</v>
      </c>
      <c r="AF224" t="str">
        <f>TEXT(Table1[[#This Row],[OrderDate]],"MMM")</f>
        <v>Dec</v>
      </c>
      <c r="AG224" t="str">
        <f>TEXT(Table1[[#This Row],[OrderDate]],"YYYY")</f>
        <v>2023</v>
      </c>
      <c r="AI224" s="4">
        <f>IF(Table1[[#This Row],[RequiredDate]]&lt;Table1[[#This Row],[OrderDate]], Table1[[#This Row],[OrderDate]]+7, Table1[[#This Row],[RequiredDate]])</f>
        <v>45294</v>
      </c>
      <c r="AJ224">
        <f>IF(Dashboard!$D$3&gt;'Staging Data'!V224,'Staging Data'!V224,Dashboard!D$3)</f>
        <v>5.8000000000000003E-2</v>
      </c>
      <c r="AK224" s="19">
        <f>(100%+Dashboard!$D$4)*'Staging Data'!S224</f>
        <v>517.38750000000005</v>
      </c>
      <c r="AL224">
        <f>(100%+Dashboard!$D$5)*'Staging Data'!W224</f>
        <v>6.8999999999999995</v>
      </c>
    </row>
    <row r="225" spans="1:38" x14ac:dyDescent="0.35">
      <c r="A225" s="6" t="s">
        <v>553</v>
      </c>
      <c r="B225" s="4">
        <v>45288</v>
      </c>
      <c r="C225" s="4">
        <v>45292</v>
      </c>
      <c r="D225" s="4">
        <f>IF(Table1[[#This Row],[RequiredDate]]&lt;Table1[[#This Row],[OrderDate]],Table1[[#This Row],[RequiredDate]],Table1[[#This Row],[OrderDate]])</f>
        <v>45288</v>
      </c>
      <c r="E225" s="4">
        <f>IF(Table1[[#This Row],[RequiredDate]]&gt;Table1[[#This Row],[OrderDate]],Table1[[#This Row],[RequiredDate]],Table1[[#This Row],[OrderDate]])</f>
        <v>45292</v>
      </c>
      <c r="F225" s="21">
        <f>Table1[[#This Row],[New RD]]-Table1[[#This Row],[new   od]]</f>
        <v>4</v>
      </c>
      <c r="G225" s="4">
        <f>IF(Table1[[#This Row],[RequiredDate]]&lt;Table1[[#This Row],[OrderDate]], Table1[[#This Row],[OrderDate]]+7, Table1[[#This Row],[RequiredDate]])</f>
        <v>45292</v>
      </c>
      <c r="H225" s="21">
        <f t="shared" si="33"/>
        <v>4</v>
      </c>
      <c r="I225" s="6" t="str">
        <f>IF(Table1[[#This Row],[New LTD]]&lt;=7,"Yes","No")</f>
        <v>Yes</v>
      </c>
      <c r="J225" s="6" t="str">
        <f t="shared" si="34"/>
        <v>No</v>
      </c>
      <c r="K225" t="s">
        <v>646</v>
      </c>
      <c r="L225" t="s">
        <v>661</v>
      </c>
      <c r="M225" t="s">
        <v>695</v>
      </c>
      <c r="N225" t="s">
        <v>702</v>
      </c>
      <c r="O225" t="s">
        <v>710</v>
      </c>
      <c r="P225" t="s">
        <v>720</v>
      </c>
      <c r="Q225" t="s">
        <v>728</v>
      </c>
      <c r="R225" t="s">
        <v>1271</v>
      </c>
      <c r="S225" s="6">
        <v>1141.8</v>
      </c>
      <c r="T225" s="6">
        <v>2318.7399999999998</v>
      </c>
      <c r="U225" s="6">
        <f t="shared" si="35"/>
        <v>2318.7399999999998</v>
      </c>
      <c r="V225" s="8">
        <v>0.107</v>
      </c>
      <c r="W225" s="6">
        <v>32</v>
      </c>
      <c r="X225" s="6">
        <f t="shared" si="36"/>
        <v>66260.314239999992</v>
      </c>
      <c r="Y225">
        <f t="shared" si="37"/>
        <v>36537.599999999999</v>
      </c>
      <c r="Z225" s="6">
        <f t="shared" si="38"/>
        <v>29722.714239999994</v>
      </c>
      <c r="AA225">
        <f t="shared" si="39"/>
        <v>0.44857490612468304</v>
      </c>
      <c r="AB225" t="str">
        <f t="shared" si="40"/>
        <v>12-2023</v>
      </c>
      <c r="AC225" t="str">
        <f t="shared" si="41"/>
        <v>Q4-2023</v>
      </c>
      <c r="AD225" t="str">
        <f t="shared" si="42"/>
        <v>Africa →South Africa →Cape Town</v>
      </c>
      <c r="AE225" t="str">
        <f t="shared" si="43"/>
        <v>High</v>
      </c>
      <c r="AF225" t="str">
        <f>TEXT(Table1[[#This Row],[OrderDate]],"MMM")</f>
        <v>Dec</v>
      </c>
      <c r="AG225" t="str">
        <f>TEXT(Table1[[#This Row],[OrderDate]],"YYYY")</f>
        <v>2023</v>
      </c>
      <c r="AI225" s="4">
        <f>IF(Table1[[#This Row],[RequiredDate]]&lt;Table1[[#This Row],[OrderDate]], Table1[[#This Row],[OrderDate]]+7, Table1[[#This Row],[RequiredDate]])</f>
        <v>45292</v>
      </c>
      <c r="AJ225">
        <f>IF(Dashboard!$D$3&gt;'Staging Data'!V225,'Staging Data'!V225,Dashboard!D$3)</f>
        <v>0.107</v>
      </c>
      <c r="AK225" s="19">
        <f>(100%+Dashboard!$D$4)*'Staging Data'!S225</f>
        <v>1198.8900000000001</v>
      </c>
      <c r="AL225">
        <f>(100%+Dashboard!$D$5)*'Staging Data'!W225</f>
        <v>36.799999999999997</v>
      </c>
    </row>
    <row r="226" spans="1:38" x14ac:dyDescent="0.35">
      <c r="A226" s="6" t="s">
        <v>137</v>
      </c>
      <c r="B226" s="4">
        <v>45289</v>
      </c>
      <c r="C226" s="4">
        <v>45311</v>
      </c>
      <c r="D226" s="4">
        <f>IF(Table1[[#This Row],[RequiredDate]]&lt;Table1[[#This Row],[OrderDate]],Table1[[#This Row],[RequiredDate]],Table1[[#This Row],[OrderDate]])</f>
        <v>45289</v>
      </c>
      <c r="E226" s="4">
        <f>IF(Table1[[#This Row],[RequiredDate]]&gt;Table1[[#This Row],[OrderDate]],Table1[[#This Row],[RequiredDate]],Table1[[#This Row],[OrderDate]])</f>
        <v>45311</v>
      </c>
      <c r="F226" s="21">
        <f>Table1[[#This Row],[New RD]]-Table1[[#This Row],[new   od]]</f>
        <v>22</v>
      </c>
      <c r="G226" s="4">
        <f>IF(Table1[[#This Row],[RequiredDate]]&lt;Table1[[#This Row],[OrderDate]], Table1[[#This Row],[OrderDate]]+7, Table1[[#This Row],[RequiredDate]])</f>
        <v>45311</v>
      </c>
      <c r="H226" s="21">
        <f t="shared" si="33"/>
        <v>22</v>
      </c>
      <c r="I226" s="6" t="str">
        <f>IF(Table1[[#This Row],[New LTD]]&lt;=7,"Yes","No")</f>
        <v>No</v>
      </c>
      <c r="J226" s="6" t="str">
        <f t="shared" si="34"/>
        <v>Yes</v>
      </c>
      <c r="K226" t="s">
        <v>646</v>
      </c>
      <c r="L226" t="s">
        <v>650</v>
      </c>
      <c r="M226" t="s">
        <v>662</v>
      </c>
      <c r="N226" t="s">
        <v>701</v>
      </c>
      <c r="O226" t="s">
        <v>711</v>
      </c>
      <c r="P226" t="s">
        <v>716</v>
      </c>
      <c r="Q226" t="s">
        <v>730</v>
      </c>
      <c r="R226" t="s">
        <v>856</v>
      </c>
      <c r="S226" s="6">
        <v>1395.49</v>
      </c>
      <c r="T226" s="6">
        <v>1679.42</v>
      </c>
      <c r="U226" s="6">
        <f t="shared" si="35"/>
        <v>1679.42</v>
      </c>
      <c r="V226" s="8">
        <v>0.20300000000000001</v>
      </c>
      <c r="W226" s="6">
        <v>12</v>
      </c>
      <c r="X226" s="6">
        <f t="shared" si="36"/>
        <v>16061.972879999999</v>
      </c>
      <c r="Y226">
        <f t="shared" si="37"/>
        <v>16745.88</v>
      </c>
      <c r="Z226" s="6">
        <f t="shared" si="38"/>
        <v>-683.90712000000167</v>
      </c>
      <c r="AA226">
        <f t="shared" si="39"/>
        <v>-4.2579272490964493E-2</v>
      </c>
      <c r="AB226" t="str">
        <f t="shared" si="40"/>
        <v>12-2023</v>
      </c>
      <c r="AC226" t="str">
        <f t="shared" si="41"/>
        <v>Q4-2023</v>
      </c>
      <c r="AD226" t="str">
        <f t="shared" si="42"/>
        <v>Africa →Kenya →Kisumu</v>
      </c>
      <c r="AE226" t="str">
        <f t="shared" si="43"/>
        <v>High</v>
      </c>
      <c r="AF226" t="str">
        <f>TEXT(Table1[[#This Row],[OrderDate]],"MMM")</f>
        <v>Dec</v>
      </c>
      <c r="AG226" t="str">
        <f>TEXT(Table1[[#This Row],[OrderDate]],"YYYY")</f>
        <v>2023</v>
      </c>
      <c r="AI226" s="4">
        <f>IF(Table1[[#This Row],[RequiredDate]]&lt;Table1[[#This Row],[OrderDate]], Table1[[#This Row],[OrderDate]]+7, Table1[[#This Row],[RequiredDate]])</f>
        <v>45311</v>
      </c>
      <c r="AJ226">
        <f>IF(Dashboard!$D$3&gt;'Staging Data'!V226,'Staging Data'!V226,Dashboard!D$3)</f>
        <v>0.2</v>
      </c>
      <c r="AK226" s="19">
        <f>(100%+Dashboard!$D$4)*'Staging Data'!S226</f>
        <v>1465.2645</v>
      </c>
      <c r="AL226">
        <f>(100%+Dashboard!$D$5)*'Staging Data'!W226</f>
        <v>13.799999999999999</v>
      </c>
    </row>
    <row r="227" spans="1:38" x14ac:dyDescent="0.35">
      <c r="A227" s="6" t="s">
        <v>452</v>
      </c>
      <c r="B227" s="4">
        <v>45290</v>
      </c>
      <c r="C227" s="4">
        <v>45299</v>
      </c>
      <c r="D227" s="4">
        <f>IF(Table1[[#This Row],[RequiredDate]]&lt;Table1[[#This Row],[OrderDate]],Table1[[#This Row],[RequiredDate]],Table1[[#This Row],[OrderDate]])</f>
        <v>45290</v>
      </c>
      <c r="E227" s="4">
        <f>IF(Table1[[#This Row],[RequiredDate]]&gt;Table1[[#This Row],[OrderDate]],Table1[[#This Row],[RequiredDate]],Table1[[#This Row],[OrderDate]])</f>
        <v>45299</v>
      </c>
      <c r="F227" s="21">
        <f>Table1[[#This Row],[New RD]]-Table1[[#This Row],[new   od]]</f>
        <v>9</v>
      </c>
      <c r="G227" s="4">
        <f>IF(Table1[[#This Row],[RequiredDate]]&lt;Table1[[#This Row],[OrderDate]], Table1[[#This Row],[OrderDate]]+7, Table1[[#This Row],[RequiredDate]])</f>
        <v>45299</v>
      </c>
      <c r="H227" s="21">
        <f t="shared" si="33"/>
        <v>9</v>
      </c>
      <c r="I227" s="6" t="str">
        <f>IF(Table1[[#This Row],[New LTD]]&lt;=7,"Yes","No")</f>
        <v>No</v>
      </c>
      <c r="J227" s="6" t="str">
        <f t="shared" si="34"/>
        <v>No</v>
      </c>
      <c r="K227" t="s">
        <v>649</v>
      </c>
      <c r="L227" t="s">
        <v>657</v>
      </c>
      <c r="M227" t="s">
        <v>673</v>
      </c>
      <c r="N227" t="s">
        <v>704</v>
      </c>
      <c r="O227" t="s">
        <v>709</v>
      </c>
      <c r="P227" t="s">
        <v>716</v>
      </c>
      <c r="Q227" t="s">
        <v>733</v>
      </c>
      <c r="R227" t="s">
        <v>1171</v>
      </c>
      <c r="S227" s="6">
        <v>861.1</v>
      </c>
      <c r="T227" s="6">
        <v>1224.72</v>
      </c>
      <c r="U227" s="6">
        <f t="shared" si="35"/>
        <v>1224.72</v>
      </c>
      <c r="V227" s="8">
        <v>0.17399999999999999</v>
      </c>
      <c r="W227" s="6">
        <v>24</v>
      </c>
      <c r="X227" s="6">
        <f t="shared" si="36"/>
        <v>24278.849280000002</v>
      </c>
      <c r="Y227">
        <f t="shared" si="37"/>
        <v>20666.400000000001</v>
      </c>
      <c r="Z227" s="6">
        <f t="shared" si="38"/>
        <v>3612.4492800000007</v>
      </c>
      <c r="AA227">
        <f t="shared" si="39"/>
        <v>0.14878997098827909</v>
      </c>
      <c r="AB227" t="str">
        <f t="shared" si="40"/>
        <v>12-2023</v>
      </c>
      <c r="AC227" t="str">
        <f t="shared" si="41"/>
        <v>Q4-2023</v>
      </c>
      <c r="AD227" t="str">
        <f t="shared" si="42"/>
        <v>Europe →France →Marseille</v>
      </c>
      <c r="AE227" t="str">
        <f t="shared" si="43"/>
        <v>Medium</v>
      </c>
      <c r="AF227" t="str">
        <f>TEXT(Table1[[#This Row],[OrderDate]],"MMM")</f>
        <v>Dec</v>
      </c>
      <c r="AG227" t="str">
        <f>TEXT(Table1[[#This Row],[OrderDate]],"YYYY")</f>
        <v>2023</v>
      </c>
      <c r="AI227" s="4">
        <f>IF(Table1[[#This Row],[RequiredDate]]&lt;Table1[[#This Row],[OrderDate]], Table1[[#This Row],[OrderDate]]+7, Table1[[#This Row],[RequiredDate]])</f>
        <v>45299</v>
      </c>
      <c r="AJ227">
        <f>IF(Dashboard!$D$3&gt;'Staging Data'!V227,'Staging Data'!V227,Dashboard!D$3)</f>
        <v>0.17399999999999999</v>
      </c>
      <c r="AK227" s="19">
        <f>(100%+Dashboard!$D$4)*'Staging Data'!S227</f>
        <v>904.15500000000009</v>
      </c>
      <c r="AL227">
        <f>(100%+Dashboard!$D$5)*'Staging Data'!W227</f>
        <v>27.599999999999998</v>
      </c>
    </row>
    <row r="228" spans="1:38" x14ac:dyDescent="0.35">
      <c r="A228" s="6" t="s">
        <v>369</v>
      </c>
      <c r="B228" s="4">
        <v>45292</v>
      </c>
      <c r="C228" s="4">
        <v>45318</v>
      </c>
      <c r="D228" s="4">
        <f>IF(Table1[[#This Row],[RequiredDate]]&lt;Table1[[#This Row],[OrderDate]],Table1[[#This Row],[RequiredDate]],Table1[[#This Row],[OrderDate]])</f>
        <v>45292</v>
      </c>
      <c r="E228" s="4">
        <f>IF(Table1[[#This Row],[RequiredDate]]&gt;Table1[[#This Row],[OrderDate]],Table1[[#This Row],[RequiredDate]],Table1[[#This Row],[OrderDate]])</f>
        <v>45318</v>
      </c>
      <c r="F228" s="21">
        <f>Table1[[#This Row],[New RD]]-Table1[[#This Row],[new   od]]</f>
        <v>26</v>
      </c>
      <c r="G228" s="4">
        <f>IF(Table1[[#This Row],[RequiredDate]]&lt;Table1[[#This Row],[OrderDate]], Table1[[#This Row],[OrderDate]]+7, Table1[[#This Row],[RequiredDate]])</f>
        <v>45318</v>
      </c>
      <c r="H228" s="21">
        <f t="shared" si="33"/>
        <v>26</v>
      </c>
      <c r="I228" s="6" t="str">
        <f>IF(Table1[[#This Row],[New LTD]]&lt;=7,"Yes","No")</f>
        <v>No</v>
      </c>
      <c r="J228" s="6" t="str">
        <f t="shared" si="34"/>
        <v>No</v>
      </c>
      <c r="K228" t="s">
        <v>649</v>
      </c>
      <c r="L228" t="s">
        <v>658</v>
      </c>
      <c r="M228" t="s">
        <v>693</v>
      </c>
      <c r="N228" t="s">
        <v>702</v>
      </c>
      <c r="O228" t="s">
        <v>710</v>
      </c>
      <c r="P228" t="s">
        <v>726</v>
      </c>
      <c r="Q228" t="s">
        <v>733</v>
      </c>
      <c r="R228" t="s">
        <v>1089</v>
      </c>
      <c r="S228" s="6">
        <v>657.45</v>
      </c>
      <c r="T228" s="6">
        <v>1325.96</v>
      </c>
      <c r="U228" s="6">
        <f t="shared" si="35"/>
        <v>1325.96</v>
      </c>
      <c r="V228" s="8">
        <v>0.16700000000000001</v>
      </c>
      <c r="W228" s="6">
        <v>21</v>
      </c>
      <c r="X228" s="6">
        <f t="shared" si="36"/>
        <v>23195.01828</v>
      </c>
      <c r="Y228">
        <f t="shared" si="37"/>
        <v>13806.45</v>
      </c>
      <c r="Z228" s="6">
        <f t="shared" si="38"/>
        <v>9388.5682799999995</v>
      </c>
      <c r="AA228">
        <f t="shared" si="39"/>
        <v>0.40476658249048808</v>
      </c>
      <c r="AB228" t="str">
        <f t="shared" si="40"/>
        <v>1-2024</v>
      </c>
      <c r="AC228" t="str">
        <f t="shared" si="41"/>
        <v>Q1-2024</v>
      </c>
      <c r="AD228" t="str">
        <f t="shared" si="42"/>
        <v>Europe →United Kingdom →Manchester</v>
      </c>
      <c r="AE228" t="str">
        <f t="shared" si="43"/>
        <v>Medium</v>
      </c>
      <c r="AF228" t="str">
        <f>TEXT(Table1[[#This Row],[OrderDate]],"MMM")</f>
        <v>Jan</v>
      </c>
      <c r="AG228" t="str">
        <f>TEXT(Table1[[#This Row],[OrderDate]],"YYYY")</f>
        <v>2024</v>
      </c>
      <c r="AI228" s="4">
        <f>IF(Table1[[#This Row],[RequiredDate]]&lt;Table1[[#This Row],[OrderDate]], Table1[[#This Row],[OrderDate]]+7, Table1[[#This Row],[RequiredDate]])</f>
        <v>45318</v>
      </c>
      <c r="AJ228">
        <f>IF(Dashboard!$D$3&gt;'Staging Data'!V228,'Staging Data'!V228,Dashboard!D$3)</f>
        <v>0.16700000000000001</v>
      </c>
      <c r="AK228" s="19">
        <f>(100%+Dashboard!$D$4)*'Staging Data'!S228</f>
        <v>690.3225000000001</v>
      </c>
      <c r="AL228">
        <f>(100%+Dashboard!$D$5)*'Staging Data'!W228</f>
        <v>24.15</v>
      </c>
    </row>
    <row r="229" spans="1:38" x14ac:dyDescent="0.35">
      <c r="A229" s="6" t="s">
        <v>335</v>
      </c>
      <c r="B229" s="4">
        <v>45293</v>
      </c>
      <c r="C229" s="4">
        <v>45292</v>
      </c>
      <c r="D229" s="4">
        <f>IF(Table1[[#This Row],[RequiredDate]]&lt;Table1[[#This Row],[OrderDate]],Table1[[#This Row],[RequiredDate]],Table1[[#This Row],[OrderDate]])</f>
        <v>45292</v>
      </c>
      <c r="E229" s="4">
        <f>IF(Table1[[#This Row],[RequiredDate]]&gt;Table1[[#This Row],[OrderDate]],Table1[[#This Row],[RequiredDate]],Table1[[#This Row],[OrderDate]])</f>
        <v>45293</v>
      </c>
      <c r="F229" s="21">
        <f>Table1[[#This Row],[New RD]]-Table1[[#This Row],[new   od]]</f>
        <v>1</v>
      </c>
      <c r="G229" s="4">
        <f>IF(Table1[[#This Row],[RequiredDate]]&lt;Table1[[#This Row],[OrderDate]], Table1[[#This Row],[OrderDate]]+7, Table1[[#This Row],[RequiredDate]])</f>
        <v>45300</v>
      </c>
      <c r="H229" s="21">
        <f t="shared" si="33"/>
        <v>7</v>
      </c>
      <c r="I229" s="6" t="str">
        <f>IF(Table1[[#This Row],[New LTD]]&lt;=7,"Yes","No")</f>
        <v>Yes</v>
      </c>
      <c r="J229" s="6" t="str">
        <f t="shared" si="34"/>
        <v>Yes</v>
      </c>
      <c r="K229" t="s">
        <v>648</v>
      </c>
      <c r="L229" t="s">
        <v>660</v>
      </c>
      <c r="M229" t="s">
        <v>677</v>
      </c>
      <c r="N229" t="s">
        <v>702</v>
      </c>
      <c r="O229" t="s">
        <v>709</v>
      </c>
      <c r="P229" t="s">
        <v>717</v>
      </c>
      <c r="Q229" t="s">
        <v>729</v>
      </c>
      <c r="R229" t="s">
        <v>1055</v>
      </c>
      <c r="S229" s="6">
        <v>404.77</v>
      </c>
      <c r="T229" s="6">
        <v>433.88</v>
      </c>
      <c r="U229" s="6">
        <f t="shared" si="35"/>
        <v>433.88</v>
      </c>
      <c r="V229" s="8">
        <v>0.215</v>
      </c>
      <c r="W229" s="6">
        <v>22</v>
      </c>
      <c r="X229" s="6">
        <f t="shared" si="36"/>
        <v>7493.1076000000012</v>
      </c>
      <c r="Y229">
        <f t="shared" si="37"/>
        <v>8904.9399999999987</v>
      </c>
      <c r="Z229" s="6">
        <f t="shared" si="38"/>
        <v>-1411.8323999999975</v>
      </c>
      <c r="AA229">
        <f t="shared" si="39"/>
        <v>-0.18841747314558746</v>
      </c>
      <c r="AB229" t="str">
        <f t="shared" si="40"/>
        <v>1-2024</v>
      </c>
      <c r="AC229" t="str">
        <f t="shared" si="41"/>
        <v>Q1-2024</v>
      </c>
      <c r="AD229" t="str">
        <f t="shared" si="42"/>
        <v>Americas →USA →Chicago</v>
      </c>
      <c r="AE229" t="str">
        <f t="shared" si="43"/>
        <v>Low</v>
      </c>
      <c r="AF229" t="str">
        <f>TEXT(Table1[[#This Row],[OrderDate]],"MMM")</f>
        <v>Jan</v>
      </c>
      <c r="AG229" t="str">
        <f>TEXT(Table1[[#This Row],[OrderDate]],"YYYY")</f>
        <v>2024</v>
      </c>
      <c r="AI229" s="4">
        <f>IF(Table1[[#This Row],[RequiredDate]]&lt;Table1[[#This Row],[OrderDate]], Table1[[#This Row],[OrderDate]]+7, Table1[[#This Row],[RequiredDate]])</f>
        <v>45300</v>
      </c>
      <c r="AJ229">
        <f>IF(Dashboard!$D$3&gt;'Staging Data'!V229,'Staging Data'!V229,Dashboard!D$3)</f>
        <v>0.2</v>
      </c>
      <c r="AK229" s="19">
        <f>(100%+Dashboard!$D$4)*'Staging Data'!S229</f>
        <v>425.00850000000003</v>
      </c>
      <c r="AL229">
        <f>(100%+Dashboard!$D$5)*'Staging Data'!W229</f>
        <v>25.299999999999997</v>
      </c>
    </row>
    <row r="230" spans="1:38" x14ac:dyDescent="0.35">
      <c r="A230" s="6" t="s">
        <v>494</v>
      </c>
      <c r="B230" s="4">
        <v>45293</v>
      </c>
      <c r="C230" s="4">
        <v>45306</v>
      </c>
      <c r="D230" s="4">
        <f>IF(Table1[[#This Row],[RequiredDate]]&lt;Table1[[#This Row],[OrderDate]],Table1[[#This Row],[RequiredDate]],Table1[[#This Row],[OrderDate]])</f>
        <v>45293</v>
      </c>
      <c r="E230" s="4">
        <f>IF(Table1[[#This Row],[RequiredDate]]&gt;Table1[[#This Row],[OrderDate]],Table1[[#This Row],[RequiredDate]],Table1[[#This Row],[OrderDate]])</f>
        <v>45306</v>
      </c>
      <c r="F230" s="21">
        <f>Table1[[#This Row],[New RD]]-Table1[[#This Row],[new   od]]</f>
        <v>13</v>
      </c>
      <c r="G230" s="4">
        <f>IF(Table1[[#This Row],[RequiredDate]]&lt;Table1[[#This Row],[OrderDate]], Table1[[#This Row],[OrderDate]]+7, Table1[[#This Row],[RequiredDate]])</f>
        <v>45306</v>
      </c>
      <c r="H230" s="21">
        <f t="shared" si="33"/>
        <v>13</v>
      </c>
      <c r="I230" s="6" t="str">
        <f>IF(Table1[[#This Row],[New LTD]]&lt;=7,"Yes","No")</f>
        <v>No</v>
      </c>
      <c r="J230" s="6" t="str">
        <f t="shared" si="34"/>
        <v>No</v>
      </c>
      <c r="K230" t="s">
        <v>647</v>
      </c>
      <c r="L230" t="s">
        <v>652</v>
      </c>
      <c r="M230" t="s">
        <v>694</v>
      </c>
      <c r="N230" t="s">
        <v>705</v>
      </c>
      <c r="O230" t="s">
        <v>709</v>
      </c>
      <c r="P230" t="s">
        <v>715</v>
      </c>
      <c r="Q230" t="s">
        <v>729</v>
      </c>
      <c r="R230" t="s">
        <v>1213</v>
      </c>
      <c r="S230" s="6">
        <v>1219.06</v>
      </c>
      <c r="T230" s="6">
        <v>2738.69</v>
      </c>
      <c r="U230" s="6">
        <f t="shared" si="35"/>
        <v>2738.69</v>
      </c>
      <c r="V230" s="8">
        <v>7.5999999999999998E-2</v>
      </c>
      <c r="W230" s="6">
        <v>16</v>
      </c>
      <c r="X230" s="6">
        <f t="shared" si="36"/>
        <v>40488.792960000006</v>
      </c>
      <c r="Y230">
        <f t="shared" si="37"/>
        <v>19504.96</v>
      </c>
      <c r="Z230" s="6">
        <f t="shared" si="38"/>
        <v>20983.832960000007</v>
      </c>
      <c r="AA230">
        <f t="shared" si="39"/>
        <v>0.51826274447673737</v>
      </c>
      <c r="AB230" t="str">
        <f t="shared" si="40"/>
        <v>1-2024</v>
      </c>
      <c r="AC230" t="str">
        <f t="shared" si="41"/>
        <v>Q1-2024</v>
      </c>
      <c r="AD230" t="str">
        <f t="shared" si="42"/>
        <v>Asia →Japan →Nagoya</v>
      </c>
      <c r="AE230" t="str">
        <f t="shared" si="43"/>
        <v>High</v>
      </c>
      <c r="AF230" t="str">
        <f>TEXT(Table1[[#This Row],[OrderDate]],"MMM")</f>
        <v>Jan</v>
      </c>
      <c r="AG230" t="str">
        <f>TEXT(Table1[[#This Row],[OrderDate]],"YYYY")</f>
        <v>2024</v>
      </c>
      <c r="AI230" s="4">
        <f>IF(Table1[[#This Row],[RequiredDate]]&lt;Table1[[#This Row],[OrderDate]], Table1[[#This Row],[OrderDate]]+7, Table1[[#This Row],[RequiredDate]])</f>
        <v>45306</v>
      </c>
      <c r="AJ230">
        <f>IF(Dashboard!$D$3&gt;'Staging Data'!V230,'Staging Data'!V230,Dashboard!D$3)</f>
        <v>7.5999999999999998E-2</v>
      </c>
      <c r="AK230" s="19">
        <f>(100%+Dashboard!$D$4)*'Staging Data'!S230</f>
        <v>1280.0129999999999</v>
      </c>
      <c r="AL230">
        <f>(100%+Dashboard!$D$5)*'Staging Data'!W230</f>
        <v>18.399999999999999</v>
      </c>
    </row>
    <row r="231" spans="1:38" x14ac:dyDescent="0.35">
      <c r="A231" s="6" t="s">
        <v>587</v>
      </c>
      <c r="B231" s="4">
        <v>45293</v>
      </c>
      <c r="C231" s="4">
        <v>45293</v>
      </c>
      <c r="D231" s="4">
        <f>IF(Table1[[#This Row],[RequiredDate]]&lt;Table1[[#This Row],[OrderDate]],Table1[[#This Row],[RequiredDate]],Table1[[#This Row],[OrderDate]])</f>
        <v>45293</v>
      </c>
      <c r="E231" s="4">
        <f>IF(Table1[[#This Row],[RequiredDate]]&gt;Table1[[#This Row],[OrderDate]],Table1[[#This Row],[RequiredDate]],Table1[[#This Row],[OrderDate]])</f>
        <v>45293</v>
      </c>
      <c r="F231" s="21">
        <f>Table1[[#This Row],[New RD]]-Table1[[#This Row],[new   od]]</f>
        <v>0</v>
      </c>
      <c r="G231" s="4">
        <f>IF(Table1[[#This Row],[RequiredDate]]&lt;Table1[[#This Row],[OrderDate]], Table1[[#This Row],[OrderDate]]+7, Table1[[#This Row],[RequiredDate]])</f>
        <v>45293</v>
      </c>
      <c r="H231" s="21">
        <f t="shared" si="33"/>
        <v>0</v>
      </c>
      <c r="I231" s="6" t="str">
        <f>IF(Table1[[#This Row],[New LTD]]&lt;=7,"Yes","No")</f>
        <v>Yes</v>
      </c>
      <c r="J231" s="6" t="str">
        <f t="shared" si="34"/>
        <v>Yes</v>
      </c>
      <c r="K231" t="s">
        <v>648</v>
      </c>
      <c r="L231" t="s">
        <v>653</v>
      </c>
      <c r="M231" t="s">
        <v>688</v>
      </c>
      <c r="N231" t="s">
        <v>702</v>
      </c>
      <c r="O231" t="s">
        <v>711</v>
      </c>
      <c r="P231" t="s">
        <v>720</v>
      </c>
      <c r="Q231" t="s">
        <v>731</v>
      </c>
      <c r="R231" t="s">
        <v>1305</v>
      </c>
      <c r="S231" s="6">
        <v>444.41</v>
      </c>
      <c r="T231" s="6">
        <v>754.24</v>
      </c>
      <c r="U231" s="6">
        <f t="shared" si="35"/>
        <v>754.24</v>
      </c>
      <c r="V231" s="8">
        <v>0.20699999999999999</v>
      </c>
      <c r="W231" s="6">
        <v>32</v>
      </c>
      <c r="X231" s="6">
        <f t="shared" si="36"/>
        <v>19139.594240000002</v>
      </c>
      <c r="Y231">
        <f t="shared" si="37"/>
        <v>14221.12</v>
      </c>
      <c r="Z231" s="6">
        <f t="shared" si="38"/>
        <v>4918.4742400000014</v>
      </c>
      <c r="AA231">
        <f t="shared" si="39"/>
        <v>0.25697902360546598</v>
      </c>
      <c r="AB231" t="str">
        <f t="shared" si="40"/>
        <v>1-2024</v>
      </c>
      <c r="AC231" t="str">
        <f t="shared" si="41"/>
        <v>Q1-2024</v>
      </c>
      <c r="AD231" t="str">
        <f t="shared" si="42"/>
        <v>Americas →Canada →Vancouver</v>
      </c>
      <c r="AE231" t="str">
        <f t="shared" si="43"/>
        <v>Low</v>
      </c>
      <c r="AF231" t="str">
        <f>TEXT(Table1[[#This Row],[OrderDate]],"MMM")</f>
        <v>Jan</v>
      </c>
      <c r="AG231" t="str">
        <f>TEXT(Table1[[#This Row],[OrderDate]],"YYYY")</f>
        <v>2024</v>
      </c>
      <c r="AI231" s="4">
        <f>IF(Table1[[#This Row],[RequiredDate]]&lt;Table1[[#This Row],[OrderDate]], Table1[[#This Row],[OrderDate]]+7, Table1[[#This Row],[RequiredDate]])</f>
        <v>45293</v>
      </c>
      <c r="AJ231">
        <f>IF(Dashboard!$D$3&gt;'Staging Data'!V231,'Staging Data'!V231,Dashboard!D$3)</f>
        <v>0.2</v>
      </c>
      <c r="AK231" s="19">
        <f>(100%+Dashboard!$D$4)*'Staging Data'!S231</f>
        <v>466.63050000000004</v>
      </c>
      <c r="AL231">
        <f>(100%+Dashboard!$D$5)*'Staging Data'!W231</f>
        <v>36.799999999999997</v>
      </c>
    </row>
    <row r="232" spans="1:38" x14ac:dyDescent="0.35">
      <c r="A232" s="6" t="s">
        <v>574</v>
      </c>
      <c r="B232" s="4">
        <v>45299</v>
      </c>
      <c r="C232" s="4">
        <v>45303</v>
      </c>
      <c r="D232" s="4">
        <f>IF(Table1[[#This Row],[RequiredDate]]&lt;Table1[[#This Row],[OrderDate]],Table1[[#This Row],[RequiredDate]],Table1[[#This Row],[OrderDate]])</f>
        <v>45299</v>
      </c>
      <c r="E232" s="4">
        <f>IF(Table1[[#This Row],[RequiredDate]]&gt;Table1[[#This Row],[OrderDate]],Table1[[#This Row],[RequiredDate]],Table1[[#This Row],[OrderDate]])</f>
        <v>45303</v>
      </c>
      <c r="F232" s="21">
        <f>Table1[[#This Row],[New RD]]-Table1[[#This Row],[new   od]]</f>
        <v>4</v>
      </c>
      <c r="G232" s="4">
        <f>IF(Table1[[#This Row],[RequiredDate]]&lt;Table1[[#This Row],[OrderDate]], Table1[[#This Row],[OrderDate]]+7, Table1[[#This Row],[RequiredDate]])</f>
        <v>45303</v>
      </c>
      <c r="H232" s="21">
        <f t="shared" si="33"/>
        <v>4</v>
      </c>
      <c r="I232" s="6" t="str">
        <f>IF(Table1[[#This Row],[New LTD]]&lt;=7,"Yes","No")</f>
        <v>Yes</v>
      </c>
      <c r="J232" s="6" t="str">
        <f t="shared" si="34"/>
        <v>No</v>
      </c>
      <c r="K232" t="s">
        <v>647</v>
      </c>
      <c r="L232" t="s">
        <v>654</v>
      </c>
      <c r="M232" t="s">
        <v>668</v>
      </c>
      <c r="N232" t="s">
        <v>701</v>
      </c>
      <c r="O232" t="s">
        <v>711</v>
      </c>
      <c r="P232" t="s">
        <v>718</v>
      </c>
      <c r="Q232" t="s">
        <v>728</v>
      </c>
      <c r="R232" t="s">
        <v>1292</v>
      </c>
      <c r="S232" s="6">
        <v>802.32</v>
      </c>
      <c r="T232" s="6">
        <v>602.34</v>
      </c>
      <c r="U232" s="6">
        <f t="shared" si="35"/>
        <v>602.34</v>
      </c>
      <c r="V232" s="8">
        <v>0.12</v>
      </c>
      <c r="W232" s="6">
        <v>25</v>
      </c>
      <c r="X232" s="6">
        <f t="shared" si="36"/>
        <v>13251.48</v>
      </c>
      <c r="Y232">
        <f t="shared" si="37"/>
        <v>20058</v>
      </c>
      <c r="Z232" s="6">
        <f t="shared" si="38"/>
        <v>-6806.52</v>
      </c>
      <c r="AA232">
        <f t="shared" si="39"/>
        <v>-0.51364224977134632</v>
      </c>
      <c r="AB232" t="str">
        <f t="shared" si="40"/>
        <v>1-2024</v>
      </c>
      <c r="AC232" t="str">
        <f t="shared" si="41"/>
        <v>Q1-2024</v>
      </c>
      <c r="AD232" t="str">
        <f t="shared" si="42"/>
        <v>Asia →India →Bengaluru</v>
      </c>
      <c r="AE232" t="str">
        <f t="shared" si="43"/>
        <v>Low</v>
      </c>
      <c r="AF232" t="str">
        <f>TEXT(Table1[[#This Row],[OrderDate]],"MMM")</f>
        <v>Jan</v>
      </c>
      <c r="AG232" t="str">
        <f>TEXT(Table1[[#This Row],[OrderDate]],"YYYY")</f>
        <v>2024</v>
      </c>
      <c r="AI232" s="4">
        <f>IF(Table1[[#This Row],[RequiredDate]]&lt;Table1[[#This Row],[OrderDate]], Table1[[#This Row],[OrderDate]]+7, Table1[[#This Row],[RequiredDate]])</f>
        <v>45303</v>
      </c>
      <c r="AJ232">
        <f>IF(Dashboard!$D$3&gt;'Staging Data'!V232,'Staging Data'!V232,Dashboard!D$3)</f>
        <v>0.12</v>
      </c>
      <c r="AK232" s="19">
        <f>(100%+Dashboard!$D$4)*'Staging Data'!S232</f>
        <v>842.43600000000004</v>
      </c>
      <c r="AL232">
        <f>(100%+Dashboard!$D$5)*'Staging Data'!W232</f>
        <v>28.749999999999996</v>
      </c>
    </row>
    <row r="233" spans="1:38" x14ac:dyDescent="0.35">
      <c r="A233" s="6" t="s">
        <v>283</v>
      </c>
      <c r="B233" s="4">
        <v>45301</v>
      </c>
      <c r="C233" s="4">
        <v>45314</v>
      </c>
      <c r="D233" s="4">
        <f>IF(Table1[[#This Row],[RequiredDate]]&lt;Table1[[#This Row],[OrderDate]],Table1[[#This Row],[RequiredDate]],Table1[[#This Row],[OrderDate]])</f>
        <v>45301</v>
      </c>
      <c r="E233" s="4">
        <f>IF(Table1[[#This Row],[RequiredDate]]&gt;Table1[[#This Row],[OrderDate]],Table1[[#This Row],[RequiredDate]],Table1[[#This Row],[OrderDate]])</f>
        <v>45314</v>
      </c>
      <c r="F233" s="21">
        <f>Table1[[#This Row],[New RD]]-Table1[[#This Row],[new   od]]</f>
        <v>13</v>
      </c>
      <c r="G233" s="4">
        <f>IF(Table1[[#This Row],[RequiredDate]]&lt;Table1[[#This Row],[OrderDate]], Table1[[#This Row],[OrderDate]]+7, Table1[[#This Row],[RequiredDate]])</f>
        <v>45314</v>
      </c>
      <c r="H233" s="21">
        <f t="shared" si="33"/>
        <v>13</v>
      </c>
      <c r="I233" s="6" t="str">
        <f>IF(Table1[[#This Row],[New LTD]]&lt;=7,"Yes","No")</f>
        <v>No</v>
      </c>
      <c r="J233" s="6" t="str">
        <f t="shared" si="34"/>
        <v>No</v>
      </c>
      <c r="K233" t="s">
        <v>649</v>
      </c>
      <c r="L233" t="s">
        <v>657</v>
      </c>
      <c r="M233" t="s">
        <v>673</v>
      </c>
      <c r="N233" t="s">
        <v>701</v>
      </c>
      <c r="O233" t="s">
        <v>711</v>
      </c>
      <c r="P233" t="s">
        <v>720</v>
      </c>
      <c r="Q233" t="s">
        <v>728</v>
      </c>
      <c r="R233" t="s">
        <v>1003</v>
      </c>
      <c r="S233" s="6">
        <v>720</v>
      </c>
      <c r="T233" s="6">
        <v>907.59</v>
      </c>
      <c r="U233" s="6">
        <f t="shared" si="35"/>
        <v>907.59</v>
      </c>
      <c r="V233" s="8">
        <v>0.154</v>
      </c>
      <c r="W233" s="6">
        <v>10</v>
      </c>
      <c r="X233" s="6">
        <f t="shared" si="36"/>
        <v>7678.2113999999992</v>
      </c>
      <c r="Y233">
        <f t="shared" si="37"/>
        <v>7200</v>
      </c>
      <c r="Z233" s="6">
        <f t="shared" si="38"/>
        <v>478.21139999999923</v>
      </c>
      <c r="AA233">
        <f t="shared" si="39"/>
        <v>6.2281614179052078E-2</v>
      </c>
      <c r="AB233" t="str">
        <f t="shared" si="40"/>
        <v>1-2024</v>
      </c>
      <c r="AC233" t="str">
        <f t="shared" si="41"/>
        <v>Q1-2024</v>
      </c>
      <c r="AD233" t="str">
        <f t="shared" si="42"/>
        <v>Europe →France →Marseille</v>
      </c>
      <c r="AE233" t="str">
        <f t="shared" si="43"/>
        <v>Medium</v>
      </c>
      <c r="AF233" t="str">
        <f>TEXT(Table1[[#This Row],[OrderDate]],"MMM")</f>
        <v>Jan</v>
      </c>
      <c r="AG233" t="str">
        <f>TEXT(Table1[[#This Row],[OrderDate]],"YYYY")</f>
        <v>2024</v>
      </c>
      <c r="AI233" s="4">
        <f>IF(Table1[[#This Row],[RequiredDate]]&lt;Table1[[#This Row],[OrderDate]], Table1[[#This Row],[OrderDate]]+7, Table1[[#This Row],[RequiredDate]])</f>
        <v>45314</v>
      </c>
      <c r="AJ233">
        <f>IF(Dashboard!$D$3&gt;'Staging Data'!V233,'Staging Data'!V233,Dashboard!D$3)</f>
        <v>0.154</v>
      </c>
      <c r="AK233" s="19">
        <f>(100%+Dashboard!$D$4)*'Staging Data'!S233</f>
        <v>756</v>
      </c>
      <c r="AL233">
        <f>(100%+Dashboard!$D$5)*'Staging Data'!W233</f>
        <v>11.5</v>
      </c>
    </row>
    <row r="234" spans="1:38" x14ac:dyDescent="0.35">
      <c r="A234" s="6" t="s">
        <v>56</v>
      </c>
      <c r="B234" s="4">
        <v>45302</v>
      </c>
      <c r="C234" s="4">
        <v>45324</v>
      </c>
      <c r="D234" s="4">
        <f>IF(Table1[[#This Row],[RequiredDate]]&lt;Table1[[#This Row],[OrderDate]],Table1[[#This Row],[RequiredDate]],Table1[[#This Row],[OrderDate]])</f>
        <v>45302</v>
      </c>
      <c r="E234" s="4">
        <f>IF(Table1[[#This Row],[RequiredDate]]&gt;Table1[[#This Row],[OrderDate]],Table1[[#This Row],[RequiredDate]],Table1[[#This Row],[OrderDate]])</f>
        <v>45324</v>
      </c>
      <c r="F234" s="21">
        <f>Table1[[#This Row],[New RD]]-Table1[[#This Row],[new   od]]</f>
        <v>22</v>
      </c>
      <c r="G234" s="4">
        <f>IF(Table1[[#This Row],[RequiredDate]]&lt;Table1[[#This Row],[OrderDate]], Table1[[#This Row],[OrderDate]]+7, Table1[[#This Row],[RequiredDate]])</f>
        <v>45324</v>
      </c>
      <c r="H234" s="21">
        <f t="shared" si="33"/>
        <v>22</v>
      </c>
      <c r="I234" s="6" t="str">
        <f>IF(Table1[[#This Row],[New LTD]]&lt;=7,"Yes","No")</f>
        <v>No</v>
      </c>
      <c r="J234" s="6" t="str">
        <f t="shared" si="34"/>
        <v>No</v>
      </c>
      <c r="K234" t="s">
        <v>646</v>
      </c>
      <c r="L234" t="s">
        <v>661</v>
      </c>
      <c r="M234" t="s">
        <v>687</v>
      </c>
      <c r="N234" t="s">
        <v>704</v>
      </c>
      <c r="O234" t="s">
        <v>708</v>
      </c>
      <c r="P234" t="s">
        <v>723</v>
      </c>
      <c r="Q234" t="s">
        <v>729</v>
      </c>
      <c r="R234" t="s">
        <v>775</v>
      </c>
      <c r="S234" s="6">
        <v>1206.2</v>
      </c>
      <c r="T234" s="6">
        <v>1759.79</v>
      </c>
      <c r="U234" s="6">
        <f t="shared" si="35"/>
        <v>1759.79</v>
      </c>
      <c r="V234" s="8">
        <v>0</v>
      </c>
      <c r="W234" s="6">
        <v>6</v>
      </c>
      <c r="X234" s="6">
        <f t="shared" si="36"/>
        <v>10558.74</v>
      </c>
      <c r="Y234">
        <f t="shared" si="37"/>
        <v>7237.2000000000007</v>
      </c>
      <c r="Z234" s="6">
        <f t="shared" si="38"/>
        <v>3321.5399999999991</v>
      </c>
      <c r="AA234">
        <f t="shared" si="39"/>
        <v>0.31457730751964713</v>
      </c>
      <c r="AB234" t="str">
        <f t="shared" si="40"/>
        <v>1-2024</v>
      </c>
      <c r="AC234" t="str">
        <f t="shared" si="41"/>
        <v>Q1-2024</v>
      </c>
      <c r="AD234" t="str">
        <f t="shared" si="42"/>
        <v>Africa →South Africa →Durban</v>
      </c>
      <c r="AE234" t="str">
        <f t="shared" si="43"/>
        <v>High</v>
      </c>
      <c r="AF234" t="str">
        <f>TEXT(Table1[[#This Row],[OrderDate]],"MMM")</f>
        <v>Jan</v>
      </c>
      <c r="AG234" t="str">
        <f>TEXT(Table1[[#This Row],[OrderDate]],"YYYY")</f>
        <v>2024</v>
      </c>
      <c r="AI234" s="4">
        <f>IF(Table1[[#This Row],[RequiredDate]]&lt;Table1[[#This Row],[OrderDate]], Table1[[#This Row],[OrderDate]]+7, Table1[[#This Row],[RequiredDate]])</f>
        <v>45324</v>
      </c>
      <c r="AJ234">
        <f>IF(Dashboard!$D$3&gt;'Staging Data'!V234,'Staging Data'!V234,Dashboard!D$3)</f>
        <v>0</v>
      </c>
      <c r="AK234" s="19">
        <f>(100%+Dashboard!$D$4)*'Staging Data'!S234</f>
        <v>1266.51</v>
      </c>
      <c r="AL234">
        <f>(100%+Dashboard!$D$5)*'Staging Data'!W234</f>
        <v>6.8999999999999995</v>
      </c>
    </row>
    <row r="235" spans="1:38" x14ac:dyDescent="0.35">
      <c r="A235" s="6" t="s">
        <v>249</v>
      </c>
      <c r="B235" s="4">
        <v>45302</v>
      </c>
      <c r="C235" s="4">
        <v>45324</v>
      </c>
      <c r="D235" s="4">
        <f>IF(Table1[[#This Row],[RequiredDate]]&lt;Table1[[#This Row],[OrderDate]],Table1[[#This Row],[RequiredDate]],Table1[[#This Row],[OrderDate]])</f>
        <v>45302</v>
      </c>
      <c r="E235" s="4">
        <f>IF(Table1[[#This Row],[RequiredDate]]&gt;Table1[[#This Row],[OrderDate]],Table1[[#This Row],[RequiredDate]],Table1[[#This Row],[OrderDate]])</f>
        <v>45324</v>
      </c>
      <c r="F235" s="21">
        <f>Table1[[#This Row],[New RD]]-Table1[[#This Row],[new   od]]</f>
        <v>22</v>
      </c>
      <c r="G235" s="4">
        <f>IF(Table1[[#This Row],[RequiredDate]]&lt;Table1[[#This Row],[OrderDate]], Table1[[#This Row],[OrderDate]]+7, Table1[[#This Row],[RequiredDate]])</f>
        <v>45324</v>
      </c>
      <c r="H235" s="21">
        <f t="shared" si="33"/>
        <v>22</v>
      </c>
      <c r="I235" s="6" t="str">
        <f>IF(Table1[[#This Row],[New LTD]]&lt;=7,"Yes","No")</f>
        <v>No</v>
      </c>
      <c r="J235" s="6" t="str">
        <f t="shared" si="34"/>
        <v>No</v>
      </c>
      <c r="K235" t="s">
        <v>647</v>
      </c>
      <c r="L235" t="s">
        <v>652</v>
      </c>
      <c r="M235" t="s">
        <v>694</v>
      </c>
      <c r="N235" t="s">
        <v>705</v>
      </c>
      <c r="O235" t="s">
        <v>708</v>
      </c>
      <c r="P235" t="s">
        <v>1423</v>
      </c>
      <c r="Q235" t="s">
        <v>728</v>
      </c>
      <c r="R235" t="s">
        <v>969</v>
      </c>
      <c r="S235" s="6">
        <v>1237.68</v>
      </c>
      <c r="T235" s="6">
        <v>1432.8</v>
      </c>
      <c r="U235" s="6">
        <f t="shared" si="35"/>
        <v>1432.8</v>
      </c>
      <c r="V235" s="8">
        <v>6.8000000000000005E-2</v>
      </c>
      <c r="W235" s="6">
        <v>13</v>
      </c>
      <c r="X235" s="6">
        <f t="shared" si="36"/>
        <v>17359.804799999998</v>
      </c>
      <c r="Y235">
        <f t="shared" si="37"/>
        <v>16089.84</v>
      </c>
      <c r="Z235" s="6">
        <f t="shared" si="38"/>
        <v>1269.9647999999979</v>
      </c>
      <c r="AA235">
        <f t="shared" si="39"/>
        <v>7.315547695559331E-2</v>
      </c>
      <c r="AB235" t="str">
        <f t="shared" si="40"/>
        <v>1-2024</v>
      </c>
      <c r="AC235" t="str">
        <f t="shared" si="41"/>
        <v>Q1-2024</v>
      </c>
      <c r="AD235" t="str">
        <f t="shared" si="42"/>
        <v>Asia →Japan →Nagoya</v>
      </c>
      <c r="AE235" t="str">
        <f t="shared" si="43"/>
        <v>Medium</v>
      </c>
      <c r="AF235" t="str">
        <f>TEXT(Table1[[#This Row],[OrderDate]],"MMM")</f>
        <v>Jan</v>
      </c>
      <c r="AG235" t="str">
        <f>TEXT(Table1[[#This Row],[OrderDate]],"YYYY")</f>
        <v>2024</v>
      </c>
      <c r="AI235" s="4">
        <f>IF(Table1[[#This Row],[RequiredDate]]&lt;Table1[[#This Row],[OrderDate]], Table1[[#This Row],[OrderDate]]+7, Table1[[#This Row],[RequiredDate]])</f>
        <v>45324</v>
      </c>
      <c r="AJ235">
        <f>IF(Dashboard!$D$3&gt;'Staging Data'!V235,'Staging Data'!V235,Dashboard!D$3)</f>
        <v>6.8000000000000005E-2</v>
      </c>
      <c r="AK235" s="19">
        <f>(100%+Dashboard!$D$4)*'Staging Data'!S235</f>
        <v>1299.5640000000001</v>
      </c>
      <c r="AL235">
        <f>(100%+Dashboard!$D$5)*'Staging Data'!W235</f>
        <v>14.95</v>
      </c>
    </row>
    <row r="236" spans="1:38" x14ac:dyDescent="0.35">
      <c r="A236" s="6" t="s">
        <v>215</v>
      </c>
      <c r="B236" s="4">
        <v>45303</v>
      </c>
      <c r="C236" s="4">
        <v>45320</v>
      </c>
      <c r="D236" s="4">
        <f>IF(Table1[[#This Row],[RequiredDate]]&lt;Table1[[#This Row],[OrderDate]],Table1[[#This Row],[RequiredDate]],Table1[[#This Row],[OrderDate]])</f>
        <v>45303</v>
      </c>
      <c r="E236" s="4">
        <f>IF(Table1[[#This Row],[RequiredDate]]&gt;Table1[[#This Row],[OrderDate]],Table1[[#This Row],[RequiredDate]],Table1[[#This Row],[OrderDate]])</f>
        <v>45320</v>
      </c>
      <c r="F236" s="21">
        <f>Table1[[#This Row],[New RD]]-Table1[[#This Row],[new   od]]</f>
        <v>17</v>
      </c>
      <c r="G236" s="4">
        <f>IF(Table1[[#This Row],[RequiredDate]]&lt;Table1[[#This Row],[OrderDate]], Table1[[#This Row],[OrderDate]]+7, Table1[[#This Row],[RequiredDate]])</f>
        <v>45320</v>
      </c>
      <c r="H236" s="21">
        <f t="shared" si="33"/>
        <v>17</v>
      </c>
      <c r="I236" s="6" t="str">
        <f>IF(Table1[[#This Row],[New LTD]]&lt;=7,"Yes","No")</f>
        <v>No</v>
      </c>
      <c r="J236" s="6" t="str">
        <f t="shared" si="34"/>
        <v>Yes</v>
      </c>
      <c r="K236" t="s">
        <v>648</v>
      </c>
      <c r="L236" t="s">
        <v>660</v>
      </c>
      <c r="M236" t="s">
        <v>677</v>
      </c>
      <c r="N236" t="s">
        <v>702</v>
      </c>
      <c r="O236" t="s">
        <v>710</v>
      </c>
      <c r="P236" t="s">
        <v>720</v>
      </c>
      <c r="Q236" t="s">
        <v>728</v>
      </c>
      <c r="R236" t="s">
        <v>935</v>
      </c>
      <c r="S236" s="6">
        <v>493.76</v>
      </c>
      <c r="T236" s="6">
        <v>625.04</v>
      </c>
      <c r="U236" s="6">
        <f t="shared" si="35"/>
        <v>625.04</v>
      </c>
      <c r="V236" s="8">
        <v>0.25800000000000001</v>
      </c>
      <c r="W236" s="6">
        <v>10</v>
      </c>
      <c r="X236" s="6">
        <f t="shared" si="36"/>
        <v>4637.7968000000001</v>
      </c>
      <c r="Y236">
        <f t="shared" si="37"/>
        <v>4937.6000000000004</v>
      </c>
      <c r="Z236" s="6">
        <f t="shared" si="38"/>
        <v>-299.80320000000029</v>
      </c>
      <c r="AA236">
        <f t="shared" si="39"/>
        <v>-6.464345311549663E-2</v>
      </c>
      <c r="AB236" t="str">
        <f t="shared" si="40"/>
        <v>1-2024</v>
      </c>
      <c r="AC236" t="str">
        <f t="shared" si="41"/>
        <v>Q1-2024</v>
      </c>
      <c r="AD236" t="str">
        <f t="shared" si="42"/>
        <v>Americas →USA →Chicago</v>
      </c>
      <c r="AE236" t="str">
        <f t="shared" si="43"/>
        <v>Low</v>
      </c>
      <c r="AF236" t="str">
        <f>TEXT(Table1[[#This Row],[OrderDate]],"MMM")</f>
        <v>Jan</v>
      </c>
      <c r="AG236" t="str">
        <f>TEXT(Table1[[#This Row],[OrderDate]],"YYYY")</f>
        <v>2024</v>
      </c>
      <c r="AI236" s="4">
        <f>IF(Table1[[#This Row],[RequiredDate]]&lt;Table1[[#This Row],[OrderDate]], Table1[[#This Row],[OrderDate]]+7, Table1[[#This Row],[RequiredDate]])</f>
        <v>45320</v>
      </c>
      <c r="AJ236">
        <f>IF(Dashboard!$D$3&gt;'Staging Data'!V236,'Staging Data'!V236,Dashboard!D$3)</f>
        <v>0.2</v>
      </c>
      <c r="AK236" s="19">
        <f>(100%+Dashboard!$D$4)*'Staging Data'!S236</f>
        <v>518.44799999999998</v>
      </c>
      <c r="AL236">
        <f>(100%+Dashboard!$D$5)*'Staging Data'!W236</f>
        <v>11.5</v>
      </c>
    </row>
    <row r="237" spans="1:38" x14ac:dyDescent="0.35">
      <c r="A237" s="6" t="s">
        <v>340</v>
      </c>
      <c r="B237" s="4">
        <v>45303</v>
      </c>
      <c r="C237" s="4">
        <v>45320</v>
      </c>
      <c r="D237" s="4">
        <f>IF(Table1[[#This Row],[RequiredDate]]&lt;Table1[[#This Row],[OrderDate]],Table1[[#This Row],[RequiredDate]],Table1[[#This Row],[OrderDate]])</f>
        <v>45303</v>
      </c>
      <c r="E237" s="4">
        <f>IF(Table1[[#This Row],[RequiredDate]]&gt;Table1[[#This Row],[OrderDate]],Table1[[#This Row],[RequiredDate]],Table1[[#This Row],[OrderDate]])</f>
        <v>45320</v>
      </c>
      <c r="F237" s="21">
        <f>Table1[[#This Row],[New RD]]-Table1[[#This Row],[new   od]]</f>
        <v>17</v>
      </c>
      <c r="G237" s="4">
        <f>IF(Table1[[#This Row],[RequiredDate]]&lt;Table1[[#This Row],[OrderDate]], Table1[[#This Row],[OrderDate]]+7, Table1[[#This Row],[RequiredDate]])</f>
        <v>45320</v>
      </c>
      <c r="H237" s="21">
        <f t="shared" si="33"/>
        <v>17</v>
      </c>
      <c r="I237" s="6" t="str">
        <f>IF(Table1[[#This Row],[New LTD]]&lt;=7,"Yes","No")</f>
        <v>No</v>
      </c>
      <c r="J237" s="6" t="str">
        <f t="shared" si="34"/>
        <v>No</v>
      </c>
      <c r="K237" t="s">
        <v>647</v>
      </c>
      <c r="L237" t="s">
        <v>654</v>
      </c>
      <c r="M237" t="s">
        <v>696</v>
      </c>
      <c r="N237" t="s">
        <v>705</v>
      </c>
      <c r="O237" t="s">
        <v>711</v>
      </c>
      <c r="P237" t="s">
        <v>717</v>
      </c>
      <c r="Q237" t="s">
        <v>727</v>
      </c>
      <c r="R237" t="s">
        <v>1060</v>
      </c>
      <c r="S237" s="6">
        <v>310.02</v>
      </c>
      <c r="T237" s="6">
        <v>619.51</v>
      </c>
      <c r="U237" s="6">
        <f t="shared" si="35"/>
        <v>619.51</v>
      </c>
      <c r="V237" s="8">
        <v>4.2000000000000003E-2</v>
      </c>
      <c r="W237" s="6">
        <v>4</v>
      </c>
      <c r="X237" s="6">
        <f t="shared" si="36"/>
        <v>2373.9623200000001</v>
      </c>
      <c r="Y237">
        <f t="shared" si="37"/>
        <v>1240.08</v>
      </c>
      <c r="Z237" s="6">
        <f t="shared" si="38"/>
        <v>1133.8823200000002</v>
      </c>
      <c r="AA237">
        <f t="shared" si="39"/>
        <v>0.47763282106347843</v>
      </c>
      <c r="AB237" t="str">
        <f t="shared" si="40"/>
        <v>1-2024</v>
      </c>
      <c r="AC237" t="str">
        <f t="shared" si="41"/>
        <v>Q1-2024</v>
      </c>
      <c r="AD237" t="str">
        <f t="shared" si="42"/>
        <v>Asia →India →Hyderabad</v>
      </c>
      <c r="AE237" t="str">
        <f t="shared" si="43"/>
        <v>Low</v>
      </c>
      <c r="AF237" t="str">
        <f>TEXT(Table1[[#This Row],[OrderDate]],"MMM")</f>
        <v>Jan</v>
      </c>
      <c r="AG237" t="str">
        <f>TEXT(Table1[[#This Row],[OrderDate]],"YYYY")</f>
        <v>2024</v>
      </c>
      <c r="AI237" s="4">
        <f>IF(Table1[[#This Row],[RequiredDate]]&lt;Table1[[#This Row],[OrderDate]], Table1[[#This Row],[OrderDate]]+7, Table1[[#This Row],[RequiredDate]])</f>
        <v>45320</v>
      </c>
      <c r="AJ237">
        <f>IF(Dashboard!$D$3&gt;'Staging Data'!V237,'Staging Data'!V237,Dashboard!D$3)</f>
        <v>4.2000000000000003E-2</v>
      </c>
      <c r="AK237" s="19">
        <f>(100%+Dashboard!$D$4)*'Staging Data'!S237</f>
        <v>325.52100000000002</v>
      </c>
      <c r="AL237">
        <f>(100%+Dashboard!$D$5)*'Staging Data'!W237</f>
        <v>4.5999999999999996</v>
      </c>
    </row>
    <row r="238" spans="1:38" x14ac:dyDescent="0.35">
      <c r="A238" s="6" t="s">
        <v>116</v>
      </c>
      <c r="B238" s="4">
        <v>45304</v>
      </c>
      <c r="C238" s="4">
        <v>45313</v>
      </c>
      <c r="D238" s="4">
        <f>IF(Table1[[#This Row],[RequiredDate]]&lt;Table1[[#This Row],[OrderDate]],Table1[[#This Row],[RequiredDate]],Table1[[#This Row],[OrderDate]])</f>
        <v>45304</v>
      </c>
      <c r="E238" s="4">
        <f>IF(Table1[[#This Row],[RequiredDate]]&gt;Table1[[#This Row],[OrderDate]],Table1[[#This Row],[RequiredDate]],Table1[[#This Row],[OrderDate]])</f>
        <v>45313</v>
      </c>
      <c r="F238" s="21">
        <f>Table1[[#This Row],[New RD]]-Table1[[#This Row],[new   od]]</f>
        <v>9</v>
      </c>
      <c r="G238" s="4">
        <f>IF(Table1[[#This Row],[RequiredDate]]&lt;Table1[[#This Row],[OrderDate]], Table1[[#This Row],[OrderDate]]+7, Table1[[#This Row],[RequiredDate]])</f>
        <v>45313</v>
      </c>
      <c r="H238" s="21">
        <f t="shared" si="33"/>
        <v>9</v>
      </c>
      <c r="I238" s="6" t="str">
        <f>IF(Table1[[#This Row],[New LTD]]&lt;=7,"Yes","No")</f>
        <v>No</v>
      </c>
      <c r="J238" s="6" t="str">
        <f t="shared" si="34"/>
        <v>No</v>
      </c>
      <c r="K238" t="s">
        <v>647</v>
      </c>
      <c r="L238" t="s">
        <v>654</v>
      </c>
      <c r="M238" t="s">
        <v>691</v>
      </c>
      <c r="N238" t="s">
        <v>706</v>
      </c>
      <c r="O238" t="s">
        <v>709</v>
      </c>
      <c r="P238" t="s">
        <v>713</v>
      </c>
      <c r="Q238" t="s">
        <v>727</v>
      </c>
      <c r="R238" t="s">
        <v>835</v>
      </c>
      <c r="S238" s="6">
        <v>313.60000000000002</v>
      </c>
      <c r="T238" s="6">
        <v>334.28</v>
      </c>
      <c r="U238" s="6">
        <f t="shared" si="35"/>
        <v>334.28</v>
      </c>
      <c r="V238" s="8">
        <v>0.14000000000000001</v>
      </c>
      <c r="W238" s="6">
        <v>22</v>
      </c>
      <c r="X238" s="6">
        <f t="shared" si="36"/>
        <v>6324.5775999999996</v>
      </c>
      <c r="Y238">
        <f t="shared" si="37"/>
        <v>6899.2000000000007</v>
      </c>
      <c r="Z238" s="6">
        <f t="shared" si="38"/>
        <v>-574.62240000000111</v>
      </c>
      <c r="AA238">
        <f t="shared" si="39"/>
        <v>-9.0855458868905517E-2</v>
      </c>
      <c r="AB238" t="str">
        <f t="shared" si="40"/>
        <v>1-2024</v>
      </c>
      <c r="AC238" t="str">
        <f t="shared" si="41"/>
        <v>Q1-2024</v>
      </c>
      <c r="AD238" t="str">
        <f t="shared" si="42"/>
        <v>Asia →India →Mumbai</v>
      </c>
      <c r="AE238" t="str">
        <f t="shared" si="43"/>
        <v>Low</v>
      </c>
      <c r="AF238" t="str">
        <f>TEXT(Table1[[#This Row],[OrderDate]],"MMM")</f>
        <v>Jan</v>
      </c>
      <c r="AG238" t="str">
        <f>TEXT(Table1[[#This Row],[OrderDate]],"YYYY")</f>
        <v>2024</v>
      </c>
      <c r="AI238" s="4">
        <f>IF(Table1[[#This Row],[RequiredDate]]&lt;Table1[[#This Row],[OrderDate]], Table1[[#This Row],[OrderDate]]+7, Table1[[#This Row],[RequiredDate]])</f>
        <v>45313</v>
      </c>
      <c r="AJ238">
        <f>IF(Dashboard!$D$3&gt;'Staging Data'!V238,'Staging Data'!V238,Dashboard!D$3)</f>
        <v>0.14000000000000001</v>
      </c>
      <c r="AK238" s="19">
        <f>(100%+Dashboard!$D$4)*'Staging Data'!S238</f>
        <v>329.28000000000003</v>
      </c>
      <c r="AL238">
        <f>(100%+Dashboard!$D$5)*'Staging Data'!W238</f>
        <v>25.299999999999997</v>
      </c>
    </row>
    <row r="239" spans="1:38" x14ac:dyDescent="0.35">
      <c r="A239" s="6" t="s">
        <v>298</v>
      </c>
      <c r="B239" s="4">
        <v>45304</v>
      </c>
      <c r="C239" s="4">
        <v>45327</v>
      </c>
      <c r="D239" s="4">
        <f>IF(Table1[[#This Row],[RequiredDate]]&lt;Table1[[#This Row],[OrderDate]],Table1[[#This Row],[RequiredDate]],Table1[[#This Row],[OrderDate]])</f>
        <v>45304</v>
      </c>
      <c r="E239" s="4">
        <f>IF(Table1[[#This Row],[RequiredDate]]&gt;Table1[[#This Row],[OrderDate]],Table1[[#This Row],[RequiredDate]],Table1[[#This Row],[OrderDate]])</f>
        <v>45327</v>
      </c>
      <c r="F239" s="21">
        <f>Table1[[#This Row],[New RD]]-Table1[[#This Row],[new   od]]</f>
        <v>23</v>
      </c>
      <c r="G239" s="4">
        <f>IF(Table1[[#This Row],[RequiredDate]]&lt;Table1[[#This Row],[OrderDate]], Table1[[#This Row],[OrderDate]]+7, Table1[[#This Row],[RequiredDate]])</f>
        <v>45327</v>
      </c>
      <c r="H239" s="21">
        <f t="shared" si="33"/>
        <v>23</v>
      </c>
      <c r="I239" s="6" t="str">
        <f>IF(Table1[[#This Row],[New LTD]]&lt;=7,"Yes","No")</f>
        <v>No</v>
      </c>
      <c r="J239" s="6" t="str">
        <f t="shared" si="34"/>
        <v>No</v>
      </c>
      <c r="K239" t="s">
        <v>649</v>
      </c>
      <c r="L239" t="s">
        <v>656</v>
      </c>
      <c r="M239" t="s">
        <v>698</v>
      </c>
      <c r="N239" t="s">
        <v>702</v>
      </c>
      <c r="O239" t="s">
        <v>711</v>
      </c>
      <c r="P239" t="s">
        <v>717</v>
      </c>
      <c r="Q239" t="s">
        <v>731</v>
      </c>
      <c r="R239" t="s">
        <v>1018</v>
      </c>
      <c r="S239" s="6">
        <v>1017.93</v>
      </c>
      <c r="T239" s="6">
        <v>1529.14</v>
      </c>
      <c r="U239" s="6">
        <f t="shared" si="35"/>
        <v>1529.14</v>
      </c>
      <c r="V239" s="8">
        <v>0.155</v>
      </c>
      <c r="W239" s="6">
        <v>12</v>
      </c>
      <c r="X239" s="6">
        <f t="shared" si="36"/>
        <v>15505.479600000001</v>
      </c>
      <c r="Y239">
        <f t="shared" si="37"/>
        <v>12215.16</v>
      </c>
      <c r="Z239" s="6">
        <f t="shared" si="38"/>
        <v>3290.3196000000007</v>
      </c>
      <c r="AA239">
        <f t="shared" si="39"/>
        <v>0.21220366508366503</v>
      </c>
      <c r="AB239" t="str">
        <f t="shared" si="40"/>
        <v>1-2024</v>
      </c>
      <c r="AC239" t="str">
        <f t="shared" si="41"/>
        <v>Q1-2024</v>
      </c>
      <c r="AD239" t="str">
        <f t="shared" si="42"/>
        <v>Europe →Germany →Frankfurt</v>
      </c>
      <c r="AE239" t="str">
        <f t="shared" si="43"/>
        <v>Medium</v>
      </c>
      <c r="AF239" t="str">
        <f>TEXT(Table1[[#This Row],[OrderDate]],"MMM")</f>
        <v>Jan</v>
      </c>
      <c r="AG239" t="str">
        <f>TEXT(Table1[[#This Row],[OrderDate]],"YYYY")</f>
        <v>2024</v>
      </c>
      <c r="AI239" s="4">
        <f>IF(Table1[[#This Row],[RequiredDate]]&lt;Table1[[#This Row],[OrderDate]], Table1[[#This Row],[OrderDate]]+7, Table1[[#This Row],[RequiredDate]])</f>
        <v>45327</v>
      </c>
      <c r="AJ239">
        <f>IF(Dashboard!$D$3&gt;'Staging Data'!V239,'Staging Data'!V239,Dashboard!D$3)</f>
        <v>0.155</v>
      </c>
      <c r="AK239" s="19">
        <f>(100%+Dashboard!$D$4)*'Staging Data'!S239</f>
        <v>1068.8264999999999</v>
      </c>
      <c r="AL239">
        <f>(100%+Dashboard!$D$5)*'Staging Data'!W239</f>
        <v>13.799999999999999</v>
      </c>
    </row>
    <row r="240" spans="1:38" x14ac:dyDescent="0.35">
      <c r="A240" s="6" t="s">
        <v>538</v>
      </c>
      <c r="B240" s="4">
        <v>45304</v>
      </c>
      <c r="C240" s="4">
        <v>45306</v>
      </c>
      <c r="D240" s="4">
        <f>IF(Table1[[#This Row],[RequiredDate]]&lt;Table1[[#This Row],[OrderDate]],Table1[[#This Row],[RequiredDate]],Table1[[#This Row],[OrderDate]])</f>
        <v>45304</v>
      </c>
      <c r="E240" s="4">
        <f>IF(Table1[[#This Row],[RequiredDate]]&gt;Table1[[#This Row],[OrderDate]],Table1[[#This Row],[RequiredDate]],Table1[[#This Row],[OrderDate]])</f>
        <v>45306</v>
      </c>
      <c r="F240" s="21">
        <f>Table1[[#This Row],[New RD]]-Table1[[#This Row],[new   od]]</f>
        <v>2</v>
      </c>
      <c r="G240" s="4">
        <f>IF(Table1[[#This Row],[RequiredDate]]&lt;Table1[[#This Row],[OrderDate]], Table1[[#This Row],[OrderDate]]+7, Table1[[#This Row],[RequiredDate]])</f>
        <v>45306</v>
      </c>
      <c r="H240" s="21">
        <f t="shared" si="33"/>
        <v>2</v>
      </c>
      <c r="I240" s="6" t="str">
        <f>IF(Table1[[#This Row],[New LTD]]&lt;=7,"Yes","No")</f>
        <v>Yes</v>
      </c>
      <c r="J240" s="6" t="str">
        <f t="shared" si="34"/>
        <v>No</v>
      </c>
      <c r="K240" t="s">
        <v>648</v>
      </c>
      <c r="L240" t="s">
        <v>660</v>
      </c>
      <c r="M240" t="s">
        <v>686</v>
      </c>
      <c r="N240" t="s">
        <v>703</v>
      </c>
      <c r="O240" t="s">
        <v>711</v>
      </c>
      <c r="P240" t="s">
        <v>718</v>
      </c>
      <c r="Q240" t="s">
        <v>727</v>
      </c>
      <c r="R240" t="s">
        <v>1257</v>
      </c>
      <c r="S240" s="6">
        <v>1061.3699999999999</v>
      </c>
      <c r="T240" s="6">
        <v>1938.33</v>
      </c>
      <c r="U240" s="6">
        <f t="shared" si="35"/>
        <v>1938.33</v>
      </c>
      <c r="V240" s="8">
        <v>0.17</v>
      </c>
      <c r="W240" s="6">
        <v>4</v>
      </c>
      <c r="X240" s="6">
        <f t="shared" si="36"/>
        <v>6435.2555999999995</v>
      </c>
      <c r="Y240">
        <f t="shared" si="37"/>
        <v>4245.4799999999996</v>
      </c>
      <c r="Z240" s="6">
        <f t="shared" si="38"/>
        <v>2189.7755999999999</v>
      </c>
      <c r="AA240">
        <f t="shared" si="39"/>
        <v>0.34027795259600879</v>
      </c>
      <c r="AB240" t="str">
        <f t="shared" si="40"/>
        <v>1-2024</v>
      </c>
      <c r="AC240" t="str">
        <f t="shared" si="41"/>
        <v>Q1-2024</v>
      </c>
      <c r="AD240" t="str">
        <f t="shared" si="42"/>
        <v>Americas →USA →San Francisco</v>
      </c>
      <c r="AE240" t="str">
        <f t="shared" si="43"/>
        <v>High</v>
      </c>
      <c r="AF240" t="str">
        <f>TEXT(Table1[[#This Row],[OrderDate]],"MMM")</f>
        <v>Jan</v>
      </c>
      <c r="AG240" t="str">
        <f>TEXT(Table1[[#This Row],[OrderDate]],"YYYY")</f>
        <v>2024</v>
      </c>
      <c r="AI240" s="4">
        <f>IF(Table1[[#This Row],[RequiredDate]]&lt;Table1[[#This Row],[OrderDate]], Table1[[#This Row],[OrderDate]]+7, Table1[[#This Row],[RequiredDate]])</f>
        <v>45306</v>
      </c>
      <c r="AJ240">
        <f>IF(Dashboard!$D$3&gt;'Staging Data'!V240,'Staging Data'!V240,Dashboard!D$3)</f>
        <v>0.17</v>
      </c>
      <c r="AK240" s="19">
        <f>(100%+Dashboard!$D$4)*'Staging Data'!S240</f>
        <v>1114.4385</v>
      </c>
      <c r="AL240">
        <f>(100%+Dashboard!$D$5)*'Staging Data'!W240</f>
        <v>4.5999999999999996</v>
      </c>
    </row>
    <row r="241" spans="1:38" x14ac:dyDescent="0.35">
      <c r="A241" s="6" t="s">
        <v>433</v>
      </c>
      <c r="B241" s="4">
        <v>45307</v>
      </c>
      <c r="C241" s="4">
        <v>45333</v>
      </c>
      <c r="D241" s="4">
        <f>IF(Table1[[#This Row],[RequiredDate]]&lt;Table1[[#This Row],[OrderDate]],Table1[[#This Row],[RequiredDate]],Table1[[#This Row],[OrderDate]])</f>
        <v>45307</v>
      </c>
      <c r="E241" s="4">
        <f>IF(Table1[[#This Row],[RequiredDate]]&gt;Table1[[#This Row],[OrderDate]],Table1[[#This Row],[RequiredDate]],Table1[[#This Row],[OrderDate]])</f>
        <v>45333</v>
      </c>
      <c r="F241" s="21">
        <f>Table1[[#This Row],[New RD]]-Table1[[#This Row],[new   od]]</f>
        <v>26</v>
      </c>
      <c r="G241" s="4">
        <f>IF(Table1[[#This Row],[RequiredDate]]&lt;Table1[[#This Row],[OrderDate]], Table1[[#This Row],[OrderDate]]+7, Table1[[#This Row],[RequiredDate]])</f>
        <v>45333</v>
      </c>
      <c r="H241" s="21">
        <f t="shared" si="33"/>
        <v>26</v>
      </c>
      <c r="I241" s="6" t="str">
        <f>IF(Table1[[#This Row],[New LTD]]&lt;=7,"Yes","No")</f>
        <v>No</v>
      </c>
      <c r="J241" s="6" t="str">
        <f t="shared" si="34"/>
        <v>Yes</v>
      </c>
      <c r="K241" t="s">
        <v>649</v>
      </c>
      <c r="L241" t="s">
        <v>656</v>
      </c>
      <c r="M241" t="s">
        <v>698</v>
      </c>
      <c r="N241" t="s">
        <v>703</v>
      </c>
      <c r="O241" t="s">
        <v>710</v>
      </c>
      <c r="P241" t="s">
        <v>718</v>
      </c>
      <c r="Q241" t="s">
        <v>732</v>
      </c>
      <c r="R241" t="s">
        <v>1152</v>
      </c>
      <c r="S241" s="6">
        <v>504.93</v>
      </c>
      <c r="T241" s="6">
        <v>819.06</v>
      </c>
      <c r="U241" s="6">
        <f t="shared" si="35"/>
        <v>819.06</v>
      </c>
      <c r="V241" s="8">
        <v>0.22600000000000001</v>
      </c>
      <c r="W241" s="6">
        <v>15</v>
      </c>
      <c r="X241" s="6">
        <f t="shared" si="36"/>
        <v>9509.2865999999995</v>
      </c>
      <c r="Y241">
        <f t="shared" si="37"/>
        <v>7573.95</v>
      </c>
      <c r="Z241" s="6">
        <f t="shared" si="38"/>
        <v>1935.3365999999996</v>
      </c>
      <c r="AA241">
        <f t="shared" si="39"/>
        <v>0.20352069312959814</v>
      </c>
      <c r="AB241" t="str">
        <f t="shared" si="40"/>
        <v>1-2024</v>
      </c>
      <c r="AC241" t="str">
        <f t="shared" si="41"/>
        <v>Q1-2024</v>
      </c>
      <c r="AD241" t="str">
        <f t="shared" si="42"/>
        <v>Europe →Germany →Frankfurt</v>
      </c>
      <c r="AE241" t="str">
        <f t="shared" si="43"/>
        <v>Medium</v>
      </c>
      <c r="AF241" t="str">
        <f>TEXT(Table1[[#This Row],[OrderDate]],"MMM")</f>
        <v>Jan</v>
      </c>
      <c r="AG241" t="str">
        <f>TEXT(Table1[[#This Row],[OrderDate]],"YYYY")</f>
        <v>2024</v>
      </c>
      <c r="AI241" s="4">
        <f>IF(Table1[[#This Row],[RequiredDate]]&lt;Table1[[#This Row],[OrderDate]], Table1[[#This Row],[OrderDate]]+7, Table1[[#This Row],[RequiredDate]])</f>
        <v>45333</v>
      </c>
      <c r="AJ241">
        <f>IF(Dashboard!$D$3&gt;'Staging Data'!V241,'Staging Data'!V241,Dashboard!D$3)</f>
        <v>0.2</v>
      </c>
      <c r="AK241" s="19">
        <f>(100%+Dashboard!$D$4)*'Staging Data'!S241</f>
        <v>530.17650000000003</v>
      </c>
      <c r="AL241">
        <f>(100%+Dashboard!$D$5)*'Staging Data'!W241</f>
        <v>17.25</v>
      </c>
    </row>
    <row r="242" spans="1:38" x14ac:dyDescent="0.35">
      <c r="A242" s="6" t="s">
        <v>373</v>
      </c>
      <c r="B242" s="4">
        <v>45309</v>
      </c>
      <c r="C242" s="4">
        <v>45325</v>
      </c>
      <c r="D242" s="4">
        <f>IF(Table1[[#This Row],[RequiredDate]]&lt;Table1[[#This Row],[OrderDate]],Table1[[#This Row],[RequiredDate]],Table1[[#This Row],[OrderDate]])</f>
        <v>45309</v>
      </c>
      <c r="E242" s="4">
        <f>IF(Table1[[#This Row],[RequiredDate]]&gt;Table1[[#This Row],[OrderDate]],Table1[[#This Row],[RequiredDate]],Table1[[#This Row],[OrderDate]])</f>
        <v>45325</v>
      </c>
      <c r="F242" s="21">
        <f>Table1[[#This Row],[New RD]]-Table1[[#This Row],[new   od]]</f>
        <v>16</v>
      </c>
      <c r="G242" s="4">
        <f>IF(Table1[[#This Row],[RequiredDate]]&lt;Table1[[#This Row],[OrderDate]], Table1[[#This Row],[OrderDate]]+7, Table1[[#This Row],[RequiredDate]])</f>
        <v>45325</v>
      </c>
      <c r="H242" s="21">
        <f t="shared" si="33"/>
        <v>16</v>
      </c>
      <c r="I242" s="6" t="str">
        <f>IF(Table1[[#This Row],[New LTD]]&lt;=7,"Yes","No")</f>
        <v>No</v>
      </c>
      <c r="J242" s="6" t="str">
        <f t="shared" si="34"/>
        <v>No</v>
      </c>
      <c r="K242" t="s">
        <v>646</v>
      </c>
      <c r="L242" t="s">
        <v>661</v>
      </c>
      <c r="M242" t="s">
        <v>695</v>
      </c>
      <c r="N242" t="s">
        <v>703</v>
      </c>
      <c r="O242" t="s">
        <v>710</v>
      </c>
      <c r="P242" t="s">
        <v>716</v>
      </c>
      <c r="Q242" t="s">
        <v>728</v>
      </c>
      <c r="R242" t="s">
        <v>1093</v>
      </c>
      <c r="S242" s="6">
        <v>666.23</v>
      </c>
      <c r="T242" s="6">
        <v>1382.91</v>
      </c>
      <c r="U242" s="6">
        <f t="shared" si="35"/>
        <v>1382.91</v>
      </c>
      <c r="V242" s="8">
        <v>0.17599999999999999</v>
      </c>
      <c r="W242" s="6">
        <v>13</v>
      </c>
      <c r="X242" s="6">
        <f t="shared" si="36"/>
        <v>14813.731920000002</v>
      </c>
      <c r="Y242">
        <f t="shared" si="37"/>
        <v>8660.99</v>
      </c>
      <c r="Z242" s="6">
        <f t="shared" si="38"/>
        <v>6152.7419200000022</v>
      </c>
      <c r="AA242">
        <f t="shared" si="39"/>
        <v>0.41534043907553048</v>
      </c>
      <c r="AB242" t="str">
        <f t="shared" si="40"/>
        <v>1-2024</v>
      </c>
      <c r="AC242" t="str">
        <f t="shared" si="41"/>
        <v>Q1-2024</v>
      </c>
      <c r="AD242" t="str">
        <f t="shared" si="42"/>
        <v>Africa →South Africa →Cape Town</v>
      </c>
      <c r="AE242" t="str">
        <f t="shared" si="43"/>
        <v>Medium</v>
      </c>
      <c r="AF242" t="str">
        <f>TEXT(Table1[[#This Row],[OrderDate]],"MMM")</f>
        <v>Jan</v>
      </c>
      <c r="AG242" t="str">
        <f>TEXT(Table1[[#This Row],[OrderDate]],"YYYY")</f>
        <v>2024</v>
      </c>
      <c r="AI242" s="4">
        <f>IF(Table1[[#This Row],[RequiredDate]]&lt;Table1[[#This Row],[OrderDate]], Table1[[#This Row],[OrderDate]]+7, Table1[[#This Row],[RequiredDate]])</f>
        <v>45325</v>
      </c>
      <c r="AJ242">
        <f>IF(Dashboard!$D$3&gt;'Staging Data'!V242,'Staging Data'!V242,Dashboard!D$3)</f>
        <v>0.17599999999999999</v>
      </c>
      <c r="AK242" s="19">
        <f>(100%+Dashboard!$D$4)*'Staging Data'!S242</f>
        <v>699.54150000000004</v>
      </c>
      <c r="AL242">
        <f>(100%+Dashboard!$D$5)*'Staging Data'!W242</f>
        <v>14.95</v>
      </c>
    </row>
    <row r="243" spans="1:38" x14ac:dyDescent="0.35">
      <c r="A243" s="6" t="s">
        <v>28</v>
      </c>
      <c r="B243" s="4">
        <v>45311</v>
      </c>
      <c r="C243" s="4">
        <v>45335</v>
      </c>
      <c r="D243" s="4">
        <f>IF(Table1[[#This Row],[RequiredDate]]&lt;Table1[[#This Row],[OrderDate]],Table1[[#This Row],[RequiredDate]],Table1[[#This Row],[OrderDate]])</f>
        <v>45311</v>
      </c>
      <c r="E243" s="4">
        <f>IF(Table1[[#This Row],[RequiredDate]]&gt;Table1[[#This Row],[OrderDate]],Table1[[#This Row],[RequiredDate]],Table1[[#This Row],[OrderDate]])</f>
        <v>45335</v>
      </c>
      <c r="F243" s="21">
        <f>Table1[[#This Row],[New RD]]-Table1[[#This Row],[new   od]]</f>
        <v>24</v>
      </c>
      <c r="G243" s="4">
        <f>IF(Table1[[#This Row],[RequiredDate]]&lt;Table1[[#This Row],[OrderDate]], Table1[[#This Row],[OrderDate]]+7, Table1[[#This Row],[RequiredDate]])</f>
        <v>45335</v>
      </c>
      <c r="H243" s="21">
        <f t="shared" si="33"/>
        <v>24</v>
      </c>
      <c r="I243" s="6" t="str">
        <f>IF(Table1[[#This Row],[New LTD]]&lt;=7,"Yes","No")</f>
        <v>No</v>
      </c>
      <c r="J243" s="6" t="str">
        <f t="shared" si="34"/>
        <v>No</v>
      </c>
      <c r="K243" t="s">
        <v>649</v>
      </c>
      <c r="L243" t="s">
        <v>657</v>
      </c>
      <c r="M243" t="s">
        <v>673</v>
      </c>
      <c r="N243" t="s">
        <v>701</v>
      </c>
      <c r="O243" t="s">
        <v>707</v>
      </c>
      <c r="P243" t="s">
        <v>722</v>
      </c>
      <c r="Q243" t="s">
        <v>728</v>
      </c>
      <c r="R243" t="s">
        <v>747</v>
      </c>
      <c r="S243" s="6">
        <v>643.53</v>
      </c>
      <c r="T243" s="6">
        <v>1439.01</v>
      </c>
      <c r="U243" s="6">
        <f t="shared" si="35"/>
        <v>1439.01</v>
      </c>
      <c r="V243" s="8">
        <v>0</v>
      </c>
      <c r="W243" s="6">
        <v>15</v>
      </c>
      <c r="X243" s="6">
        <f t="shared" si="36"/>
        <v>21585.15</v>
      </c>
      <c r="Y243">
        <f t="shared" si="37"/>
        <v>9652.9499999999989</v>
      </c>
      <c r="Z243" s="6">
        <f t="shared" si="38"/>
        <v>11932.200000000003</v>
      </c>
      <c r="AA243">
        <f t="shared" si="39"/>
        <v>0.55279671440782208</v>
      </c>
      <c r="AB243" t="str">
        <f t="shared" si="40"/>
        <v>1-2024</v>
      </c>
      <c r="AC243" t="str">
        <f t="shared" si="41"/>
        <v>Q1-2024</v>
      </c>
      <c r="AD243" t="str">
        <f t="shared" si="42"/>
        <v>Europe →France →Marseille</v>
      </c>
      <c r="AE243" t="str">
        <f t="shared" si="43"/>
        <v>Medium</v>
      </c>
      <c r="AF243" t="str">
        <f>TEXT(Table1[[#This Row],[OrderDate]],"MMM")</f>
        <v>Jan</v>
      </c>
      <c r="AG243" t="str">
        <f>TEXT(Table1[[#This Row],[OrderDate]],"YYYY")</f>
        <v>2024</v>
      </c>
      <c r="AI243" s="4">
        <f>IF(Table1[[#This Row],[RequiredDate]]&lt;Table1[[#This Row],[OrderDate]], Table1[[#This Row],[OrderDate]]+7, Table1[[#This Row],[RequiredDate]])</f>
        <v>45335</v>
      </c>
      <c r="AJ243">
        <f>IF(Dashboard!$D$3&gt;'Staging Data'!V243,'Staging Data'!V243,Dashboard!D$3)</f>
        <v>0</v>
      </c>
      <c r="AK243" s="19">
        <f>(100%+Dashboard!$D$4)*'Staging Data'!S243</f>
        <v>675.70650000000001</v>
      </c>
      <c r="AL243">
        <f>(100%+Dashboard!$D$5)*'Staging Data'!W243</f>
        <v>17.25</v>
      </c>
    </row>
    <row r="244" spans="1:38" x14ac:dyDescent="0.35">
      <c r="A244" s="6" t="s">
        <v>103</v>
      </c>
      <c r="B244" s="4">
        <v>45312</v>
      </c>
      <c r="C244" s="4">
        <v>45316</v>
      </c>
      <c r="D244" s="4">
        <f>IF(Table1[[#This Row],[RequiredDate]]&lt;Table1[[#This Row],[OrderDate]],Table1[[#This Row],[RequiredDate]],Table1[[#This Row],[OrderDate]])</f>
        <v>45312</v>
      </c>
      <c r="E244" s="4">
        <f>IF(Table1[[#This Row],[RequiredDate]]&gt;Table1[[#This Row],[OrderDate]],Table1[[#This Row],[RequiredDate]],Table1[[#This Row],[OrderDate]])</f>
        <v>45316</v>
      </c>
      <c r="F244" s="21">
        <f>Table1[[#This Row],[New RD]]-Table1[[#This Row],[new   od]]</f>
        <v>4</v>
      </c>
      <c r="G244" s="4">
        <f>IF(Table1[[#This Row],[RequiredDate]]&lt;Table1[[#This Row],[OrderDate]], Table1[[#This Row],[OrderDate]]+7, Table1[[#This Row],[RequiredDate]])</f>
        <v>45316</v>
      </c>
      <c r="H244" s="21">
        <f t="shared" si="33"/>
        <v>4</v>
      </c>
      <c r="I244" s="6" t="str">
        <f>IF(Table1[[#This Row],[New LTD]]&lt;=7,"Yes","No")</f>
        <v>Yes</v>
      </c>
      <c r="J244" s="6" t="str">
        <f t="shared" si="34"/>
        <v>No</v>
      </c>
      <c r="K244" t="s">
        <v>647</v>
      </c>
      <c r="L244" t="s">
        <v>654</v>
      </c>
      <c r="M244" t="s">
        <v>680</v>
      </c>
      <c r="N244" t="s">
        <v>704</v>
      </c>
      <c r="O244" t="s">
        <v>711</v>
      </c>
      <c r="P244" t="s">
        <v>712</v>
      </c>
      <c r="Q244" t="s">
        <v>732</v>
      </c>
      <c r="R244" t="s">
        <v>822</v>
      </c>
      <c r="S244" s="6">
        <v>523.70000000000005</v>
      </c>
      <c r="T244" s="6">
        <v>1109.92</v>
      </c>
      <c r="U244" s="6">
        <f t="shared" si="35"/>
        <v>1109.92</v>
      </c>
      <c r="V244" s="8">
        <v>0.03</v>
      </c>
      <c r="W244" s="6">
        <v>11</v>
      </c>
      <c r="X244" s="6">
        <f t="shared" si="36"/>
        <v>11842.8464</v>
      </c>
      <c r="Y244">
        <f t="shared" si="37"/>
        <v>5760.7000000000007</v>
      </c>
      <c r="Z244" s="6">
        <f t="shared" si="38"/>
        <v>6082.1463999999996</v>
      </c>
      <c r="AA244">
        <f t="shared" si="39"/>
        <v>0.51357133197302973</v>
      </c>
      <c r="AB244" t="str">
        <f t="shared" si="40"/>
        <v>1-2024</v>
      </c>
      <c r="AC244" t="str">
        <f t="shared" si="41"/>
        <v>Q1-2024</v>
      </c>
      <c r="AD244" t="str">
        <f t="shared" si="42"/>
        <v>Asia →India →Delhi</v>
      </c>
      <c r="AE244" t="str">
        <f t="shared" si="43"/>
        <v>Medium</v>
      </c>
      <c r="AF244" t="str">
        <f>TEXT(Table1[[#This Row],[OrderDate]],"MMM")</f>
        <v>Jan</v>
      </c>
      <c r="AG244" t="str">
        <f>TEXT(Table1[[#This Row],[OrderDate]],"YYYY")</f>
        <v>2024</v>
      </c>
      <c r="AI244" s="4">
        <f>IF(Table1[[#This Row],[RequiredDate]]&lt;Table1[[#This Row],[OrderDate]], Table1[[#This Row],[OrderDate]]+7, Table1[[#This Row],[RequiredDate]])</f>
        <v>45316</v>
      </c>
      <c r="AJ244">
        <f>IF(Dashboard!$D$3&gt;'Staging Data'!V244,'Staging Data'!V244,Dashboard!D$3)</f>
        <v>0.03</v>
      </c>
      <c r="AK244" s="19">
        <f>(100%+Dashboard!$D$4)*'Staging Data'!S244</f>
        <v>549.8850000000001</v>
      </c>
      <c r="AL244">
        <f>(100%+Dashboard!$D$5)*'Staging Data'!W244</f>
        <v>12.649999999999999</v>
      </c>
    </row>
    <row r="245" spans="1:38" x14ac:dyDescent="0.35">
      <c r="A245" s="6" t="s">
        <v>579</v>
      </c>
      <c r="B245" s="4">
        <v>45315</v>
      </c>
      <c r="C245" s="4">
        <v>45326</v>
      </c>
      <c r="D245" s="4">
        <f>IF(Table1[[#This Row],[RequiredDate]]&lt;Table1[[#This Row],[OrderDate]],Table1[[#This Row],[RequiredDate]],Table1[[#This Row],[OrderDate]])</f>
        <v>45315</v>
      </c>
      <c r="E245" s="4">
        <f>IF(Table1[[#This Row],[RequiredDate]]&gt;Table1[[#This Row],[OrderDate]],Table1[[#This Row],[RequiredDate]],Table1[[#This Row],[OrderDate]])</f>
        <v>45326</v>
      </c>
      <c r="F245" s="21">
        <f>Table1[[#This Row],[New RD]]-Table1[[#This Row],[new   od]]</f>
        <v>11</v>
      </c>
      <c r="G245" s="4">
        <f>IF(Table1[[#This Row],[RequiredDate]]&lt;Table1[[#This Row],[OrderDate]], Table1[[#This Row],[OrderDate]]+7, Table1[[#This Row],[RequiredDate]])</f>
        <v>45326</v>
      </c>
      <c r="H245" s="21">
        <f t="shared" si="33"/>
        <v>11</v>
      </c>
      <c r="I245" s="6" t="str">
        <f>IF(Table1[[#This Row],[New LTD]]&lt;=7,"Yes","No")</f>
        <v>No</v>
      </c>
      <c r="J245" s="6" t="str">
        <f t="shared" si="34"/>
        <v>No</v>
      </c>
      <c r="K245" t="s">
        <v>649</v>
      </c>
      <c r="L245" t="s">
        <v>658</v>
      </c>
      <c r="M245" t="s">
        <v>693</v>
      </c>
      <c r="N245" t="s">
        <v>704</v>
      </c>
      <c r="O245" t="s">
        <v>707</v>
      </c>
      <c r="P245" t="s">
        <v>717</v>
      </c>
      <c r="Q245" t="s">
        <v>731</v>
      </c>
      <c r="R245" t="s">
        <v>1297</v>
      </c>
      <c r="S245" s="6">
        <v>525.34</v>
      </c>
      <c r="T245" s="6">
        <v>1233.79</v>
      </c>
      <c r="U245" s="6">
        <f t="shared" si="35"/>
        <v>1233.79</v>
      </c>
      <c r="V245" s="8">
        <v>0.14299999999999999</v>
      </c>
      <c r="W245" s="6">
        <v>4</v>
      </c>
      <c r="X245" s="6">
        <f t="shared" si="36"/>
        <v>4229.4321199999995</v>
      </c>
      <c r="Y245">
        <f t="shared" si="37"/>
        <v>2101.36</v>
      </c>
      <c r="Z245" s="6">
        <f t="shared" si="38"/>
        <v>2128.0721199999994</v>
      </c>
      <c r="AA245">
        <f t="shared" si="39"/>
        <v>0.50315788494082736</v>
      </c>
      <c r="AB245" t="str">
        <f t="shared" si="40"/>
        <v>1-2024</v>
      </c>
      <c r="AC245" t="str">
        <f t="shared" si="41"/>
        <v>Q1-2024</v>
      </c>
      <c r="AD245" t="str">
        <f t="shared" si="42"/>
        <v>Europe →United Kingdom →Manchester</v>
      </c>
      <c r="AE245" t="str">
        <f t="shared" si="43"/>
        <v>Medium</v>
      </c>
      <c r="AF245" t="str">
        <f>TEXT(Table1[[#This Row],[OrderDate]],"MMM")</f>
        <v>Jan</v>
      </c>
      <c r="AG245" t="str">
        <f>TEXT(Table1[[#This Row],[OrderDate]],"YYYY")</f>
        <v>2024</v>
      </c>
      <c r="AI245" s="4">
        <f>IF(Table1[[#This Row],[RequiredDate]]&lt;Table1[[#This Row],[OrderDate]], Table1[[#This Row],[OrderDate]]+7, Table1[[#This Row],[RequiredDate]])</f>
        <v>45326</v>
      </c>
      <c r="AJ245">
        <f>IF(Dashboard!$D$3&gt;'Staging Data'!V245,'Staging Data'!V245,Dashboard!D$3)</f>
        <v>0.14299999999999999</v>
      </c>
      <c r="AK245" s="19">
        <f>(100%+Dashboard!$D$4)*'Staging Data'!S245</f>
        <v>551.60700000000008</v>
      </c>
      <c r="AL245">
        <f>(100%+Dashboard!$D$5)*'Staging Data'!W245</f>
        <v>4.5999999999999996</v>
      </c>
    </row>
    <row r="246" spans="1:38" x14ac:dyDescent="0.35">
      <c r="A246" s="6" t="s">
        <v>289</v>
      </c>
      <c r="B246" s="4">
        <v>45316</v>
      </c>
      <c r="C246" s="4">
        <v>45318</v>
      </c>
      <c r="D246" s="4">
        <f>IF(Table1[[#This Row],[RequiredDate]]&lt;Table1[[#This Row],[OrderDate]],Table1[[#This Row],[RequiredDate]],Table1[[#This Row],[OrderDate]])</f>
        <v>45316</v>
      </c>
      <c r="E246" s="4">
        <f>IF(Table1[[#This Row],[RequiredDate]]&gt;Table1[[#This Row],[OrderDate]],Table1[[#This Row],[RequiredDate]],Table1[[#This Row],[OrderDate]])</f>
        <v>45318</v>
      </c>
      <c r="F246" s="21">
        <f>Table1[[#This Row],[New RD]]-Table1[[#This Row],[new   od]]</f>
        <v>2</v>
      </c>
      <c r="G246" s="4">
        <f>IF(Table1[[#This Row],[RequiredDate]]&lt;Table1[[#This Row],[OrderDate]], Table1[[#This Row],[OrderDate]]+7, Table1[[#This Row],[RequiredDate]])</f>
        <v>45318</v>
      </c>
      <c r="H246" s="21">
        <f t="shared" si="33"/>
        <v>2</v>
      </c>
      <c r="I246" s="6" t="str">
        <f>IF(Table1[[#This Row],[New LTD]]&lt;=7,"Yes","No")</f>
        <v>Yes</v>
      </c>
      <c r="J246" s="6" t="str">
        <f t="shared" si="34"/>
        <v>No</v>
      </c>
      <c r="K246" t="s">
        <v>648</v>
      </c>
      <c r="L246" t="s">
        <v>655</v>
      </c>
      <c r="M246" t="s">
        <v>670</v>
      </c>
      <c r="N246" t="s">
        <v>703</v>
      </c>
      <c r="O246" t="s">
        <v>709</v>
      </c>
      <c r="P246" t="s">
        <v>725</v>
      </c>
      <c r="Q246" t="s">
        <v>731</v>
      </c>
      <c r="R246" t="s">
        <v>1009</v>
      </c>
      <c r="S246" s="6">
        <v>1410.97</v>
      </c>
      <c r="T246" s="6">
        <v>1650.75</v>
      </c>
      <c r="U246" s="6">
        <f t="shared" si="35"/>
        <v>1650.75</v>
      </c>
      <c r="V246" s="8">
        <v>0.13500000000000001</v>
      </c>
      <c r="W246" s="6">
        <v>6</v>
      </c>
      <c r="X246" s="6">
        <f t="shared" si="36"/>
        <v>8567.3924999999999</v>
      </c>
      <c r="Y246">
        <f t="shared" si="37"/>
        <v>8465.82</v>
      </c>
      <c r="Z246" s="6">
        <f t="shared" si="38"/>
        <v>101.57250000000022</v>
      </c>
      <c r="AA246">
        <f t="shared" si="39"/>
        <v>1.1855707556295596E-2</v>
      </c>
      <c r="AB246" t="str">
        <f t="shared" si="40"/>
        <v>1-2024</v>
      </c>
      <c r="AC246" t="str">
        <f t="shared" si="41"/>
        <v>Q1-2024</v>
      </c>
      <c r="AD246" t="str">
        <f t="shared" si="42"/>
        <v>Americas →Brazil →São Paulo</v>
      </c>
      <c r="AE246" t="str">
        <f t="shared" si="43"/>
        <v>High</v>
      </c>
      <c r="AF246" t="str">
        <f>TEXT(Table1[[#This Row],[OrderDate]],"MMM")</f>
        <v>Jan</v>
      </c>
      <c r="AG246" t="str">
        <f>TEXT(Table1[[#This Row],[OrderDate]],"YYYY")</f>
        <v>2024</v>
      </c>
      <c r="AI246" s="4">
        <f>IF(Table1[[#This Row],[RequiredDate]]&lt;Table1[[#This Row],[OrderDate]], Table1[[#This Row],[OrderDate]]+7, Table1[[#This Row],[RequiredDate]])</f>
        <v>45318</v>
      </c>
      <c r="AJ246">
        <f>IF(Dashboard!$D$3&gt;'Staging Data'!V246,'Staging Data'!V246,Dashboard!D$3)</f>
        <v>0.13500000000000001</v>
      </c>
      <c r="AK246" s="19">
        <f>(100%+Dashboard!$D$4)*'Staging Data'!S246</f>
        <v>1481.5185000000001</v>
      </c>
      <c r="AL246">
        <f>(100%+Dashboard!$D$5)*'Staging Data'!W246</f>
        <v>6.8999999999999995</v>
      </c>
    </row>
    <row r="247" spans="1:38" x14ac:dyDescent="0.35">
      <c r="A247" s="6" t="s">
        <v>544</v>
      </c>
      <c r="B247" s="4">
        <v>45316</v>
      </c>
      <c r="C247" s="4">
        <v>45330</v>
      </c>
      <c r="D247" s="4">
        <f>IF(Table1[[#This Row],[RequiredDate]]&lt;Table1[[#This Row],[OrderDate]],Table1[[#This Row],[RequiredDate]],Table1[[#This Row],[OrderDate]])</f>
        <v>45316</v>
      </c>
      <c r="E247" s="4">
        <f>IF(Table1[[#This Row],[RequiredDate]]&gt;Table1[[#This Row],[OrderDate]],Table1[[#This Row],[RequiredDate]],Table1[[#This Row],[OrderDate]])</f>
        <v>45330</v>
      </c>
      <c r="F247" s="21">
        <f>Table1[[#This Row],[New RD]]-Table1[[#This Row],[new   od]]</f>
        <v>14</v>
      </c>
      <c r="G247" s="4">
        <f>IF(Table1[[#This Row],[RequiredDate]]&lt;Table1[[#This Row],[OrderDate]], Table1[[#This Row],[OrderDate]]+7, Table1[[#This Row],[RequiredDate]])</f>
        <v>45330</v>
      </c>
      <c r="H247" s="21">
        <f t="shared" si="33"/>
        <v>14</v>
      </c>
      <c r="I247" s="6" t="str">
        <f>IF(Table1[[#This Row],[New LTD]]&lt;=7,"Yes","No")</f>
        <v>No</v>
      </c>
      <c r="J247" s="6" t="str">
        <f t="shared" si="34"/>
        <v>No</v>
      </c>
      <c r="K247" t="s">
        <v>647</v>
      </c>
      <c r="L247" t="s">
        <v>652</v>
      </c>
      <c r="M247" t="s">
        <v>666</v>
      </c>
      <c r="N247" t="s">
        <v>704</v>
      </c>
      <c r="O247" t="s">
        <v>709</v>
      </c>
      <c r="P247" t="s">
        <v>714</v>
      </c>
      <c r="Q247" t="s">
        <v>729</v>
      </c>
      <c r="R247" t="s">
        <v>1263</v>
      </c>
      <c r="S247" s="6">
        <v>937.16</v>
      </c>
      <c r="T247" s="6">
        <v>1069.77</v>
      </c>
      <c r="U247" s="6">
        <f t="shared" si="35"/>
        <v>1069.77</v>
      </c>
      <c r="V247" s="8">
        <v>3.7999999999999999E-2</v>
      </c>
      <c r="W247" s="6">
        <v>9</v>
      </c>
      <c r="X247" s="6">
        <f t="shared" si="36"/>
        <v>9262.0686600000008</v>
      </c>
      <c r="Y247">
        <f t="shared" si="37"/>
        <v>8434.44</v>
      </c>
      <c r="Z247" s="6">
        <f t="shared" si="38"/>
        <v>827.62866000000031</v>
      </c>
      <c r="AA247">
        <f t="shared" si="39"/>
        <v>8.9356783066645962E-2</v>
      </c>
      <c r="AB247" t="str">
        <f t="shared" si="40"/>
        <v>1-2024</v>
      </c>
      <c r="AC247" t="str">
        <f t="shared" si="41"/>
        <v>Q1-2024</v>
      </c>
      <c r="AD247" t="str">
        <f t="shared" si="42"/>
        <v>Asia →Japan →Osaka</v>
      </c>
      <c r="AE247" t="str">
        <f t="shared" si="43"/>
        <v>Medium</v>
      </c>
      <c r="AF247" t="str">
        <f>TEXT(Table1[[#This Row],[OrderDate]],"MMM")</f>
        <v>Jan</v>
      </c>
      <c r="AG247" t="str">
        <f>TEXT(Table1[[#This Row],[OrderDate]],"YYYY")</f>
        <v>2024</v>
      </c>
      <c r="AI247" s="4">
        <f>IF(Table1[[#This Row],[RequiredDate]]&lt;Table1[[#This Row],[OrderDate]], Table1[[#This Row],[OrderDate]]+7, Table1[[#This Row],[RequiredDate]])</f>
        <v>45330</v>
      </c>
      <c r="AJ247">
        <f>IF(Dashboard!$D$3&gt;'Staging Data'!V247,'Staging Data'!V247,Dashboard!D$3)</f>
        <v>3.7999999999999999E-2</v>
      </c>
      <c r="AK247" s="19">
        <f>(100%+Dashboard!$D$4)*'Staging Data'!S247</f>
        <v>984.01800000000003</v>
      </c>
      <c r="AL247">
        <f>(100%+Dashboard!$D$5)*'Staging Data'!W247</f>
        <v>10.35</v>
      </c>
    </row>
    <row r="248" spans="1:38" x14ac:dyDescent="0.35">
      <c r="A248" s="6" t="s">
        <v>25</v>
      </c>
      <c r="B248" s="4">
        <v>45319</v>
      </c>
      <c r="C248" s="4">
        <v>45331</v>
      </c>
      <c r="D248" s="4">
        <f>IF(Table1[[#This Row],[RequiredDate]]&lt;Table1[[#This Row],[OrderDate]],Table1[[#This Row],[RequiredDate]],Table1[[#This Row],[OrderDate]])</f>
        <v>45319</v>
      </c>
      <c r="E248" s="4">
        <f>IF(Table1[[#This Row],[RequiredDate]]&gt;Table1[[#This Row],[OrderDate]],Table1[[#This Row],[RequiredDate]],Table1[[#This Row],[OrderDate]])</f>
        <v>45331</v>
      </c>
      <c r="F248" s="21">
        <f>Table1[[#This Row],[New RD]]-Table1[[#This Row],[new   od]]</f>
        <v>12</v>
      </c>
      <c r="G248" s="4">
        <f>IF(Table1[[#This Row],[RequiredDate]]&lt;Table1[[#This Row],[OrderDate]], Table1[[#This Row],[OrderDate]]+7, Table1[[#This Row],[RequiredDate]])</f>
        <v>45331</v>
      </c>
      <c r="H248" s="21">
        <f t="shared" si="33"/>
        <v>12</v>
      </c>
      <c r="I248" s="6" t="str">
        <f>IF(Table1[[#This Row],[New LTD]]&lt;=7,"Yes","No")</f>
        <v>No</v>
      </c>
      <c r="J248" s="6" t="str">
        <f t="shared" si="34"/>
        <v>No</v>
      </c>
      <c r="K248" t="s">
        <v>649</v>
      </c>
      <c r="L248" t="s">
        <v>656</v>
      </c>
      <c r="M248" t="s">
        <v>671</v>
      </c>
      <c r="N248" t="s">
        <v>701</v>
      </c>
      <c r="O248" t="s">
        <v>708</v>
      </c>
      <c r="P248" t="s">
        <v>715</v>
      </c>
      <c r="Q248" t="s">
        <v>733</v>
      </c>
      <c r="R248" t="s">
        <v>744</v>
      </c>
      <c r="S248" s="6">
        <v>644.16999999999996</v>
      </c>
      <c r="T248" s="6">
        <v>700.12</v>
      </c>
      <c r="U248" s="6">
        <f t="shared" si="35"/>
        <v>700.12</v>
      </c>
      <c r="V248" s="8">
        <v>6.0000000000000001E-3</v>
      </c>
      <c r="W248" s="6">
        <v>23</v>
      </c>
      <c r="X248" s="6">
        <f t="shared" si="36"/>
        <v>16006.14344</v>
      </c>
      <c r="Y248">
        <f t="shared" si="37"/>
        <v>14815.91</v>
      </c>
      <c r="Z248" s="6">
        <f t="shared" si="38"/>
        <v>1190.23344</v>
      </c>
      <c r="AA248">
        <f t="shared" si="39"/>
        <v>7.436103796405813E-2</v>
      </c>
      <c r="AB248" t="str">
        <f t="shared" si="40"/>
        <v>1-2024</v>
      </c>
      <c r="AC248" t="str">
        <f t="shared" si="41"/>
        <v>Q1-2024</v>
      </c>
      <c r="AD248" t="str">
        <f t="shared" si="42"/>
        <v>Europe →Germany →Berlin</v>
      </c>
      <c r="AE248" t="str">
        <f t="shared" si="43"/>
        <v>Low</v>
      </c>
      <c r="AF248" t="str">
        <f>TEXT(Table1[[#This Row],[OrderDate]],"MMM")</f>
        <v>Jan</v>
      </c>
      <c r="AG248" t="str">
        <f>TEXT(Table1[[#This Row],[OrderDate]],"YYYY")</f>
        <v>2024</v>
      </c>
      <c r="AI248" s="4">
        <f>IF(Table1[[#This Row],[RequiredDate]]&lt;Table1[[#This Row],[OrderDate]], Table1[[#This Row],[OrderDate]]+7, Table1[[#This Row],[RequiredDate]])</f>
        <v>45331</v>
      </c>
      <c r="AJ248">
        <f>IF(Dashboard!$D$3&gt;'Staging Data'!V248,'Staging Data'!V248,Dashboard!D$3)</f>
        <v>6.0000000000000001E-3</v>
      </c>
      <c r="AK248" s="19">
        <f>(100%+Dashboard!$D$4)*'Staging Data'!S248</f>
        <v>676.37850000000003</v>
      </c>
      <c r="AL248">
        <f>(100%+Dashboard!$D$5)*'Staging Data'!W248</f>
        <v>26.45</v>
      </c>
    </row>
    <row r="249" spans="1:38" x14ac:dyDescent="0.35">
      <c r="A249" s="6" t="s">
        <v>302</v>
      </c>
      <c r="B249" s="4">
        <v>45319</v>
      </c>
      <c r="C249" s="4">
        <v>45321</v>
      </c>
      <c r="D249" s="4">
        <f>IF(Table1[[#This Row],[RequiredDate]]&lt;Table1[[#This Row],[OrderDate]],Table1[[#This Row],[RequiredDate]],Table1[[#This Row],[OrderDate]])</f>
        <v>45319</v>
      </c>
      <c r="E249" s="4">
        <f>IF(Table1[[#This Row],[RequiredDate]]&gt;Table1[[#This Row],[OrderDate]],Table1[[#This Row],[RequiredDate]],Table1[[#This Row],[OrderDate]])</f>
        <v>45321</v>
      </c>
      <c r="F249" s="21">
        <f>Table1[[#This Row],[New RD]]-Table1[[#This Row],[new   od]]</f>
        <v>2</v>
      </c>
      <c r="G249" s="4">
        <f>IF(Table1[[#This Row],[RequiredDate]]&lt;Table1[[#This Row],[OrderDate]], Table1[[#This Row],[OrderDate]]+7, Table1[[#This Row],[RequiredDate]])</f>
        <v>45321</v>
      </c>
      <c r="H249" s="21">
        <f t="shared" si="33"/>
        <v>2</v>
      </c>
      <c r="I249" s="6" t="str">
        <f>IF(Table1[[#This Row],[New LTD]]&lt;=7,"Yes","No")</f>
        <v>Yes</v>
      </c>
      <c r="J249" s="6" t="str">
        <f t="shared" si="34"/>
        <v>No</v>
      </c>
      <c r="K249" t="s">
        <v>646</v>
      </c>
      <c r="L249" t="s">
        <v>661</v>
      </c>
      <c r="M249" t="s">
        <v>695</v>
      </c>
      <c r="N249" t="s">
        <v>704</v>
      </c>
      <c r="O249" t="s">
        <v>711</v>
      </c>
      <c r="P249" t="s">
        <v>721</v>
      </c>
      <c r="Q249" t="s">
        <v>733</v>
      </c>
      <c r="R249" t="s">
        <v>1022</v>
      </c>
      <c r="S249" s="6">
        <v>798.45</v>
      </c>
      <c r="T249" s="6">
        <v>1592.02</v>
      </c>
      <c r="U249" s="6">
        <f t="shared" si="35"/>
        <v>1592.02</v>
      </c>
      <c r="V249" s="8">
        <v>6.6000000000000003E-2</v>
      </c>
      <c r="W249" s="6">
        <v>18</v>
      </c>
      <c r="X249" s="6">
        <f t="shared" si="36"/>
        <v>26765.040239999998</v>
      </c>
      <c r="Y249">
        <f t="shared" si="37"/>
        <v>14372.1</v>
      </c>
      <c r="Z249" s="6">
        <f t="shared" si="38"/>
        <v>12392.940239999998</v>
      </c>
      <c r="AA249">
        <f t="shared" si="39"/>
        <v>0.46302714768494585</v>
      </c>
      <c r="AB249" t="str">
        <f t="shared" si="40"/>
        <v>1-2024</v>
      </c>
      <c r="AC249" t="str">
        <f t="shared" si="41"/>
        <v>Q1-2024</v>
      </c>
      <c r="AD249" t="str">
        <f t="shared" si="42"/>
        <v>Africa →South Africa →Cape Town</v>
      </c>
      <c r="AE249" t="str">
        <f t="shared" si="43"/>
        <v>Medium</v>
      </c>
      <c r="AF249" t="str">
        <f>TEXT(Table1[[#This Row],[OrderDate]],"MMM")</f>
        <v>Jan</v>
      </c>
      <c r="AG249" t="str">
        <f>TEXT(Table1[[#This Row],[OrderDate]],"YYYY")</f>
        <v>2024</v>
      </c>
      <c r="AI249" s="4">
        <f>IF(Table1[[#This Row],[RequiredDate]]&lt;Table1[[#This Row],[OrderDate]], Table1[[#This Row],[OrderDate]]+7, Table1[[#This Row],[RequiredDate]])</f>
        <v>45321</v>
      </c>
      <c r="AJ249">
        <f>IF(Dashboard!$D$3&gt;'Staging Data'!V249,'Staging Data'!V249,Dashboard!D$3)</f>
        <v>6.6000000000000003E-2</v>
      </c>
      <c r="AK249" s="19">
        <f>(100%+Dashboard!$D$4)*'Staging Data'!S249</f>
        <v>838.37250000000006</v>
      </c>
      <c r="AL249">
        <f>(100%+Dashboard!$D$5)*'Staging Data'!W249</f>
        <v>20.7</v>
      </c>
    </row>
    <row r="250" spans="1:38" x14ac:dyDescent="0.35">
      <c r="A250" s="6" t="s">
        <v>623</v>
      </c>
      <c r="B250" s="4">
        <v>45319</v>
      </c>
      <c r="C250" s="4">
        <v>45318</v>
      </c>
      <c r="D250" s="4">
        <f>IF(Table1[[#This Row],[RequiredDate]]&lt;Table1[[#This Row],[OrderDate]],Table1[[#This Row],[RequiredDate]],Table1[[#This Row],[OrderDate]])</f>
        <v>45318</v>
      </c>
      <c r="E250" s="4">
        <f>IF(Table1[[#This Row],[RequiredDate]]&gt;Table1[[#This Row],[OrderDate]],Table1[[#This Row],[RequiredDate]],Table1[[#This Row],[OrderDate]])</f>
        <v>45319</v>
      </c>
      <c r="F250" s="21">
        <f>Table1[[#This Row],[New RD]]-Table1[[#This Row],[new   od]]</f>
        <v>1</v>
      </c>
      <c r="G250" s="4">
        <f>IF(Table1[[#This Row],[RequiredDate]]&lt;Table1[[#This Row],[OrderDate]], Table1[[#This Row],[OrderDate]]+7, Table1[[#This Row],[RequiredDate]])</f>
        <v>45326</v>
      </c>
      <c r="H250" s="21">
        <f t="shared" si="33"/>
        <v>7</v>
      </c>
      <c r="I250" s="6" t="str">
        <f>IF(Table1[[#This Row],[New LTD]]&lt;=7,"Yes","No")</f>
        <v>Yes</v>
      </c>
      <c r="J250" s="6" t="str">
        <f t="shared" si="34"/>
        <v>No</v>
      </c>
      <c r="K250" t="s">
        <v>646</v>
      </c>
      <c r="L250" t="s">
        <v>661</v>
      </c>
      <c r="M250" t="s">
        <v>695</v>
      </c>
      <c r="N250" t="s">
        <v>706</v>
      </c>
      <c r="O250" t="s">
        <v>711</v>
      </c>
      <c r="P250" t="s">
        <v>719</v>
      </c>
      <c r="Q250" t="s">
        <v>727</v>
      </c>
      <c r="R250" t="s">
        <v>1341</v>
      </c>
      <c r="S250" s="6">
        <v>109.75</v>
      </c>
      <c r="T250" s="6">
        <v>124.25</v>
      </c>
      <c r="U250" s="6">
        <f t="shared" si="35"/>
        <v>124.25</v>
      </c>
      <c r="V250" s="8">
        <v>0.12</v>
      </c>
      <c r="W250" s="6">
        <v>19</v>
      </c>
      <c r="X250" s="6">
        <f t="shared" si="36"/>
        <v>2077.46</v>
      </c>
      <c r="Y250">
        <f t="shared" si="37"/>
        <v>2085.25</v>
      </c>
      <c r="Z250" s="6">
        <f t="shared" si="38"/>
        <v>-7.7899999999999636</v>
      </c>
      <c r="AA250">
        <f t="shared" si="39"/>
        <v>-3.7497713554051405E-3</v>
      </c>
      <c r="AB250" t="str">
        <f t="shared" si="40"/>
        <v>1-2024</v>
      </c>
      <c r="AC250" t="str">
        <f t="shared" si="41"/>
        <v>Q1-2024</v>
      </c>
      <c r="AD250" t="str">
        <f t="shared" si="42"/>
        <v>Africa →South Africa →Cape Town</v>
      </c>
      <c r="AE250" t="str">
        <f t="shared" si="43"/>
        <v>Low</v>
      </c>
      <c r="AF250" t="str">
        <f>TEXT(Table1[[#This Row],[OrderDate]],"MMM")</f>
        <v>Jan</v>
      </c>
      <c r="AG250" t="str">
        <f>TEXT(Table1[[#This Row],[OrderDate]],"YYYY")</f>
        <v>2024</v>
      </c>
      <c r="AI250" s="4">
        <f>IF(Table1[[#This Row],[RequiredDate]]&lt;Table1[[#This Row],[OrderDate]], Table1[[#This Row],[OrderDate]]+7, Table1[[#This Row],[RequiredDate]])</f>
        <v>45326</v>
      </c>
      <c r="AJ250">
        <f>IF(Dashboard!$D$3&gt;'Staging Data'!V250,'Staging Data'!V250,Dashboard!D$3)</f>
        <v>0.12</v>
      </c>
      <c r="AK250" s="19">
        <f>(100%+Dashboard!$D$4)*'Staging Data'!S250</f>
        <v>115.23750000000001</v>
      </c>
      <c r="AL250">
        <f>(100%+Dashboard!$D$5)*'Staging Data'!W250</f>
        <v>21.849999999999998</v>
      </c>
    </row>
    <row r="251" spans="1:38" x14ac:dyDescent="0.35">
      <c r="A251" s="6" t="s">
        <v>171</v>
      </c>
      <c r="B251" s="4">
        <v>45323</v>
      </c>
      <c r="C251" s="4">
        <v>45343</v>
      </c>
      <c r="D251" s="4">
        <f>IF(Table1[[#This Row],[RequiredDate]]&lt;Table1[[#This Row],[OrderDate]],Table1[[#This Row],[RequiredDate]],Table1[[#This Row],[OrderDate]])</f>
        <v>45323</v>
      </c>
      <c r="E251" s="4">
        <f>IF(Table1[[#This Row],[RequiredDate]]&gt;Table1[[#This Row],[OrderDate]],Table1[[#This Row],[RequiredDate]],Table1[[#This Row],[OrderDate]])</f>
        <v>45343</v>
      </c>
      <c r="F251" s="21">
        <f>Table1[[#This Row],[New RD]]-Table1[[#This Row],[new   od]]</f>
        <v>20</v>
      </c>
      <c r="G251" s="4">
        <f>IF(Table1[[#This Row],[RequiredDate]]&lt;Table1[[#This Row],[OrderDate]], Table1[[#This Row],[OrderDate]]+7, Table1[[#This Row],[RequiredDate]])</f>
        <v>45343</v>
      </c>
      <c r="H251" s="21">
        <f t="shared" si="33"/>
        <v>20</v>
      </c>
      <c r="I251" s="6" t="str">
        <f>IF(Table1[[#This Row],[New LTD]]&lt;=7,"Yes","No")</f>
        <v>No</v>
      </c>
      <c r="J251" s="6" t="str">
        <f t="shared" si="34"/>
        <v>No</v>
      </c>
      <c r="K251" t="s">
        <v>649</v>
      </c>
      <c r="L251" t="s">
        <v>657</v>
      </c>
      <c r="M251" t="s">
        <v>690</v>
      </c>
      <c r="N251" t="s">
        <v>705</v>
      </c>
      <c r="O251" t="s">
        <v>709</v>
      </c>
      <c r="P251" t="s">
        <v>720</v>
      </c>
      <c r="Q251" t="s">
        <v>729</v>
      </c>
      <c r="R251" t="s">
        <v>890</v>
      </c>
      <c r="S251" s="6">
        <v>656.2</v>
      </c>
      <c r="T251" s="6">
        <v>1467.17</v>
      </c>
      <c r="U251" s="6">
        <f t="shared" si="35"/>
        <v>1467.17</v>
      </c>
      <c r="V251" s="8">
        <v>1.7999999999999999E-2</v>
      </c>
      <c r="W251" s="6">
        <v>5</v>
      </c>
      <c r="X251" s="6">
        <f t="shared" si="36"/>
        <v>7203.8047000000006</v>
      </c>
      <c r="Y251">
        <f t="shared" si="37"/>
        <v>3281</v>
      </c>
      <c r="Z251" s="6">
        <f t="shared" si="38"/>
        <v>3922.8047000000006</v>
      </c>
      <c r="AA251">
        <f t="shared" si="39"/>
        <v>0.54454623124360946</v>
      </c>
      <c r="AB251" t="str">
        <f t="shared" si="40"/>
        <v>2-2024</v>
      </c>
      <c r="AC251" t="str">
        <f t="shared" si="41"/>
        <v>Q1-2024</v>
      </c>
      <c r="AD251" t="str">
        <f t="shared" si="42"/>
        <v>Europe →France →Paris</v>
      </c>
      <c r="AE251" t="str">
        <f t="shared" si="43"/>
        <v>Medium</v>
      </c>
      <c r="AF251" t="str">
        <f>TEXT(Table1[[#This Row],[OrderDate]],"MMM")</f>
        <v>Feb</v>
      </c>
      <c r="AG251" t="str">
        <f>TEXT(Table1[[#This Row],[OrderDate]],"YYYY")</f>
        <v>2024</v>
      </c>
      <c r="AI251" s="4">
        <f>IF(Table1[[#This Row],[RequiredDate]]&lt;Table1[[#This Row],[OrderDate]], Table1[[#This Row],[OrderDate]]+7, Table1[[#This Row],[RequiredDate]])</f>
        <v>45343</v>
      </c>
      <c r="AJ251">
        <f>IF(Dashboard!$D$3&gt;'Staging Data'!V251,'Staging Data'!V251,Dashboard!D$3)</f>
        <v>1.7999999999999999E-2</v>
      </c>
      <c r="AK251" s="19">
        <f>(100%+Dashboard!$D$4)*'Staging Data'!S251</f>
        <v>689.0100000000001</v>
      </c>
      <c r="AL251">
        <f>(100%+Dashboard!$D$5)*'Staging Data'!W251</f>
        <v>5.75</v>
      </c>
    </row>
    <row r="252" spans="1:38" x14ac:dyDescent="0.35">
      <c r="A252" s="6" t="s">
        <v>625</v>
      </c>
      <c r="B252" s="4">
        <v>45323</v>
      </c>
      <c r="C252" s="4">
        <v>45323</v>
      </c>
      <c r="D252" s="4">
        <f>IF(Table1[[#This Row],[RequiredDate]]&lt;Table1[[#This Row],[OrderDate]],Table1[[#This Row],[RequiredDate]],Table1[[#This Row],[OrderDate]])</f>
        <v>45323</v>
      </c>
      <c r="E252" s="4">
        <f>IF(Table1[[#This Row],[RequiredDate]]&gt;Table1[[#This Row],[OrderDate]],Table1[[#This Row],[RequiredDate]],Table1[[#This Row],[OrderDate]])</f>
        <v>45323</v>
      </c>
      <c r="F252" s="21">
        <f>Table1[[#This Row],[New RD]]-Table1[[#This Row],[new   od]]</f>
        <v>0</v>
      </c>
      <c r="G252" s="4">
        <f>IF(Table1[[#This Row],[RequiredDate]]&lt;Table1[[#This Row],[OrderDate]], Table1[[#This Row],[OrderDate]]+7, Table1[[#This Row],[RequiredDate]])</f>
        <v>45323</v>
      </c>
      <c r="H252" s="21">
        <f t="shared" si="33"/>
        <v>0</v>
      </c>
      <c r="I252" s="6" t="str">
        <f>IF(Table1[[#This Row],[New LTD]]&lt;=7,"Yes","No")</f>
        <v>Yes</v>
      </c>
      <c r="J252" s="6" t="str">
        <f t="shared" si="34"/>
        <v>No</v>
      </c>
      <c r="K252" t="s">
        <v>648</v>
      </c>
      <c r="L252" t="s">
        <v>660</v>
      </c>
      <c r="M252" t="s">
        <v>697</v>
      </c>
      <c r="N252" t="s">
        <v>704</v>
      </c>
      <c r="O252" t="s">
        <v>710</v>
      </c>
      <c r="P252" t="s">
        <v>722</v>
      </c>
      <c r="Q252" t="s">
        <v>728</v>
      </c>
      <c r="R252" t="s">
        <v>1343</v>
      </c>
      <c r="S252" s="6">
        <v>714.43</v>
      </c>
      <c r="T252" s="6">
        <v>1595.52</v>
      </c>
      <c r="U252" s="6">
        <f t="shared" si="35"/>
        <v>1595.52</v>
      </c>
      <c r="V252" s="8">
        <v>0.19400000000000001</v>
      </c>
      <c r="W252" s="6">
        <v>14</v>
      </c>
      <c r="X252" s="6">
        <f t="shared" si="36"/>
        <v>18003.847679999999</v>
      </c>
      <c r="Y252">
        <f t="shared" si="37"/>
        <v>10002.019999999999</v>
      </c>
      <c r="Z252" s="6">
        <f t="shared" si="38"/>
        <v>8001.8276800000003</v>
      </c>
      <c r="AA252">
        <f t="shared" si="39"/>
        <v>0.44445097638151093</v>
      </c>
      <c r="AB252" t="str">
        <f t="shared" si="40"/>
        <v>2-2024</v>
      </c>
      <c r="AC252" t="str">
        <f t="shared" si="41"/>
        <v>Q1-2024</v>
      </c>
      <c r="AD252" t="str">
        <f t="shared" si="42"/>
        <v>Americas →USA →Austin</v>
      </c>
      <c r="AE252" t="str">
        <f t="shared" si="43"/>
        <v>Medium</v>
      </c>
      <c r="AF252" t="str">
        <f>TEXT(Table1[[#This Row],[OrderDate]],"MMM")</f>
        <v>Feb</v>
      </c>
      <c r="AG252" t="str">
        <f>TEXT(Table1[[#This Row],[OrderDate]],"YYYY")</f>
        <v>2024</v>
      </c>
      <c r="AI252" s="4">
        <f>IF(Table1[[#This Row],[RequiredDate]]&lt;Table1[[#This Row],[OrderDate]], Table1[[#This Row],[OrderDate]]+7, Table1[[#This Row],[RequiredDate]])</f>
        <v>45323</v>
      </c>
      <c r="AJ252">
        <f>IF(Dashboard!$D$3&gt;'Staging Data'!V252,'Staging Data'!V252,Dashboard!D$3)</f>
        <v>0.19400000000000001</v>
      </c>
      <c r="AK252" s="19">
        <f>(100%+Dashboard!$D$4)*'Staging Data'!S252</f>
        <v>750.15149999999994</v>
      </c>
      <c r="AL252">
        <f>(100%+Dashboard!$D$5)*'Staging Data'!W252</f>
        <v>16.099999999999998</v>
      </c>
    </row>
    <row r="253" spans="1:38" x14ac:dyDescent="0.35">
      <c r="A253" s="6" t="s">
        <v>192</v>
      </c>
      <c r="B253" s="4">
        <v>45325</v>
      </c>
      <c r="C253" s="4">
        <v>45343</v>
      </c>
      <c r="D253" s="4">
        <f>IF(Table1[[#This Row],[RequiredDate]]&lt;Table1[[#This Row],[OrderDate]],Table1[[#This Row],[RequiredDate]],Table1[[#This Row],[OrderDate]])</f>
        <v>45325</v>
      </c>
      <c r="E253" s="4">
        <f>IF(Table1[[#This Row],[RequiredDate]]&gt;Table1[[#This Row],[OrderDate]],Table1[[#This Row],[RequiredDate]],Table1[[#This Row],[OrderDate]])</f>
        <v>45343</v>
      </c>
      <c r="F253" s="21">
        <f>Table1[[#This Row],[New RD]]-Table1[[#This Row],[new   od]]</f>
        <v>18</v>
      </c>
      <c r="G253" s="4">
        <f>IF(Table1[[#This Row],[RequiredDate]]&lt;Table1[[#This Row],[OrderDate]], Table1[[#This Row],[OrderDate]]+7, Table1[[#This Row],[RequiredDate]])</f>
        <v>45343</v>
      </c>
      <c r="H253" s="21">
        <f t="shared" si="33"/>
        <v>18</v>
      </c>
      <c r="I253" s="6" t="str">
        <f>IF(Table1[[#This Row],[New LTD]]&lt;=7,"Yes","No")</f>
        <v>No</v>
      </c>
      <c r="J253" s="6" t="str">
        <f t="shared" si="34"/>
        <v>No</v>
      </c>
      <c r="K253" t="s">
        <v>649</v>
      </c>
      <c r="L253" t="s">
        <v>656</v>
      </c>
      <c r="M253" t="s">
        <v>698</v>
      </c>
      <c r="N253" t="s">
        <v>701</v>
      </c>
      <c r="O253" t="s">
        <v>707</v>
      </c>
      <c r="P253" t="s">
        <v>722</v>
      </c>
      <c r="Q253" t="s">
        <v>727</v>
      </c>
      <c r="R253" t="s">
        <v>911</v>
      </c>
      <c r="S253" s="6">
        <v>39.229999999999997</v>
      </c>
      <c r="T253" s="6">
        <v>30.09</v>
      </c>
      <c r="U253" s="6">
        <f t="shared" si="35"/>
        <v>30.09</v>
      </c>
      <c r="V253" s="8">
        <v>0.17699999999999999</v>
      </c>
      <c r="W253" s="6">
        <v>13</v>
      </c>
      <c r="X253" s="6">
        <f t="shared" si="36"/>
        <v>321.93290999999999</v>
      </c>
      <c r="Y253">
        <f t="shared" si="37"/>
        <v>509.98999999999995</v>
      </c>
      <c r="Z253" s="6">
        <f t="shared" si="38"/>
        <v>-188.05708999999996</v>
      </c>
      <c r="AA253">
        <f t="shared" si="39"/>
        <v>-0.58414993981199359</v>
      </c>
      <c r="AB253" t="str">
        <f t="shared" si="40"/>
        <v>2-2024</v>
      </c>
      <c r="AC253" t="str">
        <f t="shared" si="41"/>
        <v>Q1-2024</v>
      </c>
      <c r="AD253" t="str">
        <f t="shared" si="42"/>
        <v>Europe →Germany →Frankfurt</v>
      </c>
      <c r="AE253" t="str">
        <f t="shared" si="43"/>
        <v>Low</v>
      </c>
      <c r="AF253" t="str">
        <f>TEXT(Table1[[#This Row],[OrderDate]],"MMM")</f>
        <v>Feb</v>
      </c>
      <c r="AG253" t="str">
        <f>TEXT(Table1[[#This Row],[OrderDate]],"YYYY")</f>
        <v>2024</v>
      </c>
      <c r="AI253" s="4">
        <f>IF(Table1[[#This Row],[RequiredDate]]&lt;Table1[[#This Row],[OrderDate]], Table1[[#This Row],[OrderDate]]+7, Table1[[#This Row],[RequiredDate]])</f>
        <v>45343</v>
      </c>
      <c r="AJ253">
        <f>IF(Dashboard!$D$3&gt;'Staging Data'!V253,'Staging Data'!V253,Dashboard!D$3)</f>
        <v>0.17699999999999999</v>
      </c>
      <c r="AK253" s="19">
        <f>(100%+Dashboard!$D$4)*'Staging Data'!S253</f>
        <v>41.191499999999998</v>
      </c>
      <c r="AL253">
        <f>(100%+Dashboard!$D$5)*'Staging Data'!W253</f>
        <v>14.95</v>
      </c>
    </row>
    <row r="254" spans="1:38" x14ac:dyDescent="0.35">
      <c r="A254" s="6" t="s">
        <v>204</v>
      </c>
      <c r="B254" s="4">
        <v>45325</v>
      </c>
      <c r="C254" s="4">
        <v>45341</v>
      </c>
      <c r="D254" s="4">
        <f>IF(Table1[[#This Row],[RequiredDate]]&lt;Table1[[#This Row],[OrderDate]],Table1[[#This Row],[RequiredDate]],Table1[[#This Row],[OrderDate]])</f>
        <v>45325</v>
      </c>
      <c r="E254" s="4">
        <f>IF(Table1[[#This Row],[RequiredDate]]&gt;Table1[[#This Row],[OrderDate]],Table1[[#This Row],[RequiredDate]],Table1[[#This Row],[OrderDate]])</f>
        <v>45341</v>
      </c>
      <c r="F254" s="21">
        <f>Table1[[#This Row],[New RD]]-Table1[[#This Row],[new   od]]</f>
        <v>16</v>
      </c>
      <c r="G254" s="4">
        <f>IF(Table1[[#This Row],[RequiredDate]]&lt;Table1[[#This Row],[OrderDate]], Table1[[#This Row],[OrderDate]]+7, Table1[[#This Row],[RequiredDate]])</f>
        <v>45341</v>
      </c>
      <c r="H254" s="21">
        <f t="shared" si="33"/>
        <v>16</v>
      </c>
      <c r="I254" s="6" t="str">
        <f>IF(Table1[[#This Row],[New LTD]]&lt;=7,"Yes","No")</f>
        <v>No</v>
      </c>
      <c r="J254" s="6" t="str">
        <f t="shared" si="34"/>
        <v>Yes</v>
      </c>
      <c r="K254" t="s">
        <v>647</v>
      </c>
      <c r="L254" t="s">
        <v>659</v>
      </c>
      <c r="M254" t="s">
        <v>676</v>
      </c>
      <c r="N254" t="s">
        <v>705</v>
      </c>
      <c r="O254" t="s">
        <v>708</v>
      </c>
      <c r="P254" t="s">
        <v>722</v>
      </c>
      <c r="Q254" t="s">
        <v>731</v>
      </c>
      <c r="R254" t="s">
        <v>924</v>
      </c>
      <c r="S254" s="6">
        <v>993.75</v>
      </c>
      <c r="T254" s="6">
        <v>1310.29</v>
      </c>
      <c r="U254" s="6">
        <f t="shared" si="35"/>
        <v>1310.29</v>
      </c>
      <c r="V254" s="8">
        <v>0.215</v>
      </c>
      <c r="W254" s="6">
        <v>19</v>
      </c>
      <c r="X254" s="6">
        <f t="shared" si="36"/>
        <v>19542.975350000001</v>
      </c>
      <c r="Y254">
        <f t="shared" si="37"/>
        <v>18881.25</v>
      </c>
      <c r="Z254" s="6">
        <f t="shared" si="38"/>
        <v>661.72535000000062</v>
      </c>
      <c r="AA254">
        <f t="shared" si="39"/>
        <v>3.3860010471742245E-2</v>
      </c>
      <c r="AB254" t="str">
        <f t="shared" si="40"/>
        <v>2-2024</v>
      </c>
      <c r="AC254" t="str">
        <f t="shared" si="41"/>
        <v>Q1-2024</v>
      </c>
      <c r="AD254" t="str">
        <f t="shared" si="42"/>
        <v>Asia →China →Shenzhen</v>
      </c>
      <c r="AE254" t="str">
        <f t="shared" si="43"/>
        <v>Medium</v>
      </c>
      <c r="AF254" t="str">
        <f>TEXT(Table1[[#This Row],[OrderDate]],"MMM")</f>
        <v>Feb</v>
      </c>
      <c r="AG254" t="str">
        <f>TEXT(Table1[[#This Row],[OrderDate]],"YYYY")</f>
        <v>2024</v>
      </c>
      <c r="AI254" s="4">
        <f>IF(Table1[[#This Row],[RequiredDate]]&lt;Table1[[#This Row],[OrderDate]], Table1[[#This Row],[OrderDate]]+7, Table1[[#This Row],[RequiredDate]])</f>
        <v>45341</v>
      </c>
      <c r="AJ254">
        <f>IF(Dashboard!$D$3&gt;'Staging Data'!V254,'Staging Data'!V254,Dashboard!D$3)</f>
        <v>0.2</v>
      </c>
      <c r="AK254" s="19">
        <f>(100%+Dashboard!$D$4)*'Staging Data'!S254</f>
        <v>1043.4375</v>
      </c>
      <c r="AL254">
        <f>(100%+Dashboard!$D$5)*'Staging Data'!W254</f>
        <v>21.849999999999998</v>
      </c>
    </row>
    <row r="255" spans="1:38" x14ac:dyDescent="0.35">
      <c r="A255" s="6" t="s">
        <v>487</v>
      </c>
      <c r="B255" s="4">
        <v>45328</v>
      </c>
      <c r="C255" s="4">
        <v>45350</v>
      </c>
      <c r="D255" s="4">
        <f>IF(Table1[[#This Row],[RequiredDate]]&lt;Table1[[#This Row],[OrderDate]],Table1[[#This Row],[RequiredDate]],Table1[[#This Row],[OrderDate]])</f>
        <v>45328</v>
      </c>
      <c r="E255" s="4">
        <f>IF(Table1[[#This Row],[RequiredDate]]&gt;Table1[[#This Row],[OrderDate]],Table1[[#This Row],[RequiredDate]],Table1[[#This Row],[OrderDate]])</f>
        <v>45350</v>
      </c>
      <c r="F255" s="21">
        <f>Table1[[#This Row],[New RD]]-Table1[[#This Row],[new   od]]</f>
        <v>22</v>
      </c>
      <c r="G255" s="4">
        <f>IF(Table1[[#This Row],[RequiredDate]]&lt;Table1[[#This Row],[OrderDate]], Table1[[#This Row],[OrderDate]]+7, Table1[[#This Row],[RequiredDate]])</f>
        <v>45350</v>
      </c>
      <c r="H255" s="21">
        <f t="shared" si="33"/>
        <v>22</v>
      </c>
      <c r="I255" s="6" t="str">
        <f>IF(Table1[[#This Row],[New LTD]]&lt;=7,"Yes","No")</f>
        <v>No</v>
      </c>
      <c r="J255" s="6" t="str">
        <f t="shared" si="34"/>
        <v>No</v>
      </c>
      <c r="K255" t="s">
        <v>646</v>
      </c>
      <c r="L255" t="s">
        <v>650</v>
      </c>
      <c r="M255" t="s">
        <v>662</v>
      </c>
      <c r="N255" t="s">
        <v>703</v>
      </c>
      <c r="O255" t="s">
        <v>708</v>
      </c>
      <c r="P255" t="s">
        <v>723</v>
      </c>
      <c r="Q255" t="s">
        <v>732</v>
      </c>
      <c r="R255" t="s">
        <v>1206</v>
      </c>
      <c r="S255" s="6">
        <v>834.93</v>
      </c>
      <c r="T255" s="6">
        <v>1588.53</v>
      </c>
      <c r="U255" s="6">
        <f t="shared" si="35"/>
        <v>1588.53</v>
      </c>
      <c r="V255" s="8">
        <v>0.126</v>
      </c>
      <c r="W255" s="6">
        <v>6</v>
      </c>
      <c r="X255" s="6">
        <f t="shared" si="36"/>
        <v>8330.2513199999994</v>
      </c>
      <c r="Y255">
        <f t="shared" si="37"/>
        <v>5009.58</v>
      </c>
      <c r="Z255" s="6">
        <f t="shared" si="38"/>
        <v>3320.6713199999995</v>
      </c>
      <c r="AA255">
        <f t="shared" si="39"/>
        <v>0.39862798761274343</v>
      </c>
      <c r="AB255" t="str">
        <f t="shared" si="40"/>
        <v>2-2024</v>
      </c>
      <c r="AC255" t="str">
        <f t="shared" si="41"/>
        <v>Q1-2024</v>
      </c>
      <c r="AD255" t="str">
        <f t="shared" si="42"/>
        <v>Africa →Kenya →Kisumu</v>
      </c>
      <c r="AE255" t="str">
        <f t="shared" si="43"/>
        <v>Medium</v>
      </c>
      <c r="AF255" t="str">
        <f>TEXT(Table1[[#This Row],[OrderDate]],"MMM")</f>
        <v>Feb</v>
      </c>
      <c r="AG255" t="str">
        <f>TEXT(Table1[[#This Row],[OrderDate]],"YYYY")</f>
        <v>2024</v>
      </c>
      <c r="AI255" s="4">
        <f>IF(Table1[[#This Row],[RequiredDate]]&lt;Table1[[#This Row],[OrderDate]], Table1[[#This Row],[OrderDate]]+7, Table1[[#This Row],[RequiredDate]])</f>
        <v>45350</v>
      </c>
      <c r="AJ255">
        <f>IF(Dashboard!$D$3&gt;'Staging Data'!V255,'Staging Data'!V255,Dashboard!D$3)</f>
        <v>0.126</v>
      </c>
      <c r="AK255" s="19">
        <f>(100%+Dashboard!$D$4)*'Staging Data'!S255</f>
        <v>876.67650000000003</v>
      </c>
      <c r="AL255">
        <f>(100%+Dashboard!$D$5)*'Staging Data'!W255</f>
        <v>6.8999999999999995</v>
      </c>
    </row>
    <row r="256" spans="1:38" x14ac:dyDescent="0.35">
      <c r="A256" s="6" t="s">
        <v>580</v>
      </c>
      <c r="B256" s="4">
        <v>45330</v>
      </c>
      <c r="C256" s="4">
        <v>45331</v>
      </c>
      <c r="D256" s="4">
        <f>IF(Table1[[#This Row],[RequiredDate]]&lt;Table1[[#This Row],[OrderDate]],Table1[[#This Row],[RequiredDate]],Table1[[#This Row],[OrderDate]])</f>
        <v>45330</v>
      </c>
      <c r="E256" s="4">
        <f>IF(Table1[[#This Row],[RequiredDate]]&gt;Table1[[#This Row],[OrderDate]],Table1[[#This Row],[RequiredDate]],Table1[[#This Row],[OrderDate]])</f>
        <v>45331</v>
      </c>
      <c r="F256" s="21">
        <f>Table1[[#This Row],[New RD]]-Table1[[#This Row],[new   od]]</f>
        <v>1</v>
      </c>
      <c r="G256" s="4">
        <f>IF(Table1[[#This Row],[RequiredDate]]&lt;Table1[[#This Row],[OrderDate]], Table1[[#This Row],[OrderDate]]+7, Table1[[#This Row],[RequiredDate]])</f>
        <v>45331</v>
      </c>
      <c r="H256" s="21">
        <f t="shared" si="33"/>
        <v>1</v>
      </c>
      <c r="I256" s="6" t="str">
        <f>IF(Table1[[#This Row],[New LTD]]&lt;=7,"Yes","No")</f>
        <v>Yes</v>
      </c>
      <c r="J256" s="6" t="str">
        <f t="shared" si="34"/>
        <v>No</v>
      </c>
      <c r="K256" t="s">
        <v>646</v>
      </c>
      <c r="L256" t="s">
        <v>650</v>
      </c>
      <c r="M256" t="s">
        <v>675</v>
      </c>
      <c r="N256" t="s">
        <v>701</v>
      </c>
      <c r="O256" t="s">
        <v>711</v>
      </c>
      <c r="P256" t="s">
        <v>721</v>
      </c>
      <c r="Q256" t="s">
        <v>727</v>
      </c>
      <c r="R256" t="s">
        <v>1298</v>
      </c>
      <c r="S256" s="6">
        <v>1233.52</v>
      </c>
      <c r="T256" s="6">
        <v>1543.76</v>
      </c>
      <c r="U256" s="6">
        <f t="shared" si="35"/>
        <v>1543.76</v>
      </c>
      <c r="V256" s="8">
        <v>0.126</v>
      </c>
      <c r="W256" s="6">
        <v>13</v>
      </c>
      <c r="X256" s="6">
        <f t="shared" si="36"/>
        <v>17540.201120000002</v>
      </c>
      <c r="Y256">
        <f t="shared" si="37"/>
        <v>16035.76</v>
      </c>
      <c r="Z256" s="6">
        <f t="shared" si="38"/>
        <v>1504.4411200000013</v>
      </c>
      <c r="AA256">
        <f t="shared" si="39"/>
        <v>8.5771030201277493E-2</v>
      </c>
      <c r="AB256" t="str">
        <f t="shared" si="40"/>
        <v>2-2024</v>
      </c>
      <c r="AC256" t="str">
        <f t="shared" si="41"/>
        <v>Q1-2024</v>
      </c>
      <c r="AD256" t="str">
        <f t="shared" si="42"/>
        <v>Africa →Kenya →Mombasa</v>
      </c>
      <c r="AE256" t="str">
        <f t="shared" si="43"/>
        <v>Medium</v>
      </c>
      <c r="AF256" t="str">
        <f>TEXT(Table1[[#This Row],[OrderDate]],"MMM")</f>
        <v>Feb</v>
      </c>
      <c r="AG256" t="str">
        <f>TEXT(Table1[[#This Row],[OrderDate]],"YYYY")</f>
        <v>2024</v>
      </c>
      <c r="AI256" s="4">
        <f>IF(Table1[[#This Row],[RequiredDate]]&lt;Table1[[#This Row],[OrderDate]], Table1[[#This Row],[OrderDate]]+7, Table1[[#This Row],[RequiredDate]])</f>
        <v>45331</v>
      </c>
      <c r="AJ256">
        <f>IF(Dashboard!$D$3&gt;'Staging Data'!V256,'Staging Data'!V256,Dashboard!D$3)</f>
        <v>0.126</v>
      </c>
      <c r="AK256" s="19">
        <f>(100%+Dashboard!$D$4)*'Staging Data'!S256</f>
        <v>1295.1960000000001</v>
      </c>
      <c r="AL256">
        <f>(100%+Dashboard!$D$5)*'Staging Data'!W256</f>
        <v>14.95</v>
      </c>
    </row>
    <row r="257" spans="1:38" x14ac:dyDescent="0.35">
      <c r="A257" s="6" t="s">
        <v>211</v>
      </c>
      <c r="B257" s="4">
        <v>45333</v>
      </c>
      <c r="C257" s="4">
        <v>45354</v>
      </c>
      <c r="D257" s="4">
        <f>IF(Table1[[#This Row],[RequiredDate]]&lt;Table1[[#This Row],[OrderDate]],Table1[[#This Row],[RequiredDate]],Table1[[#This Row],[OrderDate]])</f>
        <v>45333</v>
      </c>
      <c r="E257" s="4">
        <f>IF(Table1[[#This Row],[RequiredDate]]&gt;Table1[[#This Row],[OrderDate]],Table1[[#This Row],[RequiredDate]],Table1[[#This Row],[OrderDate]])</f>
        <v>45354</v>
      </c>
      <c r="F257" s="21">
        <f>Table1[[#This Row],[New RD]]-Table1[[#This Row],[new   od]]</f>
        <v>21</v>
      </c>
      <c r="G257" s="4">
        <f>IF(Table1[[#This Row],[RequiredDate]]&lt;Table1[[#This Row],[OrderDate]], Table1[[#This Row],[OrderDate]]+7, Table1[[#This Row],[RequiredDate]])</f>
        <v>45354</v>
      </c>
      <c r="H257" s="21">
        <f t="shared" si="33"/>
        <v>21</v>
      </c>
      <c r="I257" s="6" t="str">
        <f>IF(Table1[[#This Row],[New LTD]]&lt;=7,"Yes","No")</f>
        <v>No</v>
      </c>
      <c r="J257" s="6" t="str">
        <f t="shared" si="34"/>
        <v>No</v>
      </c>
      <c r="K257" t="s">
        <v>646</v>
      </c>
      <c r="L257" t="s">
        <v>650</v>
      </c>
      <c r="M257" t="s">
        <v>662</v>
      </c>
      <c r="N257" t="s">
        <v>706</v>
      </c>
      <c r="O257" t="s">
        <v>708</v>
      </c>
      <c r="P257" t="s">
        <v>717</v>
      </c>
      <c r="Q257" t="s">
        <v>730</v>
      </c>
      <c r="R257" t="s">
        <v>931</v>
      </c>
      <c r="S257" s="6">
        <v>516.86</v>
      </c>
      <c r="T257" s="6">
        <v>852.54</v>
      </c>
      <c r="U257" s="6">
        <f t="shared" si="35"/>
        <v>852.54</v>
      </c>
      <c r="V257" s="8">
        <v>5.0999999999999997E-2</v>
      </c>
      <c r="W257" s="6">
        <v>14</v>
      </c>
      <c r="X257" s="6">
        <f t="shared" si="36"/>
        <v>11326.846439999999</v>
      </c>
      <c r="Y257">
        <f t="shared" si="37"/>
        <v>7236.04</v>
      </c>
      <c r="Z257" s="6">
        <f t="shared" si="38"/>
        <v>4090.8064399999994</v>
      </c>
      <c r="AA257">
        <f t="shared" si="39"/>
        <v>0.36116022775355994</v>
      </c>
      <c r="AB257" t="str">
        <f t="shared" si="40"/>
        <v>2-2024</v>
      </c>
      <c r="AC257" t="str">
        <f t="shared" si="41"/>
        <v>Q1-2024</v>
      </c>
      <c r="AD257" t="str">
        <f t="shared" si="42"/>
        <v>Africa →Kenya →Kisumu</v>
      </c>
      <c r="AE257" t="str">
        <f t="shared" si="43"/>
        <v>Medium</v>
      </c>
      <c r="AF257" t="str">
        <f>TEXT(Table1[[#This Row],[OrderDate]],"MMM")</f>
        <v>Feb</v>
      </c>
      <c r="AG257" t="str">
        <f>TEXT(Table1[[#This Row],[OrderDate]],"YYYY")</f>
        <v>2024</v>
      </c>
      <c r="AI257" s="4">
        <f>IF(Table1[[#This Row],[RequiredDate]]&lt;Table1[[#This Row],[OrderDate]], Table1[[#This Row],[OrderDate]]+7, Table1[[#This Row],[RequiredDate]])</f>
        <v>45354</v>
      </c>
      <c r="AJ257">
        <f>IF(Dashboard!$D$3&gt;'Staging Data'!V257,'Staging Data'!V257,Dashboard!D$3)</f>
        <v>5.0999999999999997E-2</v>
      </c>
      <c r="AK257" s="19">
        <f>(100%+Dashboard!$D$4)*'Staging Data'!S257</f>
        <v>542.70300000000009</v>
      </c>
      <c r="AL257">
        <f>(100%+Dashboard!$D$5)*'Staging Data'!W257</f>
        <v>16.099999999999998</v>
      </c>
    </row>
    <row r="258" spans="1:38" x14ac:dyDescent="0.35">
      <c r="A258" s="6" t="s">
        <v>154</v>
      </c>
      <c r="B258" s="4">
        <v>45336</v>
      </c>
      <c r="C258" s="4">
        <v>45336</v>
      </c>
      <c r="D258" s="4">
        <f>IF(Table1[[#This Row],[RequiredDate]]&lt;Table1[[#This Row],[OrderDate]],Table1[[#This Row],[RequiredDate]],Table1[[#This Row],[OrderDate]])</f>
        <v>45336</v>
      </c>
      <c r="E258" s="4">
        <f>IF(Table1[[#This Row],[RequiredDate]]&gt;Table1[[#This Row],[OrderDate]],Table1[[#This Row],[RequiredDate]],Table1[[#This Row],[OrderDate]])</f>
        <v>45336</v>
      </c>
      <c r="F258" s="21">
        <f>Table1[[#This Row],[New RD]]-Table1[[#This Row],[new   od]]</f>
        <v>0</v>
      </c>
      <c r="G258" s="4">
        <f>IF(Table1[[#This Row],[RequiredDate]]&lt;Table1[[#This Row],[OrderDate]], Table1[[#This Row],[OrderDate]]+7, Table1[[#This Row],[RequiredDate]])</f>
        <v>45336</v>
      </c>
      <c r="H258" s="21">
        <f t="shared" ref="H258:H321" si="44">G258-B258</f>
        <v>0</v>
      </c>
      <c r="I258" s="6" t="str">
        <f>IF(Table1[[#This Row],[New LTD]]&lt;=7,"Yes","No")</f>
        <v>Yes</v>
      </c>
      <c r="J258" s="6" t="str">
        <f t="shared" ref="J258:J321" si="45">IF(V258&gt;20%,"Yes","No")</f>
        <v>Yes</v>
      </c>
      <c r="K258" t="s">
        <v>647</v>
      </c>
      <c r="L258" t="s">
        <v>659</v>
      </c>
      <c r="M258" t="s">
        <v>699</v>
      </c>
      <c r="N258" t="s">
        <v>701</v>
      </c>
      <c r="O258" t="s">
        <v>710</v>
      </c>
      <c r="P258" t="s">
        <v>716</v>
      </c>
      <c r="Q258" t="s">
        <v>733</v>
      </c>
      <c r="R258" t="s">
        <v>873</v>
      </c>
      <c r="S258" s="6">
        <v>65.930000000000007</v>
      </c>
      <c r="T258" s="6">
        <v>84.9</v>
      </c>
      <c r="U258" s="6">
        <f t="shared" ref="U258:U321" si="46">ABS(T258)</f>
        <v>84.9</v>
      </c>
      <c r="V258" s="8">
        <v>0.25900000000000001</v>
      </c>
      <c r="W258" s="6">
        <v>23</v>
      </c>
      <c r="X258" s="6">
        <f t="shared" ref="X258:X321" si="47">U258*W258*(1-V258)</f>
        <v>1446.9507000000001</v>
      </c>
      <c r="Y258">
        <f t="shared" ref="Y258:Y321" si="48">S258*W258</f>
        <v>1516.39</v>
      </c>
      <c r="Z258" s="6">
        <f t="shared" ref="Z258:Z321" si="49">X258-Y258</f>
        <v>-69.439300000000003</v>
      </c>
      <c r="AA258">
        <f t="shared" ref="AA258:AA321" si="50">IF(X258=0, 0, Z258/ X258)</f>
        <v>-4.7990093926489688E-2</v>
      </c>
      <c r="AB258" t="str">
        <f t="shared" ref="AB258:AB321" si="51">_xlfn.CONCAT(MONTH(B258),"-",YEAR(B258))</f>
        <v>2-2024</v>
      </c>
      <c r="AC258" t="str">
        <f t="shared" ref="AC258:AC321" si="52">"Q"&amp;ROUNDUP(MONTH(B258)/3,0)&amp;"-"&amp;YEAR(B258)</f>
        <v>Q1-2024</v>
      </c>
      <c r="AD258" t="str">
        <f t="shared" ref="AD258:AD321" si="53">_xlfn.CONCAT(K258," →",L258," →",M258)</f>
        <v>Asia →China →Beijing</v>
      </c>
      <c r="AE258" t="str">
        <f t="shared" ref="AE258:AE280" si="54">IF(T258&lt;=LowerCutOff,"Low", IF(T258&lt;=HigherCutOff,"Medium","High"))</f>
        <v>Low</v>
      </c>
      <c r="AF258" t="str">
        <f>TEXT(Table1[[#This Row],[OrderDate]],"MMM")</f>
        <v>Feb</v>
      </c>
      <c r="AG258" t="str">
        <f>TEXT(Table1[[#This Row],[OrderDate]],"YYYY")</f>
        <v>2024</v>
      </c>
      <c r="AI258" s="4">
        <f>IF(Table1[[#This Row],[RequiredDate]]&lt;Table1[[#This Row],[OrderDate]], Table1[[#This Row],[OrderDate]]+7, Table1[[#This Row],[RequiredDate]])</f>
        <v>45336</v>
      </c>
      <c r="AJ258">
        <f>IF(Dashboard!$D$3&gt;'Staging Data'!V258,'Staging Data'!V258,Dashboard!D$3)</f>
        <v>0.2</v>
      </c>
      <c r="AK258" s="19">
        <f>(100%+Dashboard!$D$4)*'Staging Data'!S258</f>
        <v>69.226500000000016</v>
      </c>
      <c r="AL258">
        <f>(100%+Dashboard!$D$5)*'Staging Data'!W258</f>
        <v>26.45</v>
      </c>
    </row>
    <row r="259" spans="1:38" x14ac:dyDescent="0.35">
      <c r="A259" s="6" t="s">
        <v>260</v>
      </c>
      <c r="B259" s="4">
        <v>45338</v>
      </c>
      <c r="C259" s="4">
        <v>45355</v>
      </c>
      <c r="D259" s="4">
        <f>IF(Table1[[#This Row],[RequiredDate]]&lt;Table1[[#This Row],[OrderDate]],Table1[[#This Row],[RequiredDate]],Table1[[#This Row],[OrderDate]])</f>
        <v>45338</v>
      </c>
      <c r="E259" s="4">
        <f>IF(Table1[[#This Row],[RequiredDate]]&gt;Table1[[#This Row],[OrderDate]],Table1[[#This Row],[RequiredDate]],Table1[[#This Row],[OrderDate]])</f>
        <v>45355</v>
      </c>
      <c r="F259" s="21">
        <f>Table1[[#This Row],[New RD]]-Table1[[#This Row],[new   od]]</f>
        <v>17</v>
      </c>
      <c r="G259" s="4">
        <f>IF(Table1[[#This Row],[RequiredDate]]&lt;Table1[[#This Row],[OrderDate]], Table1[[#This Row],[OrderDate]]+7, Table1[[#This Row],[RequiredDate]])</f>
        <v>45355</v>
      </c>
      <c r="H259" s="21">
        <f t="shared" si="44"/>
        <v>17</v>
      </c>
      <c r="I259" s="6" t="str">
        <f>IF(Table1[[#This Row],[New LTD]]&lt;=7,"Yes","No")</f>
        <v>No</v>
      </c>
      <c r="J259" s="6" t="str">
        <f t="shared" si="45"/>
        <v>Yes</v>
      </c>
      <c r="K259" t="s">
        <v>648</v>
      </c>
      <c r="L259" t="s">
        <v>653</v>
      </c>
      <c r="M259" t="s">
        <v>681</v>
      </c>
      <c r="N259" t="s">
        <v>703</v>
      </c>
      <c r="O259" t="s">
        <v>707</v>
      </c>
      <c r="P259" t="s">
        <v>726</v>
      </c>
      <c r="Q259" t="s">
        <v>731</v>
      </c>
      <c r="R259" t="s">
        <v>980</v>
      </c>
      <c r="S259" s="6">
        <v>1350.98</v>
      </c>
      <c r="T259" s="6">
        <v>2210.4</v>
      </c>
      <c r="U259" s="6">
        <f t="shared" si="46"/>
        <v>2210.4</v>
      </c>
      <c r="V259" s="8">
        <v>0.26300000000000001</v>
      </c>
      <c r="W259" s="6">
        <v>6</v>
      </c>
      <c r="X259" s="6">
        <f t="shared" si="47"/>
        <v>9774.3888000000006</v>
      </c>
      <c r="Y259">
        <f t="shared" si="48"/>
        <v>8105.88</v>
      </c>
      <c r="Z259" s="6">
        <f t="shared" si="49"/>
        <v>1668.5088000000005</v>
      </c>
      <c r="AA259">
        <f t="shared" si="50"/>
        <v>0.17070211080615091</v>
      </c>
      <c r="AB259" t="str">
        <f t="shared" si="51"/>
        <v>2-2024</v>
      </c>
      <c r="AC259" t="str">
        <f t="shared" si="52"/>
        <v>Q1-2024</v>
      </c>
      <c r="AD259" t="str">
        <f t="shared" si="53"/>
        <v>Americas →Canada →Montreal</v>
      </c>
      <c r="AE259" t="str">
        <f t="shared" si="54"/>
        <v>High</v>
      </c>
      <c r="AF259" t="str">
        <f>TEXT(Table1[[#This Row],[OrderDate]],"MMM")</f>
        <v>Feb</v>
      </c>
      <c r="AG259" t="str">
        <f>TEXT(Table1[[#This Row],[OrderDate]],"YYYY")</f>
        <v>2024</v>
      </c>
      <c r="AI259" s="4">
        <f>IF(Table1[[#This Row],[RequiredDate]]&lt;Table1[[#This Row],[OrderDate]], Table1[[#This Row],[OrderDate]]+7, Table1[[#This Row],[RequiredDate]])</f>
        <v>45355</v>
      </c>
      <c r="AJ259">
        <f>IF(Dashboard!$D$3&gt;'Staging Data'!V259,'Staging Data'!V259,Dashboard!D$3)</f>
        <v>0.2</v>
      </c>
      <c r="AK259" s="19">
        <f>(100%+Dashboard!$D$4)*'Staging Data'!S259</f>
        <v>1418.529</v>
      </c>
      <c r="AL259">
        <f>(100%+Dashboard!$D$5)*'Staging Data'!W259</f>
        <v>6.8999999999999995</v>
      </c>
    </row>
    <row r="260" spans="1:38" x14ac:dyDescent="0.35">
      <c r="A260" s="6" t="s">
        <v>357</v>
      </c>
      <c r="B260" s="4">
        <v>45339</v>
      </c>
      <c r="C260" s="4">
        <v>45355</v>
      </c>
      <c r="D260" s="4">
        <f>IF(Table1[[#This Row],[RequiredDate]]&lt;Table1[[#This Row],[OrderDate]],Table1[[#This Row],[RequiredDate]],Table1[[#This Row],[OrderDate]])</f>
        <v>45339</v>
      </c>
      <c r="E260" s="4">
        <f>IF(Table1[[#This Row],[RequiredDate]]&gt;Table1[[#This Row],[OrderDate]],Table1[[#This Row],[RequiredDate]],Table1[[#This Row],[OrderDate]])</f>
        <v>45355</v>
      </c>
      <c r="F260" s="21">
        <f>Table1[[#This Row],[New RD]]-Table1[[#This Row],[new   od]]</f>
        <v>16</v>
      </c>
      <c r="G260" s="4">
        <f>IF(Table1[[#This Row],[RequiredDate]]&lt;Table1[[#This Row],[OrderDate]], Table1[[#This Row],[OrderDate]]+7, Table1[[#This Row],[RequiredDate]])</f>
        <v>45355</v>
      </c>
      <c r="H260" s="21">
        <f t="shared" si="44"/>
        <v>16</v>
      </c>
      <c r="I260" s="6" t="str">
        <f>IF(Table1[[#This Row],[New LTD]]&lt;=7,"Yes","No")</f>
        <v>No</v>
      </c>
      <c r="J260" s="6" t="str">
        <f t="shared" si="45"/>
        <v>Yes</v>
      </c>
      <c r="K260" t="s">
        <v>647</v>
      </c>
      <c r="L260" t="s">
        <v>654</v>
      </c>
      <c r="M260" t="s">
        <v>680</v>
      </c>
      <c r="N260" t="s">
        <v>705</v>
      </c>
      <c r="O260" t="s">
        <v>709</v>
      </c>
      <c r="P260" t="s">
        <v>721</v>
      </c>
      <c r="Q260" t="s">
        <v>730</v>
      </c>
      <c r="R260" t="s">
        <v>1077</v>
      </c>
      <c r="S260" s="6">
        <v>1231.8</v>
      </c>
      <c r="T260" s="6">
        <v>2015.99</v>
      </c>
      <c r="U260" s="6">
        <f t="shared" si="46"/>
        <v>2015.99</v>
      </c>
      <c r="V260" s="8">
        <v>0.26100000000000001</v>
      </c>
      <c r="W260" s="6">
        <v>6</v>
      </c>
      <c r="X260" s="6">
        <f t="shared" si="47"/>
        <v>8938.8996600000009</v>
      </c>
      <c r="Y260">
        <f t="shared" si="48"/>
        <v>7390.7999999999993</v>
      </c>
      <c r="Z260" s="6">
        <f t="shared" si="49"/>
        <v>1548.0996600000017</v>
      </c>
      <c r="AA260">
        <f t="shared" si="50"/>
        <v>0.17318682599464391</v>
      </c>
      <c r="AB260" t="str">
        <f t="shared" si="51"/>
        <v>2-2024</v>
      </c>
      <c r="AC260" t="str">
        <f t="shared" si="52"/>
        <v>Q1-2024</v>
      </c>
      <c r="AD260" t="str">
        <f t="shared" si="53"/>
        <v>Asia →India →Delhi</v>
      </c>
      <c r="AE260" t="str">
        <f t="shared" si="54"/>
        <v>High</v>
      </c>
      <c r="AF260" t="str">
        <f>TEXT(Table1[[#This Row],[OrderDate]],"MMM")</f>
        <v>Feb</v>
      </c>
      <c r="AG260" t="str">
        <f>TEXT(Table1[[#This Row],[OrderDate]],"YYYY")</f>
        <v>2024</v>
      </c>
      <c r="AI260" s="4">
        <f>IF(Table1[[#This Row],[RequiredDate]]&lt;Table1[[#This Row],[OrderDate]], Table1[[#This Row],[OrderDate]]+7, Table1[[#This Row],[RequiredDate]])</f>
        <v>45355</v>
      </c>
      <c r="AJ260">
        <f>IF(Dashboard!$D$3&gt;'Staging Data'!V260,'Staging Data'!V260,Dashboard!D$3)</f>
        <v>0.2</v>
      </c>
      <c r="AK260" s="19">
        <f>(100%+Dashboard!$D$4)*'Staging Data'!S260</f>
        <v>1293.3900000000001</v>
      </c>
      <c r="AL260">
        <f>(100%+Dashboard!$D$5)*'Staging Data'!W260</f>
        <v>6.8999999999999995</v>
      </c>
    </row>
    <row r="261" spans="1:38" x14ac:dyDescent="0.35">
      <c r="A261" s="6" t="s">
        <v>168</v>
      </c>
      <c r="B261" s="4">
        <v>45340</v>
      </c>
      <c r="C261" s="4">
        <v>45355</v>
      </c>
      <c r="D261" s="4">
        <f>IF(Table1[[#This Row],[RequiredDate]]&lt;Table1[[#This Row],[OrderDate]],Table1[[#This Row],[RequiredDate]],Table1[[#This Row],[OrderDate]])</f>
        <v>45340</v>
      </c>
      <c r="E261" s="4">
        <f>IF(Table1[[#This Row],[RequiredDate]]&gt;Table1[[#This Row],[OrderDate]],Table1[[#This Row],[RequiredDate]],Table1[[#This Row],[OrderDate]])</f>
        <v>45355</v>
      </c>
      <c r="F261" s="21">
        <f>Table1[[#This Row],[New RD]]-Table1[[#This Row],[new   od]]</f>
        <v>15</v>
      </c>
      <c r="G261" s="4">
        <f>IF(Table1[[#This Row],[RequiredDate]]&lt;Table1[[#This Row],[OrderDate]], Table1[[#This Row],[OrderDate]]+7, Table1[[#This Row],[RequiredDate]])</f>
        <v>45355</v>
      </c>
      <c r="H261" s="21">
        <f t="shared" si="44"/>
        <v>15</v>
      </c>
      <c r="I261" s="6" t="str">
        <f>IF(Table1[[#This Row],[New LTD]]&lt;=7,"Yes","No")</f>
        <v>No</v>
      </c>
      <c r="J261" s="6" t="str">
        <f t="shared" si="45"/>
        <v>No</v>
      </c>
      <c r="K261" t="s">
        <v>646</v>
      </c>
      <c r="L261" t="s">
        <v>650</v>
      </c>
      <c r="M261" t="s">
        <v>662</v>
      </c>
      <c r="N261" t="s">
        <v>702</v>
      </c>
      <c r="O261" t="s">
        <v>711</v>
      </c>
      <c r="P261" t="s">
        <v>723</v>
      </c>
      <c r="Q261" t="s">
        <v>728</v>
      </c>
      <c r="R261" t="s">
        <v>887</v>
      </c>
      <c r="S261" s="6">
        <v>928.68</v>
      </c>
      <c r="T261" s="6">
        <v>2145.17</v>
      </c>
      <c r="U261" s="6">
        <f t="shared" si="46"/>
        <v>2145.17</v>
      </c>
      <c r="V261" s="8">
        <v>0.13600000000000001</v>
      </c>
      <c r="W261" s="6">
        <v>16</v>
      </c>
      <c r="X261" s="6">
        <f t="shared" si="47"/>
        <v>29654.83008</v>
      </c>
      <c r="Y261">
        <f t="shared" si="48"/>
        <v>14858.88</v>
      </c>
      <c r="Z261" s="6">
        <f t="shared" si="49"/>
        <v>14795.950080000001</v>
      </c>
      <c r="AA261">
        <f t="shared" si="50"/>
        <v>0.49893896003062177</v>
      </c>
      <c r="AB261" t="str">
        <f t="shared" si="51"/>
        <v>2-2024</v>
      </c>
      <c r="AC261" t="str">
        <f t="shared" si="52"/>
        <v>Q1-2024</v>
      </c>
      <c r="AD261" t="str">
        <f t="shared" si="53"/>
        <v>Africa →Kenya →Kisumu</v>
      </c>
      <c r="AE261" t="str">
        <f t="shared" si="54"/>
        <v>High</v>
      </c>
      <c r="AF261" t="str">
        <f>TEXT(Table1[[#This Row],[OrderDate]],"MMM")</f>
        <v>Feb</v>
      </c>
      <c r="AG261" t="str">
        <f>TEXT(Table1[[#This Row],[OrderDate]],"YYYY")</f>
        <v>2024</v>
      </c>
      <c r="AI261" s="4">
        <f>IF(Table1[[#This Row],[RequiredDate]]&lt;Table1[[#This Row],[OrderDate]], Table1[[#This Row],[OrderDate]]+7, Table1[[#This Row],[RequiredDate]])</f>
        <v>45355</v>
      </c>
      <c r="AJ261">
        <f>IF(Dashboard!$D$3&gt;'Staging Data'!V261,'Staging Data'!V261,Dashboard!D$3)</f>
        <v>0.13600000000000001</v>
      </c>
      <c r="AK261" s="19">
        <f>(100%+Dashboard!$D$4)*'Staging Data'!S261</f>
        <v>975.11400000000003</v>
      </c>
      <c r="AL261">
        <f>(100%+Dashboard!$D$5)*'Staging Data'!W261</f>
        <v>18.399999999999999</v>
      </c>
    </row>
    <row r="262" spans="1:38" x14ac:dyDescent="0.35">
      <c r="A262" s="6" t="s">
        <v>337</v>
      </c>
      <c r="B262" s="4">
        <v>45340</v>
      </c>
      <c r="C262" s="4">
        <v>45362</v>
      </c>
      <c r="D262" s="4">
        <f>IF(Table1[[#This Row],[RequiredDate]]&lt;Table1[[#This Row],[OrderDate]],Table1[[#This Row],[RequiredDate]],Table1[[#This Row],[OrderDate]])</f>
        <v>45340</v>
      </c>
      <c r="E262" s="4">
        <f>IF(Table1[[#This Row],[RequiredDate]]&gt;Table1[[#This Row],[OrderDate]],Table1[[#This Row],[RequiredDate]],Table1[[#This Row],[OrderDate]])</f>
        <v>45362</v>
      </c>
      <c r="F262" s="21">
        <f>Table1[[#This Row],[New RD]]-Table1[[#This Row],[new   od]]</f>
        <v>22</v>
      </c>
      <c r="G262" s="4">
        <f>IF(Table1[[#This Row],[RequiredDate]]&lt;Table1[[#This Row],[OrderDate]], Table1[[#This Row],[OrderDate]]+7, Table1[[#This Row],[RequiredDate]])</f>
        <v>45362</v>
      </c>
      <c r="H262" s="21">
        <f t="shared" si="44"/>
        <v>22</v>
      </c>
      <c r="I262" s="6" t="str">
        <f>IF(Table1[[#This Row],[New LTD]]&lt;=7,"Yes","No")</f>
        <v>No</v>
      </c>
      <c r="J262" s="6" t="str">
        <f t="shared" si="45"/>
        <v>No</v>
      </c>
      <c r="K262" t="s">
        <v>648</v>
      </c>
      <c r="L262" t="s">
        <v>655</v>
      </c>
      <c r="M262" t="s">
        <v>670</v>
      </c>
      <c r="N262" t="s">
        <v>704</v>
      </c>
      <c r="O262" t="s">
        <v>708</v>
      </c>
      <c r="P262" t="s">
        <v>720</v>
      </c>
      <c r="Q262" t="s">
        <v>727</v>
      </c>
      <c r="R262" t="s">
        <v>1057</v>
      </c>
      <c r="S262" s="6">
        <v>80.48</v>
      </c>
      <c r="T262" s="6">
        <v>65.650000000000006</v>
      </c>
      <c r="U262" s="6">
        <f t="shared" si="46"/>
        <v>65.650000000000006</v>
      </c>
      <c r="V262" s="8">
        <v>0.17599999999999999</v>
      </c>
      <c r="W262" s="6">
        <v>13</v>
      </c>
      <c r="X262" s="6">
        <f t="shared" si="47"/>
        <v>703.2428000000001</v>
      </c>
      <c r="Y262">
        <f t="shared" si="48"/>
        <v>1046.24</v>
      </c>
      <c r="Z262" s="6">
        <f t="shared" si="49"/>
        <v>-342.99719999999991</v>
      </c>
      <c r="AA262">
        <f t="shared" si="50"/>
        <v>-0.48773652570634191</v>
      </c>
      <c r="AB262" t="str">
        <f t="shared" si="51"/>
        <v>2-2024</v>
      </c>
      <c r="AC262" t="str">
        <f t="shared" si="52"/>
        <v>Q1-2024</v>
      </c>
      <c r="AD262" t="str">
        <f t="shared" si="53"/>
        <v>Americas →Brazil →São Paulo</v>
      </c>
      <c r="AE262" t="str">
        <f t="shared" si="54"/>
        <v>Low</v>
      </c>
      <c r="AF262" t="str">
        <f>TEXT(Table1[[#This Row],[OrderDate]],"MMM")</f>
        <v>Feb</v>
      </c>
      <c r="AG262" t="str">
        <f>TEXT(Table1[[#This Row],[OrderDate]],"YYYY")</f>
        <v>2024</v>
      </c>
      <c r="AI262" s="4">
        <f>IF(Table1[[#This Row],[RequiredDate]]&lt;Table1[[#This Row],[OrderDate]], Table1[[#This Row],[OrderDate]]+7, Table1[[#This Row],[RequiredDate]])</f>
        <v>45362</v>
      </c>
      <c r="AJ262">
        <f>IF(Dashboard!$D$3&gt;'Staging Data'!V262,'Staging Data'!V262,Dashboard!D$3)</f>
        <v>0.17599999999999999</v>
      </c>
      <c r="AK262" s="19">
        <f>(100%+Dashboard!$D$4)*'Staging Data'!S262</f>
        <v>84.504000000000005</v>
      </c>
      <c r="AL262">
        <f>(100%+Dashboard!$D$5)*'Staging Data'!W262</f>
        <v>14.95</v>
      </c>
    </row>
    <row r="263" spans="1:38" x14ac:dyDescent="0.35">
      <c r="A263" s="6" t="s">
        <v>351</v>
      </c>
      <c r="B263" s="4">
        <v>45340</v>
      </c>
      <c r="C263" s="4">
        <v>45354</v>
      </c>
      <c r="D263" s="4">
        <f>IF(Table1[[#This Row],[RequiredDate]]&lt;Table1[[#This Row],[OrderDate]],Table1[[#This Row],[RequiredDate]],Table1[[#This Row],[OrderDate]])</f>
        <v>45340</v>
      </c>
      <c r="E263" s="4">
        <f>IF(Table1[[#This Row],[RequiredDate]]&gt;Table1[[#This Row],[OrderDate]],Table1[[#This Row],[RequiredDate]],Table1[[#This Row],[OrderDate]])</f>
        <v>45354</v>
      </c>
      <c r="F263" s="21">
        <f>Table1[[#This Row],[New RD]]-Table1[[#This Row],[new   od]]</f>
        <v>14</v>
      </c>
      <c r="G263" s="4">
        <f>IF(Table1[[#This Row],[RequiredDate]]&lt;Table1[[#This Row],[OrderDate]], Table1[[#This Row],[OrderDate]]+7, Table1[[#This Row],[RequiredDate]])</f>
        <v>45354</v>
      </c>
      <c r="H263" s="21">
        <f t="shared" si="44"/>
        <v>14</v>
      </c>
      <c r="I263" s="6" t="str">
        <f>IF(Table1[[#This Row],[New LTD]]&lt;=7,"Yes","No")</f>
        <v>No</v>
      </c>
      <c r="J263" s="6" t="str">
        <f t="shared" si="45"/>
        <v>Yes</v>
      </c>
      <c r="K263" t="s">
        <v>648</v>
      </c>
      <c r="L263" t="s">
        <v>655</v>
      </c>
      <c r="M263" t="s">
        <v>1423</v>
      </c>
      <c r="N263" t="s">
        <v>706</v>
      </c>
      <c r="O263" t="s">
        <v>710</v>
      </c>
      <c r="P263" t="s">
        <v>720</v>
      </c>
      <c r="Q263" t="s">
        <v>728</v>
      </c>
      <c r="R263" t="s">
        <v>1071</v>
      </c>
      <c r="S263" s="6">
        <v>624.23</v>
      </c>
      <c r="T263" s="6">
        <v>1318.37</v>
      </c>
      <c r="U263" s="6">
        <f t="shared" si="46"/>
        <v>1318.37</v>
      </c>
      <c r="V263" s="8">
        <v>0.21</v>
      </c>
      <c r="W263" s="6">
        <v>37</v>
      </c>
      <c r="X263" s="6">
        <f t="shared" si="47"/>
        <v>38535.955099999999</v>
      </c>
      <c r="Y263">
        <f t="shared" si="48"/>
        <v>23096.510000000002</v>
      </c>
      <c r="Z263" s="6">
        <f t="shared" si="49"/>
        <v>15439.445099999997</v>
      </c>
      <c r="AA263">
        <f t="shared" si="50"/>
        <v>0.40065038118128793</v>
      </c>
      <c r="AB263" t="str">
        <f t="shared" si="51"/>
        <v>2-2024</v>
      </c>
      <c r="AC263" t="str">
        <f t="shared" si="52"/>
        <v>Q1-2024</v>
      </c>
      <c r="AD263" t="str">
        <f t="shared" si="53"/>
        <v>Americas →Brazil →N/A</v>
      </c>
      <c r="AE263" t="str">
        <f t="shared" si="54"/>
        <v>Medium</v>
      </c>
      <c r="AF263" t="str">
        <f>TEXT(Table1[[#This Row],[OrderDate]],"MMM")</f>
        <v>Feb</v>
      </c>
      <c r="AG263" t="str">
        <f>TEXT(Table1[[#This Row],[OrderDate]],"YYYY")</f>
        <v>2024</v>
      </c>
      <c r="AI263" s="4">
        <f>IF(Table1[[#This Row],[RequiredDate]]&lt;Table1[[#This Row],[OrderDate]], Table1[[#This Row],[OrderDate]]+7, Table1[[#This Row],[RequiredDate]])</f>
        <v>45354</v>
      </c>
      <c r="AJ263">
        <f>IF(Dashboard!$D$3&gt;'Staging Data'!V263,'Staging Data'!V263,Dashboard!D$3)</f>
        <v>0.2</v>
      </c>
      <c r="AK263" s="19">
        <f>(100%+Dashboard!$D$4)*'Staging Data'!S263</f>
        <v>655.44150000000002</v>
      </c>
      <c r="AL263">
        <f>(100%+Dashboard!$D$5)*'Staging Data'!W263</f>
        <v>42.55</v>
      </c>
    </row>
    <row r="264" spans="1:38" x14ac:dyDescent="0.35">
      <c r="A264" s="6" t="s">
        <v>438</v>
      </c>
      <c r="B264" s="4">
        <v>45341</v>
      </c>
      <c r="C264" s="4">
        <v>45357</v>
      </c>
      <c r="D264" s="4">
        <f>IF(Table1[[#This Row],[RequiredDate]]&lt;Table1[[#This Row],[OrderDate]],Table1[[#This Row],[RequiredDate]],Table1[[#This Row],[OrderDate]])</f>
        <v>45341</v>
      </c>
      <c r="E264" s="4">
        <f>IF(Table1[[#This Row],[RequiredDate]]&gt;Table1[[#This Row],[OrderDate]],Table1[[#This Row],[RequiredDate]],Table1[[#This Row],[OrderDate]])</f>
        <v>45357</v>
      </c>
      <c r="F264" s="21">
        <f>Table1[[#This Row],[New RD]]-Table1[[#This Row],[new   od]]</f>
        <v>16</v>
      </c>
      <c r="G264" s="4">
        <f>IF(Table1[[#This Row],[RequiredDate]]&lt;Table1[[#This Row],[OrderDate]], Table1[[#This Row],[OrderDate]]+7, Table1[[#This Row],[RequiredDate]])</f>
        <v>45357</v>
      </c>
      <c r="H264" s="21">
        <f t="shared" si="44"/>
        <v>16</v>
      </c>
      <c r="I264" s="6" t="str">
        <f>IF(Table1[[#This Row],[New LTD]]&lt;=7,"Yes","No")</f>
        <v>No</v>
      </c>
      <c r="J264" s="6" t="str">
        <f t="shared" si="45"/>
        <v>Yes</v>
      </c>
      <c r="K264" t="s">
        <v>647</v>
      </c>
      <c r="L264" t="s">
        <v>659</v>
      </c>
      <c r="M264" t="s">
        <v>699</v>
      </c>
      <c r="N264" t="s">
        <v>702</v>
      </c>
      <c r="O264" t="s">
        <v>709</v>
      </c>
      <c r="P264" t="s">
        <v>719</v>
      </c>
      <c r="Q264" t="s">
        <v>728</v>
      </c>
      <c r="R264" t="s">
        <v>1157</v>
      </c>
      <c r="S264" s="6">
        <v>1477.84</v>
      </c>
      <c r="T264" s="6">
        <v>3197.47</v>
      </c>
      <c r="U264" s="6">
        <f t="shared" si="46"/>
        <v>3197.47</v>
      </c>
      <c r="V264" s="8">
        <v>0.24299999999999999</v>
      </c>
      <c r="W264" s="6">
        <v>24</v>
      </c>
      <c r="X264" s="6">
        <f t="shared" si="47"/>
        <v>58091.634960000003</v>
      </c>
      <c r="Y264">
        <f t="shared" si="48"/>
        <v>35468.159999999996</v>
      </c>
      <c r="Z264" s="6">
        <f t="shared" si="49"/>
        <v>22623.474960000007</v>
      </c>
      <c r="AA264">
        <f t="shared" si="50"/>
        <v>0.38944462443823091</v>
      </c>
      <c r="AB264" t="str">
        <f t="shared" si="51"/>
        <v>2-2024</v>
      </c>
      <c r="AC264" t="str">
        <f t="shared" si="52"/>
        <v>Q1-2024</v>
      </c>
      <c r="AD264" t="str">
        <f t="shared" si="53"/>
        <v>Asia →China →Beijing</v>
      </c>
      <c r="AE264" t="str">
        <f t="shared" si="54"/>
        <v>High</v>
      </c>
      <c r="AF264" t="str">
        <f>TEXT(Table1[[#This Row],[OrderDate]],"MMM")</f>
        <v>Feb</v>
      </c>
      <c r="AG264" t="str">
        <f>TEXT(Table1[[#This Row],[OrderDate]],"YYYY")</f>
        <v>2024</v>
      </c>
      <c r="AI264" s="4">
        <f>IF(Table1[[#This Row],[RequiredDate]]&lt;Table1[[#This Row],[OrderDate]], Table1[[#This Row],[OrderDate]]+7, Table1[[#This Row],[RequiredDate]])</f>
        <v>45357</v>
      </c>
      <c r="AJ264">
        <f>IF(Dashboard!$D$3&gt;'Staging Data'!V264,'Staging Data'!V264,Dashboard!D$3)</f>
        <v>0.2</v>
      </c>
      <c r="AK264" s="19">
        <f>(100%+Dashboard!$D$4)*'Staging Data'!S264</f>
        <v>1551.732</v>
      </c>
      <c r="AL264">
        <f>(100%+Dashboard!$D$5)*'Staging Data'!W264</f>
        <v>27.599999999999998</v>
      </c>
    </row>
    <row r="265" spans="1:38" x14ac:dyDescent="0.35">
      <c r="A265" s="6" t="s">
        <v>583</v>
      </c>
      <c r="B265" s="4">
        <v>45342</v>
      </c>
      <c r="C265" s="4">
        <v>45342</v>
      </c>
      <c r="D265" s="4">
        <f>IF(Table1[[#This Row],[RequiredDate]]&lt;Table1[[#This Row],[OrderDate]],Table1[[#This Row],[RequiredDate]],Table1[[#This Row],[OrderDate]])</f>
        <v>45342</v>
      </c>
      <c r="E265" s="4">
        <f>IF(Table1[[#This Row],[RequiredDate]]&gt;Table1[[#This Row],[OrderDate]],Table1[[#This Row],[RequiredDate]],Table1[[#This Row],[OrderDate]])</f>
        <v>45342</v>
      </c>
      <c r="F265" s="21">
        <f>Table1[[#This Row],[New RD]]-Table1[[#This Row],[new   od]]</f>
        <v>0</v>
      </c>
      <c r="G265" s="4">
        <f>IF(Table1[[#This Row],[RequiredDate]]&lt;Table1[[#This Row],[OrderDate]], Table1[[#This Row],[OrderDate]]+7, Table1[[#This Row],[RequiredDate]])</f>
        <v>45342</v>
      </c>
      <c r="H265" s="21">
        <f t="shared" si="44"/>
        <v>0</v>
      </c>
      <c r="I265" s="6" t="str">
        <f>IF(Table1[[#This Row],[New LTD]]&lt;=7,"Yes","No")</f>
        <v>Yes</v>
      </c>
      <c r="J265" s="6" t="str">
        <f t="shared" si="45"/>
        <v>No</v>
      </c>
      <c r="K265" t="s">
        <v>648</v>
      </c>
      <c r="L265" t="s">
        <v>660</v>
      </c>
      <c r="M265" t="s">
        <v>700</v>
      </c>
      <c r="N265" t="s">
        <v>706</v>
      </c>
      <c r="O265" t="s">
        <v>708</v>
      </c>
      <c r="P265" t="s">
        <v>712</v>
      </c>
      <c r="Q265" t="s">
        <v>729</v>
      </c>
      <c r="R265" t="s">
        <v>1301</v>
      </c>
      <c r="S265" s="6">
        <v>1407.05</v>
      </c>
      <c r="T265" s="6">
        <v>2858.93</v>
      </c>
      <c r="U265" s="6">
        <f t="shared" si="46"/>
        <v>2858.93</v>
      </c>
      <c r="V265" s="8">
        <v>0</v>
      </c>
      <c r="W265" s="6">
        <v>12</v>
      </c>
      <c r="X265" s="6">
        <f t="shared" si="47"/>
        <v>34307.159999999996</v>
      </c>
      <c r="Y265">
        <f t="shared" si="48"/>
        <v>16884.599999999999</v>
      </c>
      <c r="Z265" s="6">
        <f t="shared" si="49"/>
        <v>17422.559999999998</v>
      </c>
      <c r="AA265">
        <f t="shared" si="50"/>
        <v>0.50784034586366222</v>
      </c>
      <c r="AB265" t="str">
        <f t="shared" si="51"/>
        <v>2-2024</v>
      </c>
      <c r="AC265" t="str">
        <f t="shared" si="52"/>
        <v>Q1-2024</v>
      </c>
      <c r="AD265" t="str">
        <f t="shared" si="53"/>
        <v>Americas →USA →New York</v>
      </c>
      <c r="AE265" t="str">
        <f t="shared" si="54"/>
        <v>High</v>
      </c>
      <c r="AF265" t="str">
        <f>TEXT(Table1[[#This Row],[OrderDate]],"MMM")</f>
        <v>Feb</v>
      </c>
      <c r="AG265" t="str">
        <f>TEXT(Table1[[#This Row],[OrderDate]],"YYYY")</f>
        <v>2024</v>
      </c>
      <c r="AI265" s="4">
        <f>IF(Table1[[#This Row],[RequiredDate]]&lt;Table1[[#This Row],[OrderDate]], Table1[[#This Row],[OrderDate]]+7, Table1[[#This Row],[RequiredDate]])</f>
        <v>45342</v>
      </c>
      <c r="AJ265">
        <f>IF(Dashboard!$D$3&gt;'Staging Data'!V265,'Staging Data'!V265,Dashboard!D$3)</f>
        <v>0</v>
      </c>
      <c r="AK265" s="19">
        <f>(100%+Dashboard!$D$4)*'Staging Data'!S265</f>
        <v>1477.4024999999999</v>
      </c>
      <c r="AL265">
        <f>(100%+Dashboard!$D$5)*'Staging Data'!W265</f>
        <v>13.799999999999999</v>
      </c>
    </row>
    <row r="266" spans="1:38" x14ac:dyDescent="0.35">
      <c r="A266" s="6" t="s">
        <v>442</v>
      </c>
      <c r="B266" s="4">
        <v>45347</v>
      </c>
      <c r="C266" s="4">
        <v>45360</v>
      </c>
      <c r="D266" s="4">
        <f>IF(Table1[[#This Row],[RequiredDate]]&lt;Table1[[#This Row],[OrderDate]],Table1[[#This Row],[RequiredDate]],Table1[[#This Row],[OrderDate]])</f>
        <v>45347</v>
      </c>
      <c r="E266" s="4">
        <f>IF(Table1[[#This Row],[RequiredDate]]&gt;Table1[[#This Row],[OrderDate]],Table1[[#This Row],[RequiredDate]],Table1[[#This Row],[OrderDate]])</f>
        <v>45360</v>
      </c>
      <c r="F266" s="21">
        <f>Table1[[#This Row],[New RD]]-Table1[[#This Row],[new   od]]</f>
        <v>13</v>
      </c>
      <c r="G266" s="4">
        <f>IF(Table1[[#This Row],[RequiredDate]]&lt;Table1[[#This Row],[OrderDate]], Table1[[#This Row],[OrderDate]]+7, Table1[[#This Row],[RequiredDate]])</f>
        <v>45360</v>
      </c>
      <c r="H266" s="21">
        <f t="shared" si="44"/>
        <v>13</v>
      </c>
      <c r="I266" s="6" t="str">
        <f>IF(Table1[[#This Row],[New LTD]]&lt;=7,"Yes","No")</f>
        <v>No</v>
      </c>
      <c r="J266" s="6" t="str">
        <f t="shared" si="45"/>
        <v>No</v>
      </c>
      <c r="K266" t="s">
        <v>649</v>
      </c>
      <c r="L266" t="s">
        <v>657</v>
      </c>
      <c r="M266" t="s">
        <v>673</v>
      </c>
      <c r="N266" t="s">
        <v>705</v>
      </c>
      <c r="O266" t="s">
        <v>710</v>
      </c>
      <c r="P266" t="s">
        <v>718</v>
      </c>
      <c r="Q266" t="s">
        <v>732</v>
      </c>
      <c r="R266" t="s">
        <v>1161</v>
      </c>
      <c r="S266" s="6">
        <v>322.44</v>
      </c>
      <c r="T266" s="6">
        <v>395.61</v>
      </c>
      <c r="U266" s="6">
        <f t="shared" si="46"/>
        <v>395.61</v>
      </c>
      <c r="V266" s="8">
        <v>0</v>
      </c>
      <c r="W266" s="6">
        <v>34</v>
      </c>
      <c r="X266" s="6">
        <f t="shared" si="47"/>
        <v>13450.74</v>
      </c>
      <c r="Y266">
        <f t="shared" si="48"/>
        <v>10962.96</v>
      </c>
      <c r="Z266" s="6">
        <f t="shared" si="49"/>
        <v>2487.7800000000007</v>
      </c>
      <c r="AA266">
        <f t="shared" si="50"/>
        <v>0.18495487980586947</v>
      </c>
      <c r="AB266" t="str">
        <f t="shared" si="51"/>
        <v>2-2024</v>
      </c>
      <c r="AC266" t="str">
        <f t="shared" si="52"/>
        <v>Q1-2024</v>
      </c>
      <c r="AD266" t="str">
        <f t="shared" si="53"/>
        <v>Europe →France →Marseille</v>
      </c>
      <c r="AE266" t="str">
        <f t="shared" si="54"/>
        <v>Low</v>
      </c>
      <c r="AF266" t="str">
        <f>TEXT(Table1[[#This Row],[OrderDate]],"MMM")</f>
        <v>Feb</v>
      </c>
      <c r="AG266" t="str">
        <f>TEXT(Table1[[#This Row],[OrderDate]],"YYYY")</f>
        <v>2024</v>
      </c>
      <c r="AI266" s="4">
        <f>IF(Table1[[#This Row],[RequiredDate]]&lt;Table1[[#This Row],[OrderDate]], Table1[[#This Row],[OrderDate]]+7, Table1[[#This Row],[RequiredDate]])</f>
        <v>45360</v>
      </c>
      <c r="AJ266">
        <f>IF(Dashboard!$D$3&gt;'Staging Data'!V266,'Staging Data'!V266,Dashboard!D$3)</f>
        <v>0</v>
      </c>
      <c r="AK266" s="19">
        <f>(100%+Dashboard!$D$4)*'Staging Data'!S266</f>
        <v>338.56200000000001</v>
      </c>
      <c r="AL266">
        <f>(100%+Dashboard!$D$5)*'Staging Data'!W266</f>
        <v>39.099999999999994</v>
      </c>
    </row>
    <row r="267" spans="1:38" x14ac:dyDescent="0.35">
      <c r="A267" s="6" t="s">
        <v>439</v>
      </c>
      <c r="B267" s="4">
        <v>45349</v>
      </c>
      <c r="C267" s="4">
        <v>45377</v>
      </c>
      <c r="D267" s="4">
        <f>IF(Table1[[#This Row],[RequiredDate]]&lt;Table1[[#This Row],[OrderDate]],Table1[[#This Row],[RequiredDate]],Table1[[#This Row],[OrderDate]])</f>
        <v>45349</v>
      </c>
      <c r="E267" s="4">
        <f>IF(Table1[[#This Row],[RequiredDate]]&gt;Table1[[#This Row],[OrderDate]],Table1[[#This Row],[RequiredDate]],Table1[[#This Row],[OrderDate]])</f>
        <v>45377</v>
      </c>
      <c r="F267" s="21">
        <f>Table1[[#This Row],[New RD]]-Table1[[#This Row],[new   od]]</f>
        <v>28</v>
      </c>
      <c r="G267" s="4">
        <f>IF(Table1[[#This Row],[RequiredDate]]&lt;Table1[[#This Row],[OrderDate]], Table1[[#This Row],[OrderDate]]+7, Table1[[#This Row],[RequiredDate]])</f>
        <v>45377</v>
      </c>
      <c r="H267" s="21">
        <f t="shared" si="44"/>
        <v>28</v>
      </c>
      <c r="I267" s="6" t="str">
        <f>IF(Table1[[#This Row],[New LTD]]&lt;=7,"Yes","No")</f>
        <v>No</v>
      </c>
      <c r="J267" s="6" t="str">
        <f t="shared" si="45"/>
        <v>No</v>
      </c>
      <c r="K267" t="s">
        <v>647</v>
      </c>
      <c r="L267" t="s">
        <v>654</v>
      </c>
      <c r="M267" t="s">
        <v>691</v>
      </c>
      <c r="N267" t="s">
        <v>702</v>
      </c>
      <c r="O267" t="s">
        <v>709</v>
      </c>
      <c r="P267" t="s">
        <v>715</v>
      </c>
      <c r="Q267" t="s">
        <v>731</v>
      </c>
      <c r="R267" t="s">
        <v>1158</v>
      </c>
      <c r="S267" s="6">
        <v>1035.19</v>
      </c>
      <c r="T267" s="6">
        <v>2322.6999999999998</v>
      </c>
      <c r="U267" s="6">
        <f t="shared" si="46"/>
        <v>2322.6999999999998</v>
      </c>
      <c r="V267" s="8">
        <v>0.17299999999999999</v>
      </c>
      <c r="W267" s="6">
        <v>8</v>
      </c>
      <c r="X267" s="6">
        <f t="shared" si="47"/>
        <v>15366.983199999999</v>
      </c>
      <c r="Y267">
        <f t="shared" si="48"/>
        <v>8281.52</v>
      </c>
      <c r="Z267" s="6">
        <f t="shared" si="49"/>
        <v>7085.4631999999983</v>
      </c>
      <c r="AA267">
        <f t="shared" si="50"/>
        <v>0.46108355217047409</v>
      </c>
      <c r="AB267" t="str">
        <f t="shared" si="51"/>
        <v>2-2024</v>
      </c>
      <c r="AC267" t="str">
        <f t="shared" si="52"/>
        <v>Q1-2024</v>
      </c>
      <c r="AD267" t="str">
        <f t="shared" si="53"/>
        <v>Asia →India →Mumbai</v>
      </c>
      <c r="AE267" t="str">
        <f t="shared" si="54"/>
        <v>High</v>
      </c>
      <c r="AF267" t="str">
        <f>TEXT(Table1[[#This Row],[OrderDate]],"MMM")</f>
        <v>Feb</v>
      </c>
      <c r="AG267" t="str">
        <f>TEXT(Table1[[#This Row],[OrderDate]],"YYYY")</f>
        <v>2024</v>
      </c>
      <c r="AI267" s="4">
        <f>IF(Table1[[#This Row],[RequiredDate]]&lt;Table1[[#This Row],[OrderDate]], Table1[[#This Row],[OrderDate]]+7, Table1[[#This Row],[RequiredDate]])</f>
        <v>45377</v>
      </c>
      <c r="AJ267">
        <f>IF(Dashboard!$D$3&gt;'Staging Data'!V267,'Staging Data'!V267,Dashboard!D$3)</f>
        <v>0.17299999999999999</v>
      </c>
      <c r="AK267" s="19">
        <f>(100%+Dashboard!$D$4)*'Staging Data'!S267</f>
        <v>1086.9495000000002</v>
      </c>
      <c r="AL267">
        <f>(100%+Dashboard!$D$5)*'Staging Data'!W267</f>
        <v>9.1999999999999993</v>
      </c>
    </row>
    <row r="268" spans="1:38" x14ac:dyDescent="0.35">
      <c r="A268" s="6" t="s">
        <v>229</v>
      </c>
      <c r="B268" s="4">
        <v>45351</v>
      </c>
      <c r="C268" s="4">
        <v>45381</v>
      </c>
      <c r="D268" s="4">
        <f>IF(Table1[[#This Row],[RequiredDate]]&lt;Table1[[#This Row],[OrderDate]],Table1[[#This Row],[RequiredDate]],Table1[[#This Row],[OrderDate]])</f>
        <v>45351</v>
      </c>
      <c r="E268" s="4">
        <f>IF(Table1[[#This Row],[RequiredDate]]&gt;Table1[[#This Row],[OrderDate]],Table1[[#This Row],[RequiredDate]],Table1[[#This Row],[OrderDate]])</f>
        <v>45381</v>
      </c>
      <c r="F268" s="21">
        <f>Table1[[#This Row],[New RD]]-Table1[[#This Row],[new   od]]</f>
        <v>30</v>
      </c>
      <c r="G268" s="4">
        <f>IF(Table1[[#This Row],[RequiredDate]]&lt;Table1[[#This Row],[OrderDate]], Table1[[#This Row],[OrderDate]]+7, Table1[[#This Row],[RequiredDate]])</f>
        <v>45381</v>
      </c>
      <c r="H268" s="21">
        <f t="shared" si="44"/>
        <v>30</v>
      </c>
      <c r="I268" s="6" t="str">
        <f>IF(Table1[[#This Row],[New LTD]]&lt;=7,"Yes","No")</f>
        <v>No</v>
      </c>
      <c r="J268" s="6" t="str">
        <f t="shared" si="45"/>
        <v>Yes</v>
      </c>
      <c r="K268" t="s">
        <v>647</v>
      </c>
      <c r="L268" t="s">
        <v>652</v>
      </c>
      <c r="M268" t="s">
        <v>694</v>
      </c>
      <c r="N268" t="s">
        <v>705</v>
      </c>
      <c r="O268" t="s">
        <v>711</v>
      </c>
      <c r="P268" t="s">
        <v>714</v>
      </c>
      <c r="Q268" t="s">
        <v>729</v>
      </c>
      <c r="R268" t="s">
        <v>949</v>
      </c>
      <c r="S268" s="6">
        <v>231.11</v>
      </c>
      <c r="T268" s="6">
        <v>318.17</v>
      </c>
      <c r="U268" s="6">
        <f t="shared" si="46"/>
        <v>318.17</v>
      </c>
      <c r="V268" s="8">
        <v>0.20100000000000001</v>
      </c>
      <c r="W268" s="6">
        <v>60</v>
      </c>
      <c r="X268" s="6">
        <f t="shared" si="47"/>
        <v>15253.069799999999</v>
      </c>
      <c r="Y268">
        <f t="shared" si="48"/>
        <v>13866.6</v>
      </c>
      <c r="Z268" s="6">
        <f t="shared" si="49"/>
        <v>1386.4697999999989</v>
      </c>
      <c r="AA268">
        <f t="shared" si="50"/>
        <v>9.0897754889969692E-2</v>
      </c>
      <c r="AB268" t="str">
        <f t="shared" si="51"/>
        <v>2-2024</v>
      </c>
      <c r="AC268" t="str">
        <f t="shared" si="52"/>
        <v>Q1-2024</v>
      </c>
      <c r="AD268" t="str">
        <f t="shared" si="53"/>
        <v>Asia →Japan →Nagoya</v>
      </c>
      <c r="AE268" t="str">
        <f t="shared" si="54"/>
        <v>Low</v>
      </c>
      <c r="AF268" t="str">
        <f>TEXT(Table1[[#This Row],[OrderDate]],"MMM")</f>
        <v>Feb</v>
      </c>
      <c r="AG268" t="str">
        <f>TEXT(Table1[[#This Row],[OrderDate]],"YYYY")</f>
        <v>2024</v>
      </c>
      <c r="AI268" s="4">
        <f>IF(Table1[[#This Row],[RequiredDate]]&lt;Table1[[#This Row],[OrderDate]], Table1[[#This Row],[OrderDate]]+7, Table1[[#This Row],[RequiredDate]])</f>
        <v>45381</v>
      </c>
      <c r="AJ268">
        <f>IF(Dashboard!$D$3&gt;'Staging Data'!V268,'Staging Data'!V268,Dashboard!D$3)</f>
        <v>0.2</v>
      </c>
      <c r="AK268" s="19">
        <f>(100%+Dashboard!$D$4)*'Staging Data'!S268</f>
        <v>242.66550000000004</v>
      </c>
      <c r="AL268">
        <f>(100%+Dashboard!$D$5)*'Staging Data'!W268</f>
        <v>69</v>
      </c>
    </row>
    <row r="269" spans="1:38" x14ac:dyDescent="0.35">
      <c r="A269" s="6" t="s">
        <v>507</v>
      </c>
      <c r="B269" s="4">
        <v>45352</v>
      </c>
      <c r="C269" s="4">
        <v>45351</v>
      </c>
      <c r="D269" s="4">
        <f>IF(Table1[[#This Row],[RequiredDate]]&lt;Table1[[#This Row],[OrderDate]],Table1[[#This Row],[RequiredDate]],Table1[[#This Row],[OrderDate]])</f>
        <v>45351</v>
      </c>
      <c r="E269" s="4">
        <f>IF(Table1[[#This Row],[RequiredDate]]&gt;Table1[[#This Row],[OrderDate]],Table1[[#This Row],[RequiredDate]],Table1[[#This Row],[OrderDate]])</f>
        <v>45352</v>
      </c>
      <c r="F269" s="21">
        <f>Table1[[#This Row],[New RD]]-Table1[[#This Row],[new   od]]</f>
        <v>1</v>
      </c>
      <c r="G269" s="4">
        <f>IF(Table1[[#This Row],[RequiredDate]]&lt;Table1[[#This Row],[OrderDate]], Table1[[#This Row],[OrderDate]]+7, Table1[[#This Row],[RequiredDate]])</f>
        <v>45359</v>
      </c>
      <c r="H269" s="21">
        <f t="shared" si="44"/>
        <v>7</v>
      </c>
      <c r="I269" s="6" t="str">
        <f>IF(Table1[[#This Row],[New LTD]]&lt;=7,"Yes","No")</f>
        <v>Yes</v>
      </c>
      <c r="J269" s="6" t="str">
        <f t="shared" si="45"/>
        <v>No</v>
      </c>
      <c r="K269" t="s">
        <v>648</v>
      </c>
      <c r="L269" t="s">
        <v>655</v>
      </c>
      <c r="M269" t="s">
        <v>670</v>
      </c>
      <c r="N269" t="s">
        <v>703</v>
      </c>
      <c r="O269" t="s">
        <v>711</v>
      </c>
      <c r="P269" t="s">
        <v>714</v>
      </c>
      <c r="Q269" t="s">
        <v>730</v>
      </c>
      <c r="R269" t="s">
        <v>1226</v>
      </c>
      <c r="S269" s="6">
        <v>5.34</v>
      </c>
      <c r="T269" s="6">
        <v>12.69</v>
      </c>
      <c r="U269" s="6">
        <f t="shared" si="46"/>
        <v>12.69</v>
      </c>
      <c r="V269" s="8">
        <v>0.13200000000000001</v>
      </c>
      <c r="W269" s="6">
        <v>10</v>
      </c>
      <c r="X269" s="6">
        <f t="shared" si="47"/>
        <v>110.14919999999999</v>
      </c>
      <c r="Y269">
        <f t="shared" si="48"/>
        <v>53.4</v>
      </c>
      <c r="Z269" s="6">
        <f t="shared" si="49"/>
        <v>56.749199999999995</v>
      </c>
      <c r="AA269">
        <f t="shared" si="50"/>
        <v>0.51520301554618642</v>
      </c>
      <c r="AB269" t="str">
        <f t="shared" si="51"/>
        <v>3-2024</v>
      </c>
      <c r="AC269" t="str">
        <f t="shared" si="52"/>
        <v>Q1-2024</v>
      </c>
      <c r="AD269" t="str">
        <f t="shared" si="53"/>
        <v>Americas →Brazil →São Paulo</v>
      </c>
      <c r="AE269" t="str">
        <f t="shared" si="54"/>
        <v>Low</v>
      </c>
      <c r="AF269" t="str">
        <f>TEXT(Table1[[#This Row],[OrderDate]],"MMM")</f>
        <v>Mar</v>
      </c>
      <c r="AG269" t="str">
        <f>TEXT(Table1[[#This Row],[OrderDate]],"YYYY")</f>
        <v>2024</v>
      </c>
      <c r="AI269" s="4">
        <f>IF(Table1[[#This Row],[RequiredDate]]&lt;Table1[[#This Row],[OrderDate]], Table1[[#This Row],[OrderDate]]+7, Table1[[#This Row],[RequiredDate]])</f>
        <v>45359</v>
      </c>
      <c r="AJ269">
        <f>IF(Dashboard!$D$3&gt;'Staging Data'!V269,'Staging Data'!V269,Dashboard!D$3)</f>
        <v>0.13200000000000001</v>
      </c>
      <c r="AK269" s="19">
        <f>(100%+Dashboard!$D$4)*'Staging Data'!S269</f>
        <v>5.6070000000000002</v>
      </c>
      <c r="AL269">
        <f>(100%+Dashboard!$D$5)*'Staging Data'!W269</f>
        <v>11.5</v>
      </c>
    </row>
    <row r="270" spans="1:38" x14ac:dyDescent="0.35">
      <c r="A270" s="6" t="s">
        <v>310</v>
      </c>
      <c r="B270" s="4">
        <v>45353</v>
      </c>
      <c r="C270" s="4">
        <v>45367</v>
      </c>
      <c r="D270" s="4">
        <f>IF(Table1[[#This Row],[RequiredDate]]&lt;Table1[[#This Row],[OrderDate]],Table1[[#This Row],[RequiredDate]],Table1[[#This Row],[OrderDate]])</f>
        <v>45353</v>
      </c>
      <c r="E270" s="4">
        <f>IF(Table1[[#This Row],[RequiredDate]]&gt;Table1[[#This Row],[OrderDate]],Table1[[#This Row],[RequiredDate]],Table1[[#This Row],[OrderDate]])</f>
        <v>45367</v>
      </c>
      <c r="F270" s="21">
        <f>Table1[[#This Row],[New RD]]-Table1[[#This Row],[new   od]]</f>
        <v>14</v>
      </c>
      <c r="G270" s="4">
        <f>IF(Table1[[#This Row],[RequiredDate]]&lt;Table1[[#This Row],[OrderDate]], Table1[[#This Row],[OrderDate]]+7, Table1[[#This Row],[RequiredDate]])</f>
        <v>45367</v>
      </c>
      <c r="H270" s="21">
        <f t="shared" si="44"/>
        <v>14</v>
      </c>
      <c r="I270" s="6" t="str">
        <f>IF(Table1[[#This Row],[New LTD]]&lt;=7,"Yes","No")</f>
        <v>No</v>
      </c>
      <c r="J270" s="6" t="str">
        <f t="shared" si="45"/>
        <v>No</v>
      </c>
      <c r="K270" t="s">
        <v>648</v>
      </c>
      <c r="L270" t="s">
        <v>653</v>
      </c>
      <c r="M270" t="s">
        <v>688</v>
      </c>
      <c r="N270" t="s">
        <v>703</v>
      </c>
      <c r="O270" t="s">
        <v>711</v>
      </c>
      <c r="P270" t="s">
        <v>719</v>
      </c>
      <c r="Q270" t="s">
        <v>728</v>
      </c>
      <c r="R270" t="s">
        <v>1030</v>
      </c>
      <c r="S270" s="6">
        <v>248.24</v>
      </c>
      <c r="T270" s="6">
        <v>464.05</v>
      </c>
      <c r="U270" s="6">
        <f t="shared" si="46"/>
        <v>464.05</v>
      </c>
      <c r="V270" s="8">
        <v>0.16900000000000001</v>
      </c>
      <c r="W270" s="6">
        <v>11</v>
      </c>
      <c r="X270" s="6">
        <f t="shared" si="47"/>
        <v>4241.88105</v>
      </c>
      <c r="Y270">
        <f t="shared" si="48"/>
        <v>2730.6400000000003</v>
      </c>
      <c r="Z270" s="6">
        <f t="shared" si="49"/>
        <v>1511.2410499999996</v>
      </c>
      <c r="AA270">
        <f t="shared" si="50"/>
        <v>0.3562667203975462</v>
      </c>
      <c r="AB270" t="str">
        <f t="shared" si="51"/>
        <v>3-2024</v>
      </c>
      <c r="AC270" t="str">
        <f t="shared" si="52"/>
        <v>Q1-2024</v>
      </c>
      <c r="AD270" t="str">
        <f t="shared" si="53"/>
        <v>Americas →Canada →Vancouver</v>
      </c>
      <c r="AE270" t="str">
        <f t="shared" si="54"/>
        <v>Low</v>
      </c>
      <c r="AF270" t="str">
        <f>TEXT(Table1[[#This Row],[OrderDate]],"MMM")</f>
        <v>Mar</v>
      </c>
      <c r="AG270" t="str">
        <f>TEXT(Table1[[#This Row],[OrderDate]],"YYYY")</f>
        <v>2024</v>
      </c>
      <c r="AI270" s="4">
        <f>IF(Table1[[#This Row],[RequiredDate]]&lt;Table1[[#This Row],[OrderDate]], Table1[[#This Row],[OrderDate]]+7, Table1[[#This Row],[RequiredDate]])</f>
        <v>45367</v>
      </c>
      <c r="AJ270">
        <f>IF(Dashboard!$D$3&gt;'Staging Data'!V270,'Staging Data'!V270,Dashboard!D$3)</f>
        <v>0.16900000000000001</v>
      </c>
      <c r="AK270" s="19">
        <f>(100%+Dashboard!$D$4)*'Staging Data'!S270</f>
        <v>260.65200000000004</v>
      </c>
      <c r="AL270">
        <f>(100%+Dashboard!$D$5)*'Staging Data'!W270</f>
        <v>12.649999999999999</v>
      </c>
    </row>
    <row r="271" spans="1:38" x14ac:dyDescent="0.35">
      <c r="A271" s="6" t="s">
        <v>525</v>
      </c>
      <c r="B271" s="4">
        <v>45353</v>
      </c>
      <c r="C271" s="4">
        <v>45374</v>
      </c>
      <c r="D271" s="4">
        <f>IF(Table1[[#This Row],[RequiredDate]]&lt;Table1[[#This Row],[OrderDate]],Table1[[#This Row],[RequiredDate]],Table1[[#This Row],[OrderDate]])</f>
        <v>45353</v>
      </c>
      <c r="E271" s="4">
        <f>IF(Table1[[#This Row],[RequiredDate]]&gt;Table1[[#This Row],[OrderDate]],Table1[[#This Row],[RequiredDate]],Table1[[#This Row],[OrderDate]])</f>
        <v>45374</v>
      </c>
      <c r="F271" s="21">
        <f>Table1[[#This Row],[New RD]]-Table1[[#This Row],[new   od]]</f>
        <v>21</v>
      </c>
      <c r="G271" s="4">
        <f>IF(Table1[[#This Row],[RequiredDate]]&lt;Table1[[#This Row],[OrderDate]], Table1[[#This Row],[OrderDate]]+7, Table1[[#This Row],[RequiredDate]])</f>
        <v>45374</v>
      </c>
      <c r="H271" s="21">
        <f t="shared" si="44"/>
        <v>21</v>
      </c>
      <c r="I271" s="6" t="str">
        <f>IF(Table1[[#This Row],[New LTD]]&lt;=7,"Yes","No")</f>
        <v>No</v>
      </c>
      <c r="J271" s="6" t="str">
        <f t="shared" si="45"/>
        <v>No</v>
      </c>
      <c r="K271" t="s">
        <v>648</v>
      </c>
      <c r="L271" t="s">
        <v>660</v>
      </c>
      <c r="M271" t="s">
        <v>677</v>
      </c>
      <c r="N271" t="s">
        <v>705</v>
      </c>
      <c r="O271" t="s">
        <v>708</v>
      </c>
      <c r="P271" t="s">
        <v>721</v>
      </c>
      <c r="Q271" t="s">
        <v>727</v>
      </c>
      <c r="R271" t="s">
        <v>1244</v>
      </c>
      <c r="S271" s="6">
        <v>225.01</v>
      </c>
      <c r="T271" s="6">
        <v>333.48</v>
      </c>
      <c r="U271" s="6">
        <f t="shared" si="46"/>
        <v>333.48</v>
      </c>
      <c r="V271" s="8">
        <v>0.11899999999999999</v>
      </c>
      <c r="W271" s="6">
        <v>12</v>
      </c>
      <c r="X271" s="6">
        <f t="shared" si="47"/>
        <v>3525.5505600000001</v>
      </c>
      <c r="Y271">
        <f t="shared" si="48"/>
        <v>2700.12</v>
      </c>
      <c r="Z271" s="6">
        <f t="shared" si="49"/>
        <v>825.43056000000024</v>
      </c>
      <c r="AA271">
        <f t="shared" si="50"/>
        <v>0.23412813004729685</v>
      </c>
      <c r="AB271" t="str">
        <f t="shared" si="51"/>
        <v>3-2024</v>
      </c>
      <c r="AC271" t="str">
        <f t="shared" si="52"/>
        <v>Q1-2024</v>
      </c>
      <c r="AD271" t="str">
        <f t="shared" si="53"/>
        <v>Americas →USA →Chicago</v>
      </c>
      <c r="AE271" t="str">
        <f t="shared" si="54"/>
        <v>Low</v>
      </c>
      <c r="AF271" t="str">
        <f>TEXT(Table1[[#This Row],[OrderDate]],"MMM")</f>
        <v>Mar</v>
      </c>
      <c r="AG271" t="str">
        <f>TEXT(Table1[[#This Row],[OrderDate]],"YYYY")</f>
        <v>2024</v>
      </c>
      <c r="AI271" s="4">
        <f>IF(Table1[[#This Row],[RequiredDate]]&lt;Table1[[#This Row],[OrderDate]], Table1[[#This Row],[OrderDate]]+7, Table1[[#This Row],[RequiredDate]])</f>
        <v>45374</v>
      </c>
      <c r="AJ271">
        <f>IF(Dashboard!$D$3&gt;'Staging Data'!V271,'Staging Data'!V271,Dashboard!D$3)</f>
        <v>0.11899999999999999</v>
      </c>
      <c r="AK271" s="19">
        <f>(100%+Dashboard!$D$4)*'Staging Data'!S271</f>
        <v>236.26050000000001</v>
      </c>
      <c r="AL271">
        <f>(100%+Dashboard!$D$5)*'Staging Data'!W271</f>
        <v>13.799999999999999</v>
      </c>
    </row>
    <row r="272" spans="1:38" x14ac:dyDescent="0.35">
      <c r="A272" s="6" t="s">
        <v>389</v>
      </c>
      <c r="B272" s="4">
        <v>45354</v>
      </c>
      <c r="C272" s="4">
        <v>45370</v>
      </c>
      <c r="D272" s="4">
        <f>IF(Table1[[#This Row],[RequiredDate]]&lt;Table1[[#This Row],[OrderDate]],Table1[[#This Row],[RequiredDate]],Table1[[#This Row],[OrderDate]])</f>
        <v>45354</v>
      </c>
      <c r="E272" s="4">
        <f>IF(Table1[[#This Row],[RequiredDate]]&gt;Table1[[#This Row],[OrderDate]],Table1[[#This Row],[RequiredDate]],Table1[[#This Row],[OrderDate]])</f>
        <v>45370</v>
      </c>
      <c r="F272" s="21">
        <f>Table1[[#This Row],[New RD]]-Table1[[#This Row],[new   od]]</f>
        <v>16</v>
      </c>
      <c r="G272" s="4">
        <f>IF(Table1[[#This Row],[RequiredDate]]&lt;Table1[[#This Row],[OrderDate]], Table1[[#This Row],[OrderDate]]+7, Table1[[#This Row],[RequiredDate]])</f>
        <v>45370</v>
      </c>
      <c r="H272" s="21">
        <f t="shared" si="44"/>
        <v>16</v>
      </c>
      <c r="I272" s="6" t="str">
        <f>IF(Table1[[#This Row],[New LTD]]&lt;=7,"Yes","No")</f>
        <v>No</v>
      </c>
      <c r="J272" s="6" t="str">
        <f t="shared" si="45"/>
        <v>No</v>
      </c>
      <c r="K272" t="s">
        <v>647</v>
      </c>
      <c r="L272" t="s">
        <v>659</v>
      </c>
      <c r="M272" t="s">
        <v>699</v>
      </c>
      <c r="N272" t="s">
        <v>704</v>
      </c>
      <c r="O272" t="s">
        <v>710</v>
      </c>
      <c r="P272" t="s">
        <v>715</v>
      </c>
      <c r="Q272" t="s">
        <v>730</v>
      </c>
      <c r="R272" t="s">
        <v>1109</v>
      </c>
      <c r="S272" s="6">
        <v>988.83</v>
      </c>
      <c r="T272" s="6">
        <v>1206.04</v>
      </c>
      <c r="U272" s="6">
        <f t="shared" si="46"/>
        <v>1206.04</v>
      </c>
      <c r="V272" s="8">
        <v>6.3E-2</v>
      </c>
      <c r="W272" s="6">
        <v>34</v>
      </c>
      <c r="X272" s="6">
        <f t="shared" si="47"/>
        <v>38422.022320000004</v>
      </c>
      <c r="Y272">
        <f t="shared" si="48"/>
        <v>33620.22</v>
      </c>
      <c r="Z272" s="6">
        <f t="shared" si="49"/>
        <v>4801.8023200000025</v>
      </c>
      <c r="AA272">
        <f t="shared" si="50"/>
        <v>0.12497526236406606</v>
      </c>
      <c r="AB272" t="str">
        <f t="shared" si="51"/>
        <v>3-2024</v>
      </c>
      <c r="AC272" t="str">
        <f t="shared" si="52"/>
        <v>Q1-2024</v>
      </c>
      <c r="AD272" t="str">
        <f t="shared" si="53"/>
        <v>Asia →China →Beijing</v>
      </c>
      <c r="AE272" t="str">
        <f t="shared" si="54"/>
        <v>Medium</v>
      </c>
      <c r="AF272" t="str">
        <f>TEXT(Table1[[#This Row],[OrderDate]],"MMM")</f>
        <v>Mar</v>
      </c>
      <c r="AG272" t="str">
        <f>TEXT(Table1[[#This Row],[OrderDate]],"YYYY")</f>
        <v>2024</v>
      </c>
      <c r="AI272" s="4">
        <f>IF(Table1[[#This Row],[RequiredDate]]&lt;Table1[[#This Row],[OrderDate]], Table1[[#This Row],[OrderDate]]+7, Table1[[#This Row],[RequiredDate]])</f>
        <v>45370</v>
      </c>
      <c r="AJ272">
        <f>IF(Dashboard!$D$3&gt;'Staging Data'!V272,'Staging Data'!V272,Dashboard!D$3)</f>
        <v>6.3E-2</v>
      </c>
      <c r="AK272" s="19">
        <f>(100%+Dashboard!$D$4)*'Staging Data'!S272</f>
        <v>1038.2715000000001</v>
      </c>
      <c r="AL272">
        <f>(100%+Dashboard!$D$5)*'Staging Data'!W272</f>
        <v>39.099999999999994</v>
      </c>
    </row>
    <row r="273" spans="1:38" x14ac:dyDescent="0.35">
      <c r="A273" s="6" t="s">
        <v>560</v>
      </c>
      <c r="B273" s="4">
        <v>45355</v>
      </c>
      <c r="C273" s="4">
        <v>45367</v>
      </c>
      <c r="D273" s="4">
        <f>IF(Table1[[#This Row],[RequiredDate]]&lt;Table1[[#This Row],[OrderDate]],Table1[[#This Row],[RequiredDate]],Table1[[#This Row],[OrderDate]])</f>
        <v>45355</v>
      </c>
      <c r="E273" s="4">
        <f>IF(Table1[[#This Row],[RequiredDate]]&gt;Table1[[#This Row],[OrderDate]],Table1[[#This Row],[RequiredDate]],Table1[[#This Row],[OrderDate]])</f>
        <v>45367</v>
      </c>
      <c r="F273" s="21">
        <f>Table1[[#This Row],[New RD]]-Table1[[#This Row],[new   od]]</f>
        <v>12</v>
      </c>
      <c r="G273" s="4">
        <f>IF(Table1[[#This Row],[RequiredDate]]&lt;Table1[[#This Row],[OrderDate]], Table1[[#This Row],[OrderDate]]+7, Table1[[#This Row],[RequiredDate]])</f>
        <v>45367</v>
      </c>
      <c r="H273" s="21">
        <f t="shared" si="44"/>
        <v>12</v>
      </c>
      <c r="I273" s="6" t="str">
        <f>IF(Table1[[#This Row],[New LTD]]&lt;=7,"Yes","No")</f>
        <v>No</v>
      </c>
      <c r="J273" s="6" t="str">
        <f t="shared" si="45"/>
        <v>Yes</v>
      </c>
      <c r="K273" t="s">
        <v>646</v>
      </c>
      <c r="L273" t="s">
        <v>661</v>
      </c>
      <c r="M273" t="s">
        <v>682</v>
      </c>
      <c r="N273" t="s">
        <v>706</v>
      </c>
      <c r="O273" t="s">
        <v>710</v>
      </c>
      <c r="P273" t="s">
        <v>724</v>
      </c>
      <c r="Q273" t="s">
        <v>732</v>
      </c>
      <c r="R273" t="s">
        <v>1278</v>
      </c>
      <c r="S273" s="6">
        <v>441.08</v>
      </c>
      <c r="T273" s="6">
        <v>1054.29</v>
      </c>
      <c r="U273" s="6">
        <f t="shared" si="46"/>
        <v>1054.29</v>
      </c>
      <c r="V273" s="8">
        <v>0.23699999999999999</v>
      </c>
      <c r="W273" s="6">
        <v>6</v>
      </c>
      <c r="X273" s="6">
        <f t="shared" si="47"/>
        <v>4826.5396199999996</v>
      </c>
      <c r="Y273">
        <f t="shared" si="48"/>
        <v>2646.48</v>
      </c>
      <c r="Z273" s="6">
        <f t="shared" si="49"/>
        <v>2180.0596199999995</v>
      </c>
      <c r="AA273">
        <f t="shared" si="50"/>
        <v>0.45168169985932899</v>
      </c>
      <c r="AB273" t="str">
        <f t="shared" si="51"/>
        <v>3-2024</v>
      </c>
      <c r="AC273" t="str">
        <f t="shared" si="52"/>
        <v>Q1-2024</v>
      </c>
      <c r="AD273" t="str">
        <f t="shared" si="53"/>
        <v>Africa →South Africa →Johannesburg</v>
      </c>
      <c r="AE273" t="str">
        <f t="shared" si="54"/>
        <v>Medium</v>
      </c>
      <c r="AF273" t="str">
        <f>TEXT(Table1[[#This Row],[OrderDate]],"MMM")</f>
        <v>Mar</v>
      </c>
      <c r="AG273" t="str">
        <f>TEXT(Table1[[#This Row],[OrderDate]],"YYYY")</f>
        <v>2024</v>
      </c>
      <c r="AI273" s="4">
        <f>IF(Table1[[#This Row],[RequiredDate]]&lt;Table1[[#This Row],[OrderDate]], Table1[[#This Row],[OrderDate]]+7, Table1[[#This Row],[RequiredDate]])</f>
        <v>45367</v>
      </c>
      <c r="AJ273">
        <f>IF(Dashboard!$D$3&gt;'Staging Data'!V273,'Staging Data'!V273,Dashboard!D$3)</f>
        <v>0.2</v>
      </c>
      <c r="AK273" s="19">
        <f>(100%+Dashboard!$D$4)*'Staging Data'!S273</f>
        <v>463.13400000000001</v>
      </c>
      <c r="AL273">
        <f>(100%+Dashboard!$D$5)*'Staging Data'!W273</f>
        <v>6.8999999999999995</v>
      </c>
    </row>
    <row r="274" spans="1:38" x14ac:dyDescent="0.35">
      <c r="A274" s="6" t="s">
        <v>259</v>
      </c>
      <c r="B274" s="4">
        <v>45357</v>
      </c>
      <c r="C274" s="4">
        <v>45377</v>
      </c>
      <c r="D274" s="4">
        <f>IF(Table1[[#This Row],[RequiredDate]]&lt;Table1[[#This Row],[OrderDate]],Table1[[#This Row],[RequiredDate]],Table1[[#This Row],[OrderDate]])</f>
        <v>45357</v>
      </c>
      <c r="E274" s="4">
        <f>IF(Table1[[#This Row],[RequiredDate]]&gt;Table1[[#This Row],[OrderDate]],Table1[[#This Row],[RequiredDate]],Table1[[#This Row],[OrderDate]])</f>
        <v>45377</v>
      </c>
      <c r="F274" s="21">
        <f>Table1[[#This Row],[New RD]]-Table1[[#This Row],[new   od]]</f>
        <v>20</v>
      </c>
      <c r="G274" s="4">
        <f>IF(Table1[[#This Row],[RequiredDate]]&lt;Table1[[#This Row],[OrderDate]], Table1[[#This Row],[OrderDate]]+7, Table1[[#This Row],[RequiredDate]])</f>
        <v>45377</v>
      </c>
      <c r="H274" s="21">
        <f t="shared" si="44"/>
        <v>20</v>
      </c>
      <c r="I274" s="6" t="str">
        <f>IF(Table1[[#This Row],[New LTD]]&lt;=7,"Yes","No")</f>
        <v>No</v>
      </c>
      <c r="J274" s="6" t="str">
        <f t="shared" si="45"/>
        <v>No</v>
      </c>
      <c r="K274" t="s">
        <v>646</v>
      </c>
      <c r="L274" t="s">
        <v>651</v>
      </c>
      <c r="M274" t="s">
        <v>663</v>
      </c>
      <c r="N274" t="s">
        <v>704</v>
      </c>
      <c r="O274" t="s">
        <v>709</v>
      </c>
      <c r="P274" t="s">
        <v>714</v>
      </c>
      <c r="Q274" t="s">
        <v>730</v>
      </c>
      <c r="R274" t="s">
        <v>979</v>
      </c>
      <c r="S274" s="6">
        <v>65.64</v>
      </c>
      <c r="T274" s="6">
        <v>151.88</v>
      </c>
      <c r="U274" s="6">
        <f t="shared" si="46"/>
        <v>151.88</v>
      </c>
      <c r="V274" s="8">
        <v>0.16700000000000001</v>
      </c>
      <c r="W274" s="6">
        <v>23</v>
      </c>
      <c r="X274" s="6">
        <f t="shared" si="47"/>
        <v>2909.8689199999999</v>
      </c>
      <c r="Y274">
        <f t="shared" si="48"/>
        <v>1509.72</v>
      </c>
      <c r="Z274" s="6">
        <f t="shared" si="49"/>
        <v>1400.1489199999999</v>
      </c>
      <c r="AA274">
        <f t="shared" si="50"/>
        <v>0.48117250587356353</v>
      </c>
      <c r="AB274" t="str">
        <f t="shared" si="51"/>
        <v>3-2024</v>
      </c>
      <c r="AC274" t="str">
        <f t="shared" si="52"/>
        <v>Q1-2024</v>
      </c>
      <c r="AD274" t="str">
        <f t="shared" si="53"/>
        <v>Africa →Nigeria →Port Harcourt</v>
      </c>
      <c r="AE274" t="str">
        <f t="shared" si="54"/>
        <v>Low</v>
      </c>
      <c r="AF274" t="str">
        <f>TEXT(Table1[[#This Row],[OrderDate]],"MMM")</f>
        <v>Mar</v>
      </c>
      <c r="AG274" t="str">
        <f>TEXT(Table1[[#This Row],[OrderDate]],"YYYY")</f>
        <v>2024</v>
      </c>
      <c r="AI274" s="4">
        <f>IF(Table1[[#This Row],[RequiredDate]]&lt;Table1[[#This Row],[OrderDate]], Table1[[#This Row],[OrderDate]]+7, Table1[[#This Row],[RequiredDate]])</f>
        <v>45377</v>
      </c>
      <c r="AJ274">
        <f>IF(Dashboard!$D$3&gt;'Staging Data'!V274,'Staging Data'!V274,Dashboard!D$3)</f>
        <v>0.16700000000000001</v>
      </c>
      <c r="AK274" s="19">
        <f>(100%+Dashboard!$D$4)*'Staging Data'!S274</f>
        <v>68.921999999999997</v>
      </c>
      <c r="AL274">
        <f>(100%+Dashboard!$D$5)*'Staging Data'!W274</f>
        <v>26.45</v>
      </c>
    </row>
    <row r="275" spans="1:38" x14ac:dyDescent="0.35">
      <c r="A275" s="6" t="s">
        <v>51</v>
      </c>
      <c r="B275" s="4">
        <v>45358</v>
      </c>
      <c r="C275" s="4">
        <v>45376</v>
      </c>
      <c r="D275" s="4">
        <f>IF(Table1[[#This Row],[RequiredDate]]&lt;Table1[[#This Row],[OrderDate]],Table1[[#This Row],[RequiredDate]],Table1[[#This Row],[OrderDate]])</f>
        <v>45358</v>
      </c>
      <c r="E275" s="4">
        <f>IF(Table1[[#This Row],[RequiredDate]]&gt;Table1[[#This Row],[OrderDate]],Table1[[#This Row],[RequiredDate]],Table1[[#This Row],[OrderDate]])</f>
        <v>45376</v>
      </c>
      <c r="F275" s="21">
        <f>Table1[[#This Row],[New RD]]-Table1[[#This Row],[new   od]]</f>
        <v>18</v>
      </c>
      <c r="G275" s="4">
        <f>IF(Table1[[#This Row],[RequiredDate]]&lt;Table1[[#This Row],[OrderDate]], Table1[[#This Row],[OrderDate]]+7, Table1[[#This Row],[RequiredDate]])</f>
        <v>45376</v>
      </c>
      <c r="H275" s="21">
        <f t="shared" si="44"/>
        <v>18</v>
      </c>
      <c r="I275" s="6" t="str">
        <f>IF(Table1[[#This Row],[New LTD]]&lt;=7,"Yes","No")</f>
        <v>No</v>
      </c>
      <c r="J275" s="6" t="str">
        <f t="shared" si="45"/>
        <v>Yes</v>
      </c>
      <c r="K275" t="s">
        <v>649</v>
      </c>
      <c r="L275" t="s">
        <v>656</v>
      </c>
      <c r="M275" t="s">
        <v>684</v>
      </c>
      <c r="N275" t="s">
        <v>701</v>
      </c>
      <c r="O275" t="s">
        <v>708</v>
      </c>
      <c r="P275" t="s">
        <v>717</v>
      </c>
      <c r="Q275" t="s">
        <v>727</v>
      </c>
      <c r="R275" t="s">
        <v>770</v>
      </c>
      <c r="S275" s="6">
        <v>712.84</v>
      </c>
      <c r="T275" s="6">
        <v>927.51</v>
      </c>
      <c r="U275" s="6">
        <f t="shared" si="46"/>
        <v>927.51</v>
      </c>
      <c r="V275" s="8">
        <v>0.24299999999999999</v>
      </c>
      <c r="W275" s="6">
        <v>27</v>
      </c>
      <c r="X275" s="6">
        <f t="shared" si="47"/>
        <v>18957.37689</v>
      </c>
      <c r="Y275">
        <f t="shared" si="48"/>
        <v>19246.68</v>
      </c>
      <c r="Z275" s="6">
        <f t="shared" si="49"/>
        <v>-289.30311000000074</v>
      </c>
      <c r="AA275">
        <f t="shared" si="50"/>
        <v>-1.5260714163076427E-2</v>
      </c>
      <c r="AB275" t="str">
        <f t="shared" si="51"/>
        <v>3-2024</v>
      </c>
      <c r="AC275" t="str">
        <f t="shared" si="52"/>
        <v>Q1-2024</v>
      </c>
      <c r="AD275" t="str">
        <f t="shared" si="53"/>
        <v>Europe →Germany →Munich</v>
      </c>
      <c r="AE275" t="str">
        <f t="shared" si="54"/>
        <v>Medium</v>
      </c>
      <c r="AF275" t="str">
        <f>TEXT(Table1[[#This Row],[OrderDate]],"MMM")</f>
        <v>Mar</v>
      </c>
      <c r="AG275" t="str">
        <f>TEXT(Table1[[#This Row],[OrderDate]],"YYYY")</f>
        <v>2024</v>
      </c>
      <c r="AI275" s="4">
        <f>IF(Table1[[#This Row],[RequiredDate]]&lt;Table1[[#This Row],[OrderDate]], Table1[[#This Row],[OrderDate]]+7, Table1[[#This Row],[RequiredDate]])</f>
        <v>45376</v>
      </c>
      <c r="AJ275">
        <f>IF(Dashboard!$D$3&gt;'Staging Data'!V275,'Staging Data'!V275,Dashboard!D$3)</f>
        <v>0.2</v>
      </c>
      <c r="AK275" s="19">
        <f>(100%+Dashboard!$D$4)*'Staging Data'!S275</f>
        <v>748.48200000000008</v>
      </c>
      <c r="AL275">
        <f>(100%+Dashboard!$D$5)*'Staging Data'!W275</f>
        <v>31.049999999999997</v>
      </c>
    </row>
    <row r="276" spans="1:38" x14ac:dyDescent="0.35">
      <c r="A276" s="6" t="s">
        <v>476</v>
      </c>
      <c r="B276" s="4">
        <v>45358</v>
      </c>
      <c r="C276" s="4">
        <v>45385</v>
      </c>
      <c r="D276" s="4">
        <f>IF(Table1[[#This Row],[RequiredDate]]&lt;Table1[[#This Row],[OrderDate]],Table1[[#This Row],[RequiredDate]],Table1[[#This Row],[OrderDate]])</f>
        <v>45358</v>
      </c>
      <c r="E276" s="4">
        <f>IF(Table1[[#This Row],[RequiredDate]]&gt;Table1[[#This Row],[OrderDate]],Table1[[#This Row],[RequiredDate]],Table1[[#This Row],[OrderDate]])</f>
        <v>45385</v>
      </c>
      <c r="F276" s="21">
        <f>Table1[[#This Row],[New RD]]-Table1[[#This Row],[new   od]]</f>
        <v>27</v>
      </c>
      <c r="G276" s="4">
        <f>IF(Table1[[#This Row],[RequiredDate]]&lt;Table1[[#This Row],[OrderDate]], Table1[[#This Row],[OrderDate]]+7, Table1[[#This Row],[RequiredDate]])</f>
        <v>45385</v>
      </c>
      <c r="H276" s="21">
        <f t="shared" si="44"/>
        <v>27</v>
      </c>
      <c r="I276" s="6" t="str">
        <f>IF(Table1[[#This Row],[New LTD]]&lt;=7,"Yes","No")</f>
        <v>No</v>
      </c>
      <c r="J276" s="6" t="str">
        <f t="shared" si="45"/>
        <v>No</v>
      </c>
      <c r="K276" t="s">
        <v>649</v>
      </c>
      <c r="L276" t="s">
        <v>656</v>
      </c>
      <c r="M276" t="s">
        <v>698</v>
      </c>
      <c r="N276" t="s">
        <v>701</v>
      </c>
      <c r="O276" t="s">
        <v>711</v>
      </c>
      <c r="P276" t="s">
        <v>724</v>
      </c>
      <c r="Q276" t="s">
        <v>728</v>
      </c>
      <c r="R276" t="s">
        <v>1195</v>
      </c>
      <c r="S276" s="6">
        <v>738.16</v>
      </c>
      <c r="T276" s="6">
        <v>956.49</v>
      </c>
      <c r="U276" s="6">
        <f t="shared" si="46"/>
        <v>956.49</v>
      </c>
      <c r="V276" s="8">
        <v>0.152</v>
      </c>
      <c r="W276" s="6">
        <v>5</v>
      </c>
      <c r="X276" s="6">
        <f t="shared" si="47"/>
        <v>4055.5175999999997</v>
      </c>
      <c r="Y276">
        <f t="shared" si="48"/>
        <v>3690.7999999999997</v>
      </c>
      <c r="Z276" s="6">
        <f t="shared" si="49"/>
        <v>364.71759999999995</v>
      </c>
      <c r="AA276">
        <f t="shared" si="50"/>
        <v>8.9931208780847108E-2</v>
      </c>
      <c r="AB276" t="str">
        <f t="shared" si="51"/>
        <v>3-2024</v>
      </c>
      <c r="AC276" t="str">
        <f t="shared" si="52"/>
        <v>Q1-2024</v>
      </c>
      <c r="AD276" t="str">
        <f t="shared" si="53"/>
        <v>Europe →Germany →Frankfurt</v>
      </c>
      <c r="AE276" t="str">
        <f t="shared" si="54"/>
        <v>Medium</v>
      </c>
      <c r="AF276" t="str">
        <f>TEXT(Table1[[#This Row],[OrderDate]],"MMM")</f>
        <v>Mar</v>
      </c>
      <c r="AG276" t="str">
        <f>TEXT(Table1[[#This Row],[OrderDate]],"YYYY")</f>
        <v>2024</v>
      </c>
      <c r="AI276" s="4">
        <f>IF(Table1[[#This Row],[RequiredDate]]&lt;Table1[[#This Row],[OrderDate]], Table1[[#This Row],[OrderDate]]+7, Table1[[#This Row],[RequiredDate]])</f>
        <v>45385</v>
      </c>
      <c r="AJ276">
        <f>IF(Dashboard!$D$3&gt;'Staging Data'!V276,'Staging Data'!V276,Dashboard!D$3)</f>
        <v>0.152</v>
      </c>
      <c r="AK276" s="19">
        <f>(100%+Dashboard!$D$4)*'Staging Data'!S276</f>
        <v>775.06799999999998</v>
      </c>
      <c r="AL276">
        <f>(100%+Dashboard!$D$5)*'Staging Data'!W276</f>
        <v>5.75</v>
      </c>
    </row>
    <row r="277" spans="1:38" x14ac:dyDescent="0.35">
      <c r="A277" s="6" t="s">
        <v>377</v>
      </c>
      <c r="B277" s="4">
        <v>45360</v>
      </c>
      <c r="C277" s="4">
        <v>45377</v>
      </c>
      <c r="D277" s="4">
        <f>IF(Table1[[#This Row],[RequiredDate]]&lt;Table1[[#This Row],[OrderDate]],Table1[[#This Row],[RequiredDate]],Table1[[#This Row],[OrderDate]])</f>
        <v>45360</v>
      </c>
      <c r="E277" s="4">
        <f>IF(Table1[[#This Row],[RequiredDate]]&gt;Table1[[#This Row],[OrderDate]],Table1[[#This Row],[RequiredDate]],Table1[[#This Row],[OrderDate]])</f>
        <v>45377</v>
      </c>
      <c r="F277" s="21">
        <f>Table1[[#This Row],[New RD]]-Table1[[#This Row],[new   od]]</f>
        <v>17</v>
      </c>
      <c r="G277" s="4">
        <f>IF(Table1[[#This Row],[RequiredDate]]&lt;Table1[[#This Row],[OrderDate]], Table1[[#This Row],[OrderDate]]+7, Table1[[#This Row],[RequiredDate]])</f>
        <v>45377</v>
      </c>
      <c r="H277" s="21">
        <f t="shared" si="44"/>
        <v>17</v>
      </c>
      <c r="I277" s="6" t="str">
        <f>IF(Table1[[#This Row],[New LTD]]&lt;=7,"Yes","No")</f>
        <v>No</v>
      </c>
      <c r="J277" s="6" t="str">
        <f t="shared" si="45"/>
        <v>Yes</v>
      </c>
      <c r="K277" t="s">
        <v>647</v>
      </c>
      <c r="L277" t="s">
        <v>659</v>
      </c>
      <c r="M277" t="s">
        <v>676</v>
      </c>
      <c r="N277" t="s">
        <v>706</v>
      </c>
      <c r="O277" t="s">
        <v>708</v>
      </c>
      <c r="P277" t="s">
        <v>723</v>
      </c>
      <c r="Q277" t="s">
        <v>732</v>
      </c>
      <c r="R277" t="s">
        <v>1097</v>
      </c>
      <c r="S277" s="6">
        <v>1029.67</v>
      </c>
      <c r="T277" s="6">
        <v>1118.43</v>
      </c>
      <c r="U277" s="6">
        <f t="shared" si="46"/>
        <v>1118.43</v>
      </c>
      <c r="V277" s="8">
        <v>0.27200000000000002</v>
      </c>
      <c r="W277" s="6">
        <v>9</v>
      </c>
      <c r="X277" s="6">
        <f t="shared" si="47"/>
        <v>7327.9533600000004</v>
      </c>
      <c r="Y277">
        <f t="shared" si="48"/>
        <v>9267.0300000000007</v>
      </c>
      <c r="Z277" s="6">
        <f t="shared" si="49"/>
        <v>-1939.0766400000002</v>
      </c>
      <c r="AA277">
        <f t="shared" si="50"/>
        <v>-0.26461367106736061</v>
      </c>
      <c r="AB277" t="str">
        <f t="shared" si="51"/>
        <v>3-2024</v>
      </c>
      <c r="AC277" t="str">
        <f t="shared" si="52"/>
        <v>Q1-2024</v>
      </c>
      <c r="AD277" t="str">
        <f t="shared" si="53"/>
        <v>Asia →China →Shenzhen</v>
      </c>
      <c r="AE277" t="str">
        <f t="shared" si="54"/>
        <v>Medium</v>
      </c>
      <c r="AF277" t="str">
        <f>TEXT(Table1[[#This Row],[OrderDate]],"MMM")</f>
        <v>Mar</v>
      </c>
      <c r="AG277" t="str">
        <f>TEXT(Table1[[#This Row],[OrderDate]],"YYYY")</f>
        <v>2024</v>
      </c>
      <c r="AI277" s="4">
        <f>IF(Table1[[#This Row],[RequiredDate]]&lt;Table1[[#This Row],[OrderDate]], Table1[[#This Row],[OrderDate]]+7, Table1[[#This Row],[RequiredDate]])</f>
        <v>45377</v>
      </c>
      <c r="AJ277">
        <f>IF(Dashboard!$D$3&gt;'Staging Data'!V277,'Staging Data'!V277,Dashboard!D$3)</f>
        <v>0.2</v>
      </c>
      <c r="AK277" s="19">
        <f>(100%+Dashboard!$D$4)*'Staging Data'!S277</f>
        <v>1081.1535000000001</v>
      </c>
      <c r="AL277">
        <f>(100%+Dashboard!$D$5)*'Staging Data'!W277</f>
        <v>10.35</v>
      </c>
    </row>
    <row r="278" spans="1:38" x14ac:dyDescent="0.35">
      <c r="A278" s="6" t="s">
        <v>407</v>
      </c>
      <c r="B278" s="4">
        <v>45360</v>
      </c>
      <c r="C278" s="4">
        <v>45377</v>
      </c>
      <c r="D278" s="4">
        <f>IF(Table1[[#This Row],[RequiredDate]]&lt;Table1[[#This Row],[OrderDate]],Table1[[#This Row],[RequiredDate]],Table1[[#This Row],[OrderDate]])</f>
        <v>45360</v>
      </c>
      <c r="E278" s="4">
        <f>IF(Table1[[#This Row],[RequiredDate]]&gt;Table1[[#This Row],[OrderDate]],Table1[[#This Row],[RequiredDate]],Table1[[#This Row],[OrderDate]])</f>
        <v>45377</v>
      </c>
      <c r="F278" s="21">
        <f>Table1[[#This Row],[New RD]]-Table1[[#This Row],[new   od]]</f>
        <v>17</v>
      </c>
      <c r="G278" s="4">
        <f>IF(Table1[[#This Row],[RequiredDate]]&lt;Table1[[#This Row],[OrderDate]], Table1[[#This Row],[OrderDate]]+7, Table1[[#This Row],[RequiredDate]])</f>
        <v>45377</v>
      </c>
      <c r="H278" s="21">
        <f t="shared" si="44"/>
        <v>17</v>
      </c>
      <c r="I278" s="6" t="str">
        <f>IF(Table1[[#This Row],[New LTD]]&lt;=7,"Yes","No")</f>
        <v>No</v>
      </c>
      <c r="J278" s="6" t="str">
        <f t="shared" si="45"/>
        <v>Yes</v>
      </c>
      <c r="K278" t="s">
        <v>648</v>
      </c>
      <c r="L278" t="s">
        <v>660</v>
      </c>
      <c r="M278" t="s">
        <v>686</v>
      </c>
      <c r="N278" t="s">
        <v>702</v>
      </c>
      <c r="O278" t="s">
        <v>711</v>
      </c>
      <c r="P278" t="s">
        <v>714</v>
      </c>
      <c r="Q278" t="s">
        <v>730</v>
      </c>
      <c r="R278" t="s">
        <v>1126</v>
      </c>
      <c r="S278" s="6">
        <v>1137.4100000000001</v>
      </c>
      <c r="T278" s="6">
        <v>1680.93</v>
      </c>
      <c r="U278" s="6">
        <f t="shared" si="46"/>
        <v>1680.93</v>
      </c>
      <c r="V278" s="8">
        <v>0.254</v>
      </c>
      <c r="W278" s="6">
        <v>9</v>
      </c>
      <c r="X278" s="6">
        <f t="shared" si="47"/>
        <v>11285.764020000001</v>
      </c>
      <c r="Y278">
        <f t="shared" si="48"/>
        <v>10236.69</v>
      </c>
      <c r="Z278" s="6">
        <f t="shared" si="49"/>
        <v>1049.07402</v>
      </c>
      <c r="AA278">
        <f t="shared" si="50"/>
        <v>9.2955516183121464E-2</v>
      </c>
      <c r="AB278" t="str">
        <f t="shared" si="51"/>
        <v>3-2024</v>
      </c>
      <c r="AC278" t="str">
        <f t="shared" si="52"/>
        <v>Q1-2024</v>
      </c>
      <c r="AD278" t="str">
        <f t="shared" si="53"/>
        <v>Americas →USA →San Francisco</v>
      </c>
      <c r="AE278" t="str">
        <f t="shared" si="54"/>
        <v>High</v>
      </c>
      <c r="AF278" t="str">
        <f>TEXT(Table1[[#This Row],[OrderDate]],"MMM")</f>
        <v>Mar</v>
      </c>
      <c r="AG278" t="str">
        <f>TEXT(Table1[[#This Row],[OrderDate]],"YYYY")</f>
        <v>2024</v>
      </c>
      <c r="AI278" s="4">
        <f>IF(Table1[[#This Row],[RequiredDate]]&lt;Table1[[#This Row],[OrderDate]], Table1[[#This Row],[OrderDate]]+7, Table1[[#This Row],[RequiredDate]])</f>
        <v>45377</v>
      </c>
      <c r="AJ278">
        <f>IF(Dashboard!$D$3&gt;'Staging Data'!V278,'Staging Data'!V278,Dashboard!D$3)</f>
        <v>0.2</v>
      </c>
      <c r="AK278" s="19">
        <f>(100%+Dashboard!$D$4)*'Staging Data'!S278</f>
        <v>1194.2805000000001</v>
      </c>
      <c r="AL278">
        <f>(100%+Dashboard!$D$5)*'Staging Data'!W278</f>
        <v>10.35</v>
      </c>
    </row>
    <row r="279" spans="1:38" x14ac:dyDescent="0.35">
      <c r="A279" s="6" t="s">
        <v>614</v>
      </c>
      <c r="B279" s="4">
        <v>45360</v>
      </c>
      <c r="C279" s="4">
        <v>45373</v>
      </c>
      <c r="D279" s="4">
        <f>IF(Table1[[#This Row],[RequiredDate]]&lt;Table1[[#This Row],[OrderDate]],Table1[[#This Row],[RequiredDate]],Table1[[#This Row],[OrderDate]])</f>
        <v>45360</v>
      </c>
      <c r="E279" s="4">
        <f>IF(Table1[[#This Row],[RequiredDate]]&gt;Table1[[#This Row],[OrderDate]],Table1[[#This Row],[RequiredDate]],Table1[[#This Row],[OrderDate]])</f>
        <v>45373</v>
      </c>
      <c r="F279" s="21">
        <f>Table1[[#This Row],[New RD]]-Table1[[#This Row],[new   od]]</f>
        <v>13</v>
      </c>
      <c r="G279" s="4">
        <f>IF(Table1[[#This Row],[RequiredDate]]&lt;Table1[[#This Row],[OrderDate]], Table1[[#This Row],[OrderDate]]+7, Table1[[#This Row],[RequiredDate]])</f>
        <v>45373</v>
      </c>
      <c r="H279" s="21">
        <f t="shared" si="44"/>
        <v>13</v>
      </c>
      <c r="I279" s="6" t="str">
        <f>IF(Table1[[#This Row],[New LTD]]&lt;=7,"Yes","No")</f>
        <v>No</v>
      </c>
      <c r="J279" s="6" t="str">
        <f t="shared" si="45"/>
        <v>No</v>
      </c>
      <c r="K279" t="s">
        <v>649</v>
      </c>
      <c r="L279" t="s">
        <v>658</v>
      </c>
      <c r="M279" t="s">
        <v>693</v>
      </c>
      <c r="N279" t="s">
        <v>704</v>
      </c>
      <c r="O279" t="s">
        <v>708</v>
      </c>
      <c r="P279" t="s">
        <v>718</v>
      </c>
      <c r="Q279" t="s">
        <v>731</v>
      </c>
      <c r="R279" t="s">
        <v>1332</v>
      </c>
      <c r="S279" s="6">
        <v>985.45</v>
      </c>
      <c r="T279" s="6">
        <v>1802.44</v>
      </c>
      <c r="U279" s="6">
        <f t="shared" si="46"/>
        <v>1802.44</v>
      </c>
      <c r="V279" s="8">
        <v>8.9999999999999993E-3</v>
      </c>
      <c r="W279" s="6">
        <v>19</v>
      </c>
      <c r="X279" s="6">
        <f t="shared" si="47"/>
        <v>33938.142760000002</v>
      </c>
      <c r="Y279">
        <f t="shared" si="48"/>
        <v>18723.55</v>
      </c>
      <c r="Z279" s="6">
        <f t="shared" si="49"/>
        <v>15214.592760000003</v>
      </c>
      <c r="AA279">
        <f t="shared" si="50"/>
        <v>0.44830363486867486</v>
      </c>
      <c r="AB279" t="str">
        <f t="shared" si="51"/>
        <v>3-2024</v>
      </c>
      <c r="AC279" t="str">
        <f t="shared" si="52"/>
        <v>Q1-2024</v>
      </c>
      <c r="AD279" t="str">
        <f t="shared" si="53"/>
        <v>Europe →United Kingdom →Manchester</v>
      </c>
      <c r="AE279" t="str">
        <f t="shared" si="54"/>
        <v>High</v>
      </c>
      <c r="AF279" t="str">
        <f>TEXT(Table1[[#This Row],[OrderDate]],"MMM")</f>
        <v>Mar</v>
      </c>
      <c r="AG279" t="str">
        <f>TEXT(Table1[[#This Row],[OrderDate]],"YYYY")</f>
        <v>2024</v>
      </c>
      <c r="AI279" s="4">
        <f>IF(Table1[[#This Row],[RequiredDate]]&lt;Table1[[#This Row],[OrderDate]], Table1[[#This Row],[OrderDate]]+7, Table1[[#This Row],[RequiredDate]])</f>
        <v>45373</v>
      </c>
      <c r="AJ279">
        <f>IF(Dashboard!$D$3&gt;'Staging Data'!V279,'Staging Data'!V279,Dashboard!D$3)</f>
        <v>8.9999999999999993E-3</v>
      </c>
      <c r="AK279" s="19">
        <f>(100%+Dashboard!$D$4)*'Staging Data'!S279</f>
        <v>1034.7225000000001</v>
      </c>
      <c r="AL279">
        <f>(100%+Dashboard!$D$5)*'Staging Data'!W279</f>
        <v>21.849999999999998</v>
      </c>
    </row>
    <row r="280" spans="1:38" x14ac:dyDescent="0.35">
      <c r="A280" s="6" t="s">
        <v>75</v>
      </c>
      <c r="B280" s="4">
        <v>45361</v>
      </c>
      <c r="C280" s="4">
        <v>45391</v>
      </c>
      <c r="D280" s="4">
        <f>IF(Table1[[#This Row],[RequiredDate]]&lt;Table1[[#This Row],[OrderDate]],Table1[[#This Row],[RequiredDate]],Table1[[#This Row],[OrderDate]])</f>
        <v>45361</v>
      </c>
      <c r="E280" s="4">
        <f>IF(Table1[[#This Row],[RequiredDate]]&gt;Table1[[#This Row],[OrderDate]],Table1[[#This Row],[RequiredDate]],Table1[[#This Row],[OrderDate]])</f>
        <v>45391</v>
      </c>
      <c r="F280" s="21">
        <f>Table1[[#This Row],[New RD]]-Table1[[#This Row],[new   od]]</f>
        <v>30</v>
      </c>
      <c r="G280" s="4">
        <f>IF(Table1[[#This Row],[RequiredDate]]&lt;Table1[[#This Row],[OrderDate]], Table1[[#This Row],[OrderDate]]+7, Table1[[#This Row],[RequiredDate]])</f>
        <v>45391</v>
      </c>
      <c r="H280" s="21">
        <f t="shared" si="44"/>
        <v>30</v>
      </c>
      <c r="I280" s="6" t="str">
        <f>IF(Table1[[#This Row],[New LTD]]&lt;=7,"Yes","No")</f>
        <v>No</v>
      </c>
      <c r="J280" s="6" t="str">
        <f t="shared" si="45"/>
        <v>No</v>
      </c>
      <c r="K280" t="s">
        <v>649</v>
      </c>
      <c r="L280" t="s">
        <v>657</v>
      </c>
      <c r="M280" t="s">
        <v>679</v>
      </c>
      <c r="N280" t="s">
        <v>701</v>
      </c>
      <c r="O280" t="s">
        <v>711</v>
      </c>
      <c r="P280" t="s">
        <v>714</v>
      </c>
      <c r="Q280" t="s">
        <v>727</v>
      </c>
      <c r="R280" t="s">
        <v>794</v>
      </c>
      <c r="S280" s="6">
        <v>1176.56</v>
      </c>
      <c r="T280" s="6">
        <v>1911.89</v>
      </c>
      <c r="U280" s="6">
        <f t="shared" si="46"/>
        <v>1911.89</v>
      </c>
      <c r="V280" s="8">
        <v>0.11899999999999999</v>
      </c>
      <c r="W280" s="6">
        <v>20</v>
      </c>
      <c r="X280" s="6">
        <f t="shared" si="47"/>
        <v>33687.501800000005</v>
      </c>
      <c r="Y280">
        <f t="shared" si="48"/>
        <v>23531.199999999997</v>
      </c>
      <c r="Z280" s="6">
        <f t="shared" si="49"/>
        <v>10156.301800000008</v>
      </c>
      <c r="AA280">
        <f t="shared" si="50"/>
        <v>0.30148575160892477</v>
      </c>
      <c r="AB280" t="str">
        <f t="shared" si="51"/>
        <v>3-2024</v>
      </c>
      <c r="AC280" t="str">
        <f t="shared" si="52"/>
        <v>Q1-2024</v>
      </c>
      <c r="AD280" t="str">
        <f t="shared" si="53"/>
        <v>Europe →France →Lyon</v>
      </c>
      <c r="AE280" t="str">
        <f t="shared" si="54"/>
        <v>High</v>
      </c>
      <c r="AF280" t="str">
        <f>TEXT(Table1[[#This Row],[OrderDate]],"MMM")</f>
        <v>Mar</v>
      </c>
      <c r="AG280" t="str">
        <f>TEXT(Table1[[#This Row],[OrderDate]],"YYYY")</f>
        <v>2024</v>
      </c>
      <c r="AI280" s="4">
        <f>IF(Table1[[#This Row],[RequiredDate]]&lt;Table1[[#This Row],[OrderDate]], Table1[[#This Row],[OrderDate]]+7, Table1[[#This Row],[RequiredDate]])</f>
        <v>45391</v>
      </c>
      <c r="AJ280">
        <f>IF(Dashboard!$D$3&gt;'Staging Data'!V280,'Staging Data'!V280,Dashboard!D$3)</f>
        <v>0.11899999999999999</v>
      </c>
      <c r="AK280" s="19">
        <f>(100%+Dashboard!$D$4)*'Staging Data'!S280</f>
        <v>1235.3879999999999</v>
      </c>
      <c r="AL280">
        <f>(100%+Dashboard!$D$5)*'Staging Data'!W280</f>
        <v>23</v>
      </c>
    </row>
    <row r="281" spans="1:38" x14ac:dyDescent="0.35">
      <c r="A281" s="6" t="s">
        <v>15</v>
      </c>
      <c r="B281" s="4">
        <v>45362</v>
      </c>
      <c r="C281" s="4">
        <v>45388</v>
      </c>
      <c r="D281" s="4">
        <f>IF(Table1[[#This Row],[RequiredDate]]&lt;Table1[[#This Row],[OrderDate]],Table1[[#This Row],[RequiredDate]],Table1[[#This Row],[OrderDate]])</f>
        <v>45362</v>
      </c>
      <c r="E281" s="4">
        <f>IF(Table1[[#This Row],[RequiredDate]]&gt;Table1[[#This Row],[OrderDate]],Table1[[#This Row],[RequiredDate]],Table1[[#This Row],[OrderDate]])</f>
        <v>45388</v>
      </c>
      <c r="F281" s="21">
        <f>Table1[[#This Row],[New RD]]-Table1[[#This Row],[new   od]]</f>
        <v>26</v>
      </c>
      <c r="G281" s="4">
        <f>IF(Table1[[#This Row],[RequiredDate]]&lt;Table1[[#This Row],[OrderDate]], Table1[[#This Row],[OrderDate]]+7, Table1[[#This Row],[RequiredDate]])</f>
        <v>45388</v>
      </c>
      <c r="H281" s="21">
        <f t="shared" si="44"/>
        <v>26</v>
      </c>
      <c r="I281" s="6" t="str">
        <f>IF(Table1[[#This Row],[New LTD]]&lt;=7,"Yes","No")</f>
        <v>No</v>
      </c>
      <c r="J281" s="6" t="str">
        <f t="shared" si="45"/>
        <v>No</v>
      </c>
      <c r="K281" t="s">
        <v>646</v>
      </c>
      <c r="L281" t="s">
        <v>650</v>
      </c>
      <c r="M281" t="s">
        <v>662</v>
      </c>
      <c r="N281" t="s">
        <v>701</v>
      </c>
      <c r="O281" t="s">
        <v>707</v>
      </c>
      <c r="P281" t="s">
        <v>712</v>
      </c>
      <c r="Q281" t="s">
        <v>727</v>
      </c>
      <c r="R281" t="s">
        <v>734</v>
      </c>
      <c r="S281" s="6">
        <v>279.24</v>
      </c>
      <c r="T281" s="6">
        <v>608.9</v>
      </c>
      <c r="U281" s="6">
        <f t="shared" si="46"/>
        <v>608.9</v>
      </c>
      <c r="V281" s="8">
        <v>0.112</v>
      </c>
      <c r="W281" s="6">
        <v>9</v>
      </c>
      <c r="X281" s="6">
        <f t="shared" si="47"/>
        <v>4866.3287999999993</v>
      </c>
      <c r="Y281">
        <f t="shared" si="48"/>
        <v>2513.16</v>
      </c>
      <c r="Z281" s="6">
        <f t="shared" si="49"/>
        <v>2353.1687999999995</v>
      </c>
      <c r="AA281">
        <f t="shared" si="50"/>
        <v>0.48356140670149533</v>
      </c>
      <c r="AB281" t="str">
        <f t="shared" si="51"/>
        <v>3-2024</v>
      </c>
      <c r="AC281" t="str">
        <f t="shared" si="52"/>
        <v>Q1-2024</v>
      </c>
      <c r="AD281" t="str">
        <f t="shared" si="53"/>
        <v>Africa →Kenya →Kisumu</v>
      </c>
      <c r="AF281" t="str">
        <f>TEXT(Table1[[#This Row],[OrderDate]],"MMM")</f>
        <v>Mar</v>
      </c>
      <c r="AG281" t="str">
        <f>TEXT(Table1[[#This Row],[OrderDate]],"YYYY")</f>
        <v>2024</v>
      </c>
      <c r="AI281" s="4">
        <f>IF(Table1[[#This Row],[RequiredDate]]&lt;Table1[[#This Row],[OrderDate]], Table1[[#This Row],[OrderDate]]+7, Table1[[#This Row],[RequiredDate]])</f>
        <v>45388</v>
      </c>
      <c r="AJ281">
        <f>IF(Dashboard!$D$3&gt;'Staging Data'!V281,'Staging Data'!V281,Dashboard!D$3)</f>
        <v>0.112</v>
      </c>
      <c r="AK281" s="19">
        <f>(100%+Dashboard!$D$4)*'Staging Data'!S281</f>
        <v>293.202</v>
      </c>
      <c r="AL281">
        <f>(100%+Dashboard!$D$5)*'Staging Data'!W281</f>
        <v>10.35</v>
      </c>
    </row>
    <row r="282" spans="1:38" x14ac:dyDescent="0.35">
      <c r="A282" s="6" t="s">
        <v>572</v>
      </c>
      <c r="B282" s="4">
        <v>45362</v>
      </c>
      <c r="C282" s="4">
        <v>45380</v>
      </c>
      <c r="D282" s="4">
        <f>IF(Table1[[#This Row],[RequiredDate]]&lt;Table1[[#This Row],[OrderDate]],Table1[[#This Row],[RequiredDate]],Table1[[#This Row],[OrderDate]])</f>
        <v>45362</v>
      </c>
      <c r="E282" s="4">
        <f>IF(Table1[[#This Row],[RequiredDate]]&gt;Table1[[#This Row],[OrderDate]],Table1[[#This Row],[RequiredDate]],Table1[[#This Row],[OrderDate]])</f>
        <v>45380</v>
      </c>
      <c r="F282" s="21">
        <f>Table1[[#This Row],[New RD]]-Table1[[#This Row],[new   od]]</f>
        <v>18</v>
      </c>
      <c r="G282" s="4">
        <f>IF(Table1[[#This Row],[RequiredDate]]&lt;Table1[[#This Row],[OrderDate]], Table1[[#This Row],[OrderDate]]+7, Table1[[#This Row],[RequiredDate]])</f>
        <v>45380</v>
      </c>
      <c r="H282" s="21">
        <f t="shared" si="44"/>
        <v>18</v>
      </c>
      <c r="I282" s="6" t="str">
        <f>IF(Table1[[#This Row],[New LTD]]&lt;=7,"Yes","No")</f>
        <v>No</v>
      </c>
      <c r="J282" s="6" t="str">
        <f t="shared" si="45"/>
        <v>Yes</v>
      </c>
      <c r="K282" t="s">
        <v>648</v>
      </c>
      <c r="L282" t="s">
        <v>660</v>
      </c>
      <c r="M282" t="s">
        <v>700</v>
      </c>
      <c r="N282" t="s">
        <v>701</v>
      </c>
      <c r="O282" t="s">
        <v>707</v>
      </c>
      <c r="P282" t="s">
        <v>724</v>
      </c>
      <c r="Q282" t="s">
        <v>732</v>
      </c>
      <c r="R282" t="s">
        <v>1290</v>
      </c>
      <c r="S282" s="6">
        <v>710.98</v>
      </c>
      <c r="T282" s="6">
        <v>1481.45</v>
      </c>
      <c r="U282" s="6">
        <f t="shared" si="46"/>
        <v>1481.45</v>
      </c>
      <c r="V282" s="8">
        <v>0.21099999999999999</v>
      </c>
      <c r="W282" s="6">
        <v>9</v>
      </c>
      <c r="X282" s="6">
        <f t="shared" si="47"/>
        <v>10519.776450000001</v>
      </c>
      <c r="Y282">
        <f t="shared" si="48"/>
        <v>6398.82</v>
      </c>
      <c r="Z282" s="6">
        <f t="shared" si="49"/>
        <v>4120.9564500000015</v>
      </c>
      <c r="AA282">
        <f t="shared" si="50"/>
        <v>0.39173422264120461</v>
      </c>
      <c r="AB282" t="str">
        <f t="shared" si="51"/>
        <v>3-2024</v>
      </c>
      <c r="AC282" t="str">
        <f t="shared" si="52"/>
        <v>Q1-2024</v>
      </c>
      <c r="AD282" t="str">
        <f t="shared" si="53"/>
        <v>Americas →USA →New York</v>
      </c>
      <c r="AE282" t="str">
        <f t="shared" ref="AE282:AE345" si="55">IF(T282&lt;=LowerCutOff,"Low", IF(T282&lt;=HigherCutOff,"Medium","High"))</f>
        <v>Medium</v>
      </c>
      <c r="AF282" t="str">
        <f>TEXT(Table1[[#This Row],[OrderDate]],"MMM")</f>
        <v>Mar</v>
      </c>
      <c r="AG282" t="str">
        <f>TEXT(Table1[[#This Row],[OrderDate]],"YYYY")</f>
        <v>2024</v>
      </c>
      <c r="AI282" s="4">
        <f>IF(Table1[[#This Row],[RequiredDate]]&lt;Table1[[#This Row],[OrderDate]], Table1[[#This Row],[OrderDate]]+7, Table1[[#This Row],[RequiredDate]])</f>
        <v>45380</v>
      </c>
      <c r="AJ282">
        <f>IF(Dashboard!$D$3&gt;'Staging Data'!V282,'Staging Data'!V282,Dashboard!D$3)</f>
        <v>0.2</v>
      </c>
      <c r="AK282" s="19">
        <f>(100%+Dashboard!$D$4)*'Staging Data'!S282</f>
        <v>746.529</v>
      </c>
      <c r="AL282">
        <f>(100%+Dashboard!$D$5)*'Staging Data'!W282</f>
        <v>10.35</v>
      </c>
    </row>
    <row r="283" spans="1:38" x14ac:dyDescent="0.35">
      <c r="A283" s="6" t="s">
        <v>601</v>
      </c>
      <c r="B283" s="4">
        <v>45364</v>
      </c>
      <c r="C283" s="4">
        <v>45388</v>
      </c>
      <c r="D283" s="4">
        <f>IF(Table1[[#This Row],[RequiredDate]]&lt;Table1[[#This Row],[OrderDate]],Table1[[#This Row],[RequiredDate]],Table1[[#This Row],[OrderDate]])</f>
        <v>45364</v>
      </c>
      <c r="E283" s="4">
        <f>IF(Table1[[#This Row],[RequiredDate]]&gt;Table1[[#This Row],[OrderDate]],Table1[[#This Row],[RequiredDate]],Table1[[#This Row],[OrderDate]])</f>
        <v>45388</v>
      </c>
      <c r="F283" s="21">
        <f>Table1[[#This Row],[New RD]]-Table1[[#This Row],[new   od]]</f>
        <v>24</v>
      </c>
      <c r="G283" s="4">
        <f>IF(Table1[[#This Row],[RequiredDate]]&lt;Table1[[#This Row],[OrderDate]], Table1[[#This Row],[OrderDate]]+7, Table1[[#This Row],[RequiredDate]])</f>
        <v>45388</v>
      </c>
      <c r="H283" s="21">
        <f t="shared" si="44"/>
        <v>24</v>
      </c>
      <c r="I283" s="6" t="str">
        <f>IF(Table1[[#This Row],[New LTD]]&lt;=7,"Yes","No")</f>
        <v>No</v>
      </c>
      <c r="J283" s="6" t="str">
        <f t="shared" si="45"/>
        <v>No</v>
      </c>
      <c r="K283" t="s">
        <v>646</v>
      </c>
      <c r="L283" t="s">
        <v>651</v>
      </c>
      <c r="M283" t="s">
        <v>669</v>
      </c>
      <c r="N283" t="s">
        <v>704</v>
      </c>
      <c r="O283" t="s">
        <v>710</v>
      </c>
      <c r="P283" t="s">
        <v>716</v>
      </c>
      <c r="Q283" t="s">
        <v>727</v>
      </c>
      <c r="R283" t="s">
        <v>1319</v>
      </c>
      <c r="S283" s="6">
        <v>1232.78</v>
      </c>
      <c r="T283" s="6">
        <v>1731.75</v>
      </c>
      <c r="U283" s="6">
        <f t="shared" si="46"/>
        <v>1731.75</v>
      </c>
      <c r="V283" s="8">
        <v>9.2999999999999999E-2</v>
      </c>
      <c r="W283" s="6">
        <v>16</v>
      </c>
      <c r="X283" s="6">
        <f t="shared" si="47"/>
        <v>25131.155999999999</v>
      </c>
      <c r="Y283">
        <f t="shared" si="48"/>
        <v>19724.48</v>
      </c>
      <c r="Z283" s="6">
        <f t="shared" si="49"/>
        <v>5406.6759999999995</v>
      </c>
      <c r="AA283">
        <f t="shared" si="50"/>
        <v>0.21513837246484005</v>
      </c>
      <c r="AB283" t="str">
        <f t="shared" si="51"/>
        <v>3-2024</v>
      </c>
      <c r="AC283" t="str">
        <f t="shared" si="52"/>
        <v>Q1-2024</v>
      </c>
      <c r="AD283" t="str">
        <f t="shared" si="53"/>
        <v>Africa →Nigeria →Abuja</v>
      </c>
      <c r="AE283" t="str">
        <f t="shared" si="55"/>
        <v>High</v>
      </c>
      <c r="AF283" t="str">
        <f>TEXT(Table1[[#This Row],[OrderDate]],"MMM")</f>
        <v>Mar</v>
      </c>
      <c r="AG283" t="str">
        <f>TEXT(Table1[[#This Row],[OrderDate]],"YYYY")</f>
        <v>2024</v>
      </c>
      <c r="AI283" s="4">
        <f>IF(Table1[[#This Row],[RequiredDate]]&lt;Table1[[#This Row],[OrderDate]], Table1[[#This Row],[OrderDate]]+7, Table1[[#This Row],[RequiredDate]])</f>
        <v>45388</v>
      </c>
      <c r="AJ283">
        <f>IF(Dashboard!$D$3&gt;'Staging Data'!V283,'Staging Data'!V283,Dashboard!D$3)</f>
        <v>9.2999999999999999E-2</v>
      </c>
      <c r="AK283" s="19">
        <f>(100%+Dashboard!$D$4)*'Staging Data'!S283</f>
        <v>1294.4190000000001</v>
      </c>
      <c r="AL283">
        <f>(100%+Dashboard!$D$5)*'Staging Data'!W283</f>
        <v>18.399999999999999</v>
      </c>
    </row>
    <row r="284" spans="1:38" x14ac:dyDescent="0.35">
      <c r="A284" s="6" t="s">
        <v>266</v>
      </c>
      <c r="B284" s="4">
        <v>45366</v>
      </c>
      <c r="C284" s="4">
        <v>45391</v>
      </c>
      <c r="D284" s="4">
        <f>IF(Table1[[#This Row],[RequiredDate]]&lt;Table1[[#This Row],[OrderDate]],Table1[[#This Row],[RequiredDate]],Table1[[#This Row],[OrderDate]])</f>
        <v>45366</v>
      </c>
      <c r="E284" s="4">
        <f>IF(Table1[[#This Row],[RequiredDate]]&gt;Table1[[#This Row],[OrderDate]],Table1[[#This Row],[RequiredDate]],Table1[[#This Row],[OrderDate]])</f>
        <v>45391</v>
      </c>
      <c r="F284" s="21">
        <f>Table1[[#This Row],[New RD]]-Table1[[#This Row],[new   od]]</f>
        <v>25</v>
      </c>
      <c r="G284" s="4">
        <f>IF(Table1[[#This Row],[RequiredDate]]&lt;Table1[[#This Row],[OrderDate]], Table1[[#This Row],[OrderDate]]+7, Table1[[#This Row],[RequiredDate]])</f>
        <v>45391</v>
      </c>
      <c r="H284" s="21">
        <f t="shared" si="44"/>
        <v>25</v>
      </c>
      <c r="I284" s="6" t="str">
        <f>IF(Table1[[#This Row],[New LTD]]&lt;=7,"Yes","No")</f>
        <v>No</v>
      </c>
      <c r="J284" s="6" t="str">
        <f t="shared" si="45"/>
        <v>Yes</v>
      </c>
      <c r="K284" t="s">
        <v>648</v>
      </c>
      <c r="L284" t="s">
        <v>653</v>
      </c>
      <c r="M284" t="s">
        <v>688</v>
      </c>
      <c r="N284" t="s">
        <v>704</v>
      </c>
      <c r="O284" t="s">
        <v>708</v>
      </c>
      <c r="P284" t="s">
        <v>721</v>
      </c>
      <c r="Q284" t="s">
        <v>732</v>
      </c>
      <c r="R284" t="s">
        <v>986</v>
      </c>
      <c r="S284" s="6">
        <v>648.64</v>
      </c>
      <c r="T284" s="6">
        <v>815.19</v>
      </c>
      <c r="U284" s="6">
        <f t="shared" si="46"/>
        <v>815.19</v>
      </c>
      <c r="V284" s="8">
        <v>0.22500000000000001</v>
      </c>
      <c r="W284" s="6">
        <v>28</v>
      </c>
      <c r="X284" s="6">
        <f t="shared" si="47"/>
        <v>17689.623</v>
      </c>
      <c r="Y284">
        <f t="shared" si="48"/>
        <v>18161.919999999998</v>
      </c>
      <c r="Z284" s="6">
        <f t="shared" si="49"/>
        <v>-472.29699999999866</v>
      </c>
      <c r="AA284">
        <f t="shared" si="50"/>
        <v>-2.6699099240272032E-2</v>
      </c>
      <c r="AB284" t="str">
        <f t="shared" si="51"/>
        <v>3-2024</v>
      </c>
      <c r="AC284" t="str">
        <f t="shared" si="52"/>
        <v>Q1-2024</v>
      </c>
      <c r="AD284" t="str">
        <f t="shared" si="53"/>
        <v>Americas →Canada →Vancouver</v>
      </c>
      <c r="AE284" t="str">
        <f t="shared" si="55"/>
        <v>Low</v>
      </c>
      <c r="AF284" t="str">
        <f>TEXT(Table1[[#This Row],[OrderDate]],"MMM")</f>
        <v>Mar</v>
      </c>
      <c r="AG284" t="str">
        <f>TEXT(Table1[[#This Row],[OrderDate]],"YYYY")</f>
        <v>2024</v>
      </c>
      <c r="AI284" s="4">
        <f>IF(Table1[[#This Row],[RequiredDate]]&lt;Table1[[#This Row],[OrderDate]], Table1[[#This Row],[OrderDate]]+7, Table1[[#This Row],[RequiredDate]])</f>
        <v>45391</v>
      </c>
      <c r="AJ284">
        <f>IF(Dashboard!$D$3&gt;'Staging Data'!V284,'Staging Data'!V284,Dashboard!D$3)</f>
        <v>0.2</v>
      </c>
      <c r="AK284" s="19">
        <f>(100%+Dashboard!$D$4)*'Staging Data'!S284</f>
        <v>681.072</v>
      </c>
      <c r="AL284">
        <f>(100%+Dashboard!$D$5)*'Staging Data'!W284</f>
        <v>32.199999999999996</v>
      </c>
    </row>
    <row r="285" spans="1:38" x14ac:dyDescent="0.35">
      <c r="A285" s="6" t="s">
        <v>288</v>
      </c>
      <c r="B285" s="4">
        <v>45367</v>
      </c>
      <c r="C285" s="4">
        <v>45395</v>
      </c>
      <c r="D285" s="4">
        <f>IF(Table1[[#This Row],[RequiredDate]]&lt;Table1[[#This Row],[OrderDate]],Table1[[#This Row],[RequiredDate]],Table1[[#This Row],[OrderDate]])</f>
        <v>45367</v>
      </c>
      <c r="E285" s="4">
        <f>IF(Table1[[#This Row],[RequiredDate]]&gt;Table1[[#This Row],[OrderDate]],Table1[[#This Row],[RequiredDate]],Table1[[#This Row],[OrderDate]])</f>
        <v>45395</v>
      </c>
      <c r="F285" s="21">
        <f>Table1[[#This Row],[New RD]]-Table1[[#This Row],[new   od]]</f>
        <v>28</v>
      </c>
      <c r="G285" s="4">
        <f>IF(Table1[[#This Row],[RequiredDate]]&lt;Table1[[#This Row],[OrderDate]], Table1[[#This Row],[OrderDate]]+7, Table1[[#This Row],[RequiredDate]])</f>
        <v>45395</v>
      </c>
      <c r="H285" s="21">
        <f t="shared" si="44"/>
        <v>28</v>
      </c>
      <c r="I285" s="6" t="str">
        <f>IF(Table1[[#This Row],[New LTD]]&lt;=7,"Yes","No")</f>
        <v>No</v>
      </c>
      <c r="J285" s="6" t="str">
        <f t="shared" si="45"/>
        <v>No</v>
      </c>
      <c r="K285" t="s">
        <v>649</v>
      </c>
      <c r="L285" t="s">
        <v>657</v>
      </c>
      <c r="M285" t="s">
        <v>690</v>
      </c>
      <c r="N285" t="s">
        <v>705</v>
      </c>
      <c r="O285" t="s">
        <v>708</v>
      </c>
      <c r="P285" t="s">
        <v>723</v>
      </c>
      <c r="Q285" t="s">
        <v>728</v>
      </c>
      <c r="R285" t="s">
        <v>1008</v>
      </c>
      <c r="S285" s="6">
        <v>287.61</v>
      </c>
      <c r="T285" s="6">
        <v>628.54</v>
      </c>
      <c r="U285" s="6">
        <f t="shared" si="46"/>
        <v>628.54</v>
      </c>
      <c r="V285" s="8">
        <v>0.13500000000000001</v>
      </c>
      <c r="W285" s="6">
        <v>21</v>
      </c>
      <c r="X285" s="6">
        <f t="shared" si="47"/>
        <v>11417.429099999999</v>
      </c>
      <c r="Y285">
        <f t="shared" si="48"/>
        <v>6039.81</v>
      </c>
      <c r="Z285" s="6">
        <f t="shared" si="49"/>
        <v>5377.619099999999</v>
      </c>
      <c r="AA285">
        <f t="shared" si="50"/>
        <v>0.47100087531964613</v>
      </c>
      <c r="AB285" t="str">
        <f t="shared" si="51"/>
        <v>3-2024</v>
      </c>
      <c r="AC285" t="str">
        <f t="shared" si="52"/>
        <v>Q1-2024</v>
      </c>
      <c r="AD285" t="str">
        <f t="shared" si="53"/>
        <v>Europe →France →Paris</v>
      </c>
      <c r="AE285" t="str">
        <f t="shared" si="55"/>
        <v>Low</v>
      </c>
      <c r="AF285" t="str">
        <f>TEXT(Table1[[#This Row],[OrderDate]],"MMM")</f>
        <v>Mar</v>
      </c>
      <c r="AG285" t="str">
        <f>TEXT(Table1[[#This Row],[OrderDate]],"YYYY")</f>
        <v>2024</v>
      </c>
      <c r="AI285" s="4">
        <f>IF(Table1[[#This Row],[RequiredDate]]&lt;Table1[[#This Row],[OrderDate]], Table1[[#This Row],[OrderDate]]+7, Table1[[#This Row],[RequiredDate]])</f>
        <v>45395</v>
      </c>
      <c r="AJ285">
        <f>IF(Dashboard!$D$3&gt;'Staging Data'!V285,'Staging Data'!V285,Dashboard!D$3)</f>
        <v>0.13500000000000001</v>
      </c>
      <c r="AK285" s="19">
        <f>(100%+Dashboard!$D$4)*'Staging Data'!S285</f>
        <v>301.99050000000005</v>
      </c>
      <c r="AL285">
        <f>(100%+Dashboard!$D$5)*'Staging Data'!W285</f>
        <v>24.15</v>
      </c>
    </row>
    <row r="286" spans="1:38" x14ac:dyDescent="0.35">
      <c r="A286" s="6" t="s">
        <v>85</v>
      </c>
      <c r="B286" s="4">
        <v>45369</v>
      </c>
      <c r="C286" s="4">
        <v>45372</v>
      </c>
      <c r="D286" s="4">
        <f>IF(Table1[[#This Row],[RequiredDate]]&lt;Table1[[#This Row],[OrderDate]],Table1[[#This Row],[RequiredDate]],Table1[[#This Row],[OrderDate]])</f>
        <v>45369</v>
      </c>
      <c r="E286" s="4">
        <f>IF(Table1[[#This Row],[RequiredDate]]&gt;Table1[[#This Row],[OrderDate]],Table1[[#This Row],[RequiredDate]],Table1[[#This Row],[OrderDate]])</f>
        <v>45372</v>
      </c>
      <c r="F286" s="21">
        <f>Table1[[#This Row],[New RD]]-Table1[[#This Row],[new   od]]</f>
        <v>3</v>
      </c>
      <c r="G286" s="4">
        <f>IF(Table1[[#This Row],[RequiredDate]]&lt;Table1[[#This Row],[OrderDate]], Table1[[#This Row],[OrderDate]]+7, Table1[[#This Row],[RequiredDate]])</f>
        <v>45372</v>
      </c>
      <c r="H286" s="21">
        <f t="shared" si="44"/>
        <v>3</v>
      </c>
      <c r="I286" s="6" t="str">
        <f>IF(Table1[[#This Row],[New LTD]]&lt;=7,"Yes","No")</f>
        <v>Yes</v>
      </c>
      <c r="J286" s="6" t="str">
        <f t="shared" si="45"/>
        <v>No</v>
      </c>
      <c r="K286" t="s">
        <v>649</v>
      </c>
      <c r="L286" t="s">
        <v>656</v>
      </c>
      <c r="M286" t="s">
        <v>684</v>
      </c>
      <c r="N286" t="s">
        <v>705</v>
      </c>
      <c r="O286" t="s">
        <v>708</v>
      </c>
      <c r="P286" t="s">
        <v>724</v>
      </c>
      <c r="Q286" t="s">
        <v>733</v>
      </c>
      <c r="R286" t="s">
        <v>804</v>
      </c>
      <c r="S286" s="6">
        <v>910.63</v>
      </c>
      <c r="T286" s="6">
        <v>1269.4000000000001</v>
      </c>
      <c r="U286" s="6">
        <f t="shared" si="46"/>
        <v>1269.4000000000001</v>
      </c>
      <c r="V286" s="8">
        <v>6.8000000000000005E-2</v>
      </c>
      <c r="W286" s="6">
        <v>9</v>
      </c>
      <c r="X286" s="6">
        <f t="shared" si="47"/>
        <v>10647.727199999999</v>
      </c>
      <c r="Y286">
        <f t="shared" si="48"/>
        <v>8195.67</v>
      </c>
      <c r="Z286" s="6">
        <f t="shared" si="49"/>
        <v>2452.0571999999993</v>
      </c>
      <c r="AA286">
        <f t="shared" si="50"/>
        <v>0.23028925834989455</v>
      </c>
      <c r="AB286" t="str">
        <f t="shared" si="51"/>
        <v>3-2024</v>
      </c>
      <c r="AC286" t="str">
        <f t="shared" si="52"/>
        <v>Q1-2024</v>
      </c>
      <c r="AD286" t="str">
        <f t="shared" si="53"/>
        <v>Europe →Germany →Munich</v>
      </c>
      <c r="AE286" t="str">
        <f t="shared" si="55"/>
        <v>Medium</v>
      </c>
      <c r="AF286" t="str">
        <f>TEXT(Table1[[#This Row],[OrderDate]],"MMM")</f>
        <v>Mar</v>
      </c>
      <c r="AG286" t="str">
        <f>TEXT(Table1[[#This Row],[OrderDate]],"YYYY")</f>
        <v>2024</v>
      </c>
      <c r="AI286" s="4">
        <f>IF(Table1[[#This Row],[RequiredDate]]&lt;Table1[[#This Row],[OrderDate]], Table1[[#This Row],[OrderDate]]+7, Table1[[#This Row],[RequiredDate]])</f>
        <v>45372</v>
      </c>
      <c r="AJ286">
        <f>IF(Dashboard!$D$3&gt;'Staging Data'!V286,'Staging Data'!V286,Dashboard!D$3)</f>
        <v>6.8000000000000005E-2</v>
      </c>
      <c r="AK286" s="19">
        <f>(100%+Dashboard!$D$4)*'Staging Data'!S286</f>
        <v>956.16150000000005</v>
      </c>
      <c r="AL286">
        <f>(100%+Dashboard!$D$5)*'Staging Data'!W286</f>
        <v>10.35</v>
      </c>
    </row>
    <row r="287" spans="1:38" x14ac:dyDescent="0.35">
      <c r="A287" s="6" t="s">
        <v>455</v>
      </c>
      <c r="B287" s="4">
        <v>45374</v>
      </c>
      <c r="C287" s="4">
        <v>45377</v>
      </c>
      <c r="D287" s="4">
        <f>IF(Table1[[#This Row],[RequiredDate]]&lt;Table1[[#This Row],[OrderDate]],Table1[[#This Row],[RequiredDate]],Table1[[#This Row],[OrderDate]])</f>
        <v>45374</v>
      </c>
      <c r="E287" s="4">
        <f>IF(Table1[[#This Row],[RequiredDate]]&gt;Table1[[#This Row],[OrderDate]],Table1[[#This Row],[RequiredDate]],Table1[[#This Row],[OrderDate]])</f>
        <v>45377</v>
      </c>
      <c r="F287" s="21">
        <f>Table1[[#This Row],[New RD]]-Table1[[#This Row],[new   od]]</f>
        <v>3</v>
      </c>
      <c r="G287" s="4">
        <f>IF(Table1[[#This Row],[RequiredDate]]&lt;Table1[[#This Row],[OrderDate]], Table1[[#This Row],[OrderDate]]+7, Table1[[#This Row],[RequiredDate]])</f>
        <v>45377</v>
      </c>
      <c r="H287" s="21">
        <f t="shared" si="44"/>
        <v>3</v>
      </c>
      <c r="I287" s="6" t="str">
        <f>IF(Table1[[#This Row],[New LTD]]&lt;=7,"Yes","No")</f>
        <v>Yes</v>
      </c>
      <c r="J287" s="6" t="str">
        <f t="shared" si="45"/>
        <v>No</v>
      </c>
      <c r="K287" t="s">
        <v>647</v>
      </c>
      <c r="L287" t="s">
        <v>654</v>
      </c>
      <c r="M287" t="s">
        <v>668</v>
      </c>
      <c r="N287" t="s">
        <v>702</v>
      </c>
      <c r="O287" t="s">
        <v>711</v>
      </c>
      <c r="P287" t="s">
        <v>715</v>
      </c>
      <c r="Q287" t="s">
        <v>730</v>
      </c>
      <c r="R287" t="s">
        <v>1174</v>
      </c>
      <c r="S287" s="6">
        <v>382.21</v>
      </c>
      <c r="T287" s="6">
        <v>571.89</v>
      </c>
      <c r="U287" s="6">
        <f t="shared" si="46"/>
        <v>571.89</v>
      </c>
      <c r="V287" s="8">
        <v>0.14799999999999999</v>
      </c>
      <c r="W287" s="6">
        <v>26</v>
      </c>
      <c r="X287" s="6">
        <f t="shared" si="47"/>
        <v>12668.50728</v>
      </c>
      <c r="Y287">
        <f t="shared" si="48"/>
        <v>9937.4599999999991</v>
      </c>
      <c r="Z287" s="6">
        <f t="shared" si="49"/>
        <v>2731.0472800000007</v>
      </c>
      <c r="AA287">
        <f t="shared" si="50"/>
        <v>0.2155776698578809</v>
      </c>
      <c r="AB287" t="str">
        <f t="shared" si="51"/>
        <v>3-2024</v>
      </c>
      <c r="AC287" t="str">
        <f t="shared" si="52"/>
        <v>Q1-2024</v>
      </c>
      <c r="AD287" t="str">
        <f t="shared" si="53"/>
        <v>Asia →India →Bengaluru</v>
      </c>
      <c r="AE287" t="str">
        <f t="shared" si="55"/>
        <v>Low</v>
      </c>
      <c r="AF287" t="str">
        <f>TEXT(Table1[[#This Row],[OrderDate]],"MMM")</f>
        <v>Mar</v>
      </c>
      <c r="AG287" t="str">
        <f>TEXT(Table1[[#This Row],[OrderDate]],"YYYY")</f>
        <v>2024</v>
      </c>
      <c r="AI287" s="4">
        <f>IF(Table1[[#This Row],[RequiredDate]]&lt;Table1[[#This Row],[OrderDate]], Table1[[#This Row],[OrderDate]]+7, Table1[[#This Row],[RequiredDate]])</f>
        <v>45377</v>
      </c>
      <c r="AJ287">
        <f>IF(Dashboard!$D$3&gt;'Staging Data'!V287,'Staging Data'!V287,Dashboard!D$3)</f>
        <v>0.14799999999999999</v>
      </c>
      <c r="AK287" s="19">
        <f>(100%+Dashboard!$D$4)*'Staging Data'!S287</f>
        <v>401.32049999999998</v>
      </c>
      <c r="AL287">
        <f>(100%+Dashboard!$D$5)*'Staging Data'!W287</f>
        <v>29.9</v>
      </c>
    </row>
    <row r="288" spans="1:38" x14ac:dyDescent="0.35">
      <c r="A288" s="6" t="s">
        <v>312</v>
      </c>
      <c r="B288" s="4">
        <v>45377</v>
      </c>
      <c r="C288" s="4">
        <v>45387</v>
      </c>
      <c r="D288" s="4">
        <f>IF(Table1[[#This Row],[RequiredDate]]&lt;Table1[[#This Row],[OrderDate]],Table1[[#This Row],[RequiredDate]],Table1[[#This Row],[OrderDate]])</f>
        <v>45377</v>
      </c>
      <c r="E288" s="4">
        <f>IF(Table1[[#This Row],[RequiredDate]]&gt;Table1[[#This Row],[OrderDate]],Table1[[#This Row],[RequiredDate]],Table1[[#This Row],[OrderDate]])</f>
        <v>45387</v>
      </c>
      <c r="F288" s="21">
        <f>Table1[[#This Row],[New RD]]-Table1[[#This Row],[new   od]]</f>
        <v>10</v>
      </c>
      <c r="G288" s="4">
        <f>IF(Table1[[#This Row],[RequiredDate]]&lt;Table1[[#This Row],[OrderDate]], Table1[[#This Row],[OrderDate]]+7, Table1[[#This Row],[RequiredDate]])</f>
        <v>45387</v>
      </c>
      <c r="H288" s="21">
        <f t="shared" si="44"/>
        <v>10</v>
      </c>
      <c r="I288" s="6" t="str">
        <f>IF(Table1[[#This Row],[New LTD]]&lt;=7,"Yes","No")</f>
        <v>No</v>
      </c>
      <c r="J288" s="6" t="str">
        <f t="shared" si="45"/>
        <v>No</v>
      </c>
      <c r="K288" t="s">
        <v>648</v>
      </c>
      <c r="L288" t="s">
        <v>660</v>
      </c>
      <c r="M288" t="s">
        <v>697</v>
      </c>
      <c r="N288" t="s">
        <v>704</v>
      </c>
      <c r="O288" t="s">
        <v>711</v>
      </c>
      <c r="P288" t="s">
        <v>713</v>
      </c>
      <c r="Q288" t="s">
        <v>732</v>
      </c>
      <c r="R288" t="s">
        <v>1032</v>
      </c>
      <c r="S288" s="6">
        <v>5.66</v>
      </c>
      <c r="T288" s="6">
        <v>4.22</v>
      </c>
      <c r="U288" s="6">
        <f t="shared" si="46"/>
        <v>4.22</v>
      </c>
      <c r="V288" s="8">
        <v>0.11899999999999999</v>
      </c>
      <c r="W288" s="6">
        <v>18</v>
      </c>
      <c r="X288" s="6">
        <f t="shared" si="47"/>
        <v>66.920760000000001</v>
      </c>
      <c r="Y288">
        <f t="shared" si="48"/>
        <v>101.88</v>
      </c>
      <c r="Z288" s="6">
        <f t="shared" si="49"/>
        <v>-34.959239999999994</v>
      </c>
      <c r="AA288">
        <f t="shared" si="50"/>
        <v>-0.52239753403876454</v>
      </c>
      <c r="AB288" t="str">
        <f t="shared" si="51"/>
        <v>3-2024</v>
      </c>
      <c r="AC288" t="str">
        <f t="shared" si="52"/>
        <v>Q1-2024</v>
      </c>
      <c r="AD288" t="str">
        <f t="shared" si="53"/>
        <v>Americas →USA →Austin</v>
      </c>
      <c r="AE288" t="str">
        <f t="shared" si="55"/>
        <v>Low</v>
      </c>
      <c r="AF288" t="str">
        <f>TEXT(Table1[[#This Row],[OrderDate]],"MMM")</f>
        <v>Mar</v>
      </c>
      <c r="AG288" t="str">
        <f>TEXT(Table1[[#This Row],[OrderDate]],"YYYY")</f>
        <v>2024</v>
      </c>
      <c r="AI288" s="4">
        <f>IF(Table1[[#This Row],[RequiredDate]]&lt;Table1[[#This Row],[OrderDate]], Table1[[#This Row],[OrderDate]]+7, Table1[[#This Row],[RequiredDate]])</f>
        <v>45387</v>
      </c>
      <c r="AJ288">
        <f>IF(Dashboard!$D$3&gt;'Staging Data'!V288,'Staging Data'!V288,Dashboard!D$3)</f>
        <v>0.11899999999999999</v>
      </c>
      <c r="AK288" s="19">
        <f>(100%+Dashboard!$D$4)*'Staging Data'!S288</f>
        <v>5.9430000000000005</v>
      </c>
      <c r="AL288">
        <f>(100%+Dashboard!$D$5)*'Staging Data'!W288</f>
        <v>20.7</v>
      </c>
    </row>
    <row r="289" spans="1:38" x14ac:dyDescent="0.35">
      <c r="A289" s="6" t="s">
        <v>290</v>
      </c>
      <c r="B289" s="4">
        <v>45378</v>
      </c>
      <c r="C289" s="4">
        <v>45393</v>
      </c>
      <c r="D289" s="4">
        <f>IF(Table1[[#This Row],[RequiredDate]]&lt;Table1[[#This Row],[OrderDate]],Table1[[#This Row],[RequiredDate]],Table1[[#This Row],[OrderDate]])</f>
        <v>45378</v>
      </c>
      <c r="E289" s="4">
        <f>IF(Table1[[#This Row],[RequiredDate]]&gt;Table1[[#This Row],[OrderDate]],Table1[[#This Row],[RequiredDate]],Table1[[#This Row],[OrderDate]])</f>
        <v>45393</v>
      </c>
      <c r="F289" s="21">
        <f>Table1[[#This Row],[New RD]]-Table1[[#This Row],[new   od]]</f>
        <v>15</v>
      </c>
      <c r="G289" s="4">
        <f>IF(Table1[[#This Row],[RequiredDate]]&lt;Table1[[#This Row],[OrderDate]], Table1[[#This Row],[OrderDate]]+7, Table1[[#This Row],[RequiredDate]])</f>
        <v>45393</v>
      </c>
      <c r="H289" s="21">
        <f t="shared" si="44"/>
        <v>15</v>
      </c>
      <c r="I289" s="6" t="str">
        <f>IF(Table1[[#This Row],[New LTD]]&lt;=7,"Yes","No")</f>
        <v>No</v>
      </c>
      <c r="J289" s="6" t="str">
        <f t="shared" si="45"/>
        <v>No</v>
      </c>
      <c r="K289" t="s">
        <v>648</v>
      </c>
      <c r="L289" t="s">
        <v>660</v>
      </c>
      <c r="M289" t="s">
        <v>686</v>
      </c>
      <c r="N289" t="s">
        <v>705</v>
      </c>
      <c r="O289" t="s">
        <v>711</v>
      </c>
      <c r="P289" t="s">
        <v>719</v>
      </c>
      <c r="Q289" t="s">
        <v>729</v>
      </c>
      <c r="R289" t="s">
        <v>1010</v>
      </c>
      <c r="S289" s="6">
        <v>1338.35</v>
      </c>
      <c r="T289" s="6">
        <v>2247.14</v>
      </c>
      <c r="U289" s="6">
        <f t="shared" si="46"/>
        <v>2247.14</v>
      </c>
      <c r="V289" s="8">
        <v>0.115</v>
      </c>
      <c r="W289" s="6">
        <v>40</v>
      </c>
      <c r="X289" s="6">
        <f t="shared" si="47"/>
        <v>79548.755999999994</v>
      </c>
      <c r="Y289">
        <f t="shared" si="48"/>
        <v>53534</v>
      </c>
      <c r="Z289" s="6">
        <f t="shared" si="49"/>
        <v>26014.755999999994</v>
      </c>
      <c r="AA289">
        <f t="shared" si="50"/>
        <v>0.32702907384246205</v>
      </c>
      <c r="AB289" t="str">
        <f t="shared" si="51"/>
        <v>3-2024</v>
      </c>
      <c r="AC289" t="str">
        <f t="shared" si="52"/>
        <v>Q1-2024</v>
      </c>
      <c r="AD289" t="str">
        <f t="shared" si="53"/>
        <v>Americas →USA →San Francisco</v>
      </c>
      <c r="AE289" t="str">
        <f t="shared" si="55"/>
        <v>High</v>
      </c>
      <c r="AF289" t="str">
        <f>TEXT(Table1[[#This Row],[OrderDate]],"MMM")</f>
        <v>Mar</v>
      </c>
      <c r="AG289" t="str">
        <f>TEXT(Table1[[#This Row],[OrderDate]],"YYYY")</f>
        <v>2024</v>
      </c>
      <c r="AI289" s="4">
        <f>IF(Table1[[#This Row],[RequiredDate]]&lt;Table1[[#This Row],[OrderDate]], Table1[[#This Row],[OrderDate]]+7, Table1[[#This Row],[RequiredDate]])</f>
        <v>45393</v>
      </c>
      <c r="AJ289">
        <f>IF(Dashboard!$D$3&gt;'Staging Data'!V289,'Staging Data'!V289,Dashboard!D$3)</f>
        <v>0.115</v>
      </c>
      <c r="AK289" s="19">
        <f>(100%+Dashboard!$D$4)*'Staging Data'!S289</f>
        <v>1405.2674999999999</v>
      </c>
      <c r="AL289">
        <f>(100%+Dashboard!$D$5)*'Staging Data'!W289</f>
        <v>46</v>
      </c>
    </row>
    <row r="290" spans="1:38" x14ac:dyDescent="0.35">
      <c r="A290" s="6" t="s">
        <v>253</v>
      </c>
      <c r="B290" s="4">
        <v>45381</v>
      </c>
      <c r="C290" s="4">
        <v>45406</v>
      </c>
      <c r="D290" s="4">
        <f>IF(Table1[[#This Row],[RequiredDate]]&lt;Table1[[#This Row],[OrderDate]],Table1[[#This Row],[RequiredDate]],Table1[[#This Row],[OrderDate]])</f>
        <v>45381</v>
      </c>
      <c r="E290" s="4">
        <f>IF(Table1[[#This Row],[RequiredDate]]&gt;Table1[[#This Row],[OrderDate]],Table1[[#This Row],[RequiredDate]],Table1[[#This Row],[OrderDate]])</f>
        <v>45406</v>
      </c>
      <c r="F290" s="21">
        <f>Table1[[#This Row],[New RD]]-Table1[[#This Row],[new   od]]</f>
        <v>25</v>
      </c>
      <c r="G290" s="4">
        <f>IF(Table1[[#This Row],[RequiredDate]]&lt;Table1[[#This Row],[OrderDate]], Table1[[#This Row],[OrderDate]]+7, Table1[[#This Row],[RequiredDate]])</f>
        <v>45406</v>
      </c>
      <c r="H290" s="21">
        <f t="shared" si="44"/>
        <v>25</v>
      </c>
      <c r="I290" s="6" t="str">
        <f>IF(Table1[[#This Row],[New LTD]]&lt;=7,"Yes","No")</f>
        <v>No</v>
      </c>
      <c r="J290" s="6" t="str">
        <f t="shared" si="45"/>
        <v>No</v>
      </c>
      <c r="K290" t="s">
        <v>648</v>
      </c>
      <c r="L290" t="s">
        <v>660</v>
      </c>
      <c r="M290" t="s">
        <v>697</v>
      </c>
      <c r="N290" t="s">
        <v>703</v>
      </c>
      <c r="O290" t="s">
        <v>708</v>
      </c>
      <c r="P290" t="s">
        <v>715</v>
      </c>
      <c r="Q290" t="s">
        <v>731</v>
      </c>
      <c r="R290" t="s">
        <v>973</v>
      </c>
      <c r="S290" s="6">
        <v>160.82</v>
      </c>
      <c r="T290" s="6">
        <v>258.52</v>
      </c>
      <c r="U290" s="6">
        <f t="shared" si="46"/>
        <v>258.52</v>
      </c>
      <c r="V290" s="8">
        <v>0.13</v>
      </c>
      <c r="W290" s="6">
        <v>17</v>
      </c>
      <c r="X290" s="6">
        <f t="shared" si="47"/>
        <v>3823.5108</v>
      </c>
      <c r="Y290">
        <f t="shared" si="48"/>
        <v>2733.94</v>
      </c>
      <c r="Z290" s="6">
        <f t="shared" si="49"/>
        <v>1089.5708</v>
      </c>
      <c r="AA290">
        <f t="shared" si="50"/>
        <v>0.28496605789631874</v>
      </c>
      <c r="AB290" t="str">
        <f t="shared" si="51"/>
        <v>3-2024</v>
      </c>
      <c r="AC290" t="str">
        <f t="shared" si="52"/>
        <v>Q1-2024</v>
      </c>
      <c r="AD290" t="str">
        <f t="shared" si="53"/>
        <v>Americas →USA →Austin</v>
      </c>
      <c r="AE290" t="str">
        <f t="shared" si="55"/>
        <v>Low</v>
      </c>
      <c r="AF290" t="str">
        <f>TEXT(Table1[[#This Row],[OrderDate]],"MMM")</f>
        <v>Mar</v>
      </c>
      <c r="AG290" t="str">
        <f>TEXT(Table1[[#This Row],[OrderDate]],"YYYY")</f>
        <v>2024</v>
      </c>
      <c r="AI290" s="4">
        <f>IF(Table1[[#This Row],[RequiredDate]]&lt;Table1[[#This Row],[OrderDate]], Table1[[#This Row],[OrderDate]]+7, Table1[[#This Row],[RequiredDate]])</f>
        <v>45406</v>
      </c>
      <c r="AJ290">
        <f>IF(Dashboard!$D$3&gt;'Staging Data'!V290,'Staging Data'!V290,Dashboard!D$3)</f>
        <v>0.13</v>
      </c>
      <c r="AK290" s="19">
        <f>(100%+Dashboard!$D$4)*'Staging Data'!S290</f>
        <v>168.86099999999999</v>
      </c>
      <c r="AL290">
        <f>(100%+Dashboard!$D$5)*'Staging Data'!W290</f>
        <v>19.549999999999997</v>
      </c>
    </row>
    <row r="291" spans="1:38" x14ac:dyDescent="0.35">
      <c r="A291" s="6" t="s">
        <v>286</v>
      </c>
      <c r="B291" s="4">
        <v>45382</v>
      </c>
      <c r="C291" s="4">
        <v>45399</v>
      </c>
      <c r="D291" s="4">
        <f>IF(Table1[[#This Row],[RequiredDate]]&lt;Table1[[#This Row],[OrderDate]],Table1[[#This Row],[RequiredDate]],Table1[[#This Row],[OrderDate]])</f>
        <v>45382</v>
      </c>
      <c r="E291" s="4">
        <f>IF(Table1[[#This Row],[RequiredDate]]&gt;Table1[[#This Row],[OrderDate]],Table1[[#This Row],[RequiredDate]],Table1[[#This Row],[OrderDate]])</f>
        <v>45399</v>
      </c>
      <c r="F291" s="21">
        <f>Table1[[#This Row],[New RD]]-Table1[[#This Row],[new   od]]</f>
        <v>17</v>
      </c>
      <c r="G291" s="4">
        <f>IF(Table1[[#This Row],[RequiredDate]]&lt;Table1[[#This Row],[OrderDate]], Table1[[#This Row],[OrderDate]]+7, Table1[[#This Row],[RequiredDate]])</f>
        <v>45399</v>
      </c>
      <c r="H291" s="21">
        <f t="shared" si="44"/>
        <v>17</v>
      </c>
      <c r="I291" s="6" t="str">
        <f>IF(Table1[[#This Row],[New LTD]]&lt;=7,"Yes","No")</f>
        <v>No</v>
      </c>
      <c r="J291" s="6" t="str">
        <f t="shared" si="45"/>
        <v>No</v>
      </c>
      <c r="K291" t="s">
        <v>649</v>
      </c>
      <c r="L291" t="s">
        <v>656</v>
      </c>
      <c r="M291" t="s">
        <v>698</v>
      </c>
      <c r="N291" t="s">
        <v>702</v>
      </c>
      <c r="O291" t="s">
        <v>711</v>
      </c>
      <c r="P291" t="s">
        <v>722</v>
      </c>
      <c r="Q291" t="s">
        <v>732</v>
      </c>
      <c r="R291" t="s">
        <v>1006</v>
      </c>
      <c r="S291" s="6">
        <v>1025.51</v>
      </c>
      <c r="T291" s="6">
        <v>1436.54</v>
      </c>
      <c r="U291" s="6">
        <f t="shared" si="46"/>
        <v>1436.54</v>
      </c>
      <c r="V291" s="8">
        <v>0.13900000000000001</v>
      </c>
      <c r="W291" s="6">
        <v>28</v>
      </c>
      <c r="X291" s="6">
        <f t="shared" si="47"/>
        <v>34632.106319999999</v>
      </c>
      <c r="Y291">
        <f t="shared" si="48"/>
        <v>28714.28</v>
      </c>
      <c r="Z291" s="6">
        <f t="shared" si="49"/>
        <v>5917.8263200000001</v>
      </c>
      <c r="AA291">
        <f t="shared" si="50"/>
        <v>0.17087688127656453</v>
      </c>
      <c r="AB291" t="str">
        <f t="shared" si="51"/>
        <v>3-2024</v>
      </c>
      <c r="AC291" t="str">
        <f t="shared" si="52"/>
        <v>Q1-2024</v>
      </c>
      <c r="AD291" t="str">
        <f t="shared" si="53"/>
        <v>Europe →Germany →Frankfurt</v>
      </c>
      <c r="AE291" t="str">
        <f t="shared" si="55"/>
        <v>Medium</v>
      </c>
      <c r="AF291" t="str">
        <f>TEXT(Table1[[#This Row],[OrderDate]],"MMM")</f>
        <v>Mar</v>
      </c>
      <c r="AG291" t="str">
        <f>TEXT(Table1[[#This Row],[OrderDate]],"YYYY")</f>
        <v>2024</v>
      </c>
      <c r="AI291" s="4">
        <f>IF(Table1[[#This Row],[RequiredDate]]&lt;Table1[[#This Row],[OrderDate]], Table1[[#This Row],[OrderDate]]+7, Table1[[#This Row],[RequiredDate]])</f>
        <v>45399</v>
      </c>
      <c r="AJ291">
        <f>IF(Dashboard!$D$3&gt;'Staging Data'!V291,'Staging Data'!V291,Dashboard!D$3)</f>
        <v>0.13900000000000001</v>
      </c>
      <c r="AK291" s="19">
        <f>(100%+Dashboard!$D$4)*'Staging Data'!S291</f>
        <v>1076.7855</v>
      </c>
      <c r="AL291">
        <f>(100%+Dashboard!$D$5)*'Staging Data'!W291</f>
        <v>32.199999999999996</v>
      </c>
    </row>
    <row r="292" spans="1:38" x14ac:dyDescent="0.35">
      <c r="A292" s="6" t="s">
        <v>177</v>
      </c>
      <c r="B292" s="4">
        <v>45385</v>
      </c>
      <c r="C292" s="4">
        <v>45389</v>
      </c>
      <c r="D292" s="4">
        <f>IF(Table1[[#This Row],[RequiredDate]]&lt;Table1[[#This Row],[OrderDate]],Table1[[#This Row],[RequiredDate]],Table1[[#This Row],[OrderDate]])</f>
        <v>45385</v>
      </c>
      <c r="E292" s="4">
        <f>IF(Table1[[#This Row],[RequiredDate]]&gt;Table1[[#This Row],[OrderDate]],Table1[[#This Row],[RequiredDate]],Table1[[#This Row],[OrderDate]])</f>
        <v>45389</v>
      </c>
      <c r="F292" s="21">
        <f>Table1[[#This Row],[New RD]]-Table1[[#This Row],[new   od]]</f>
        <v>4</v>
      </c>
      <c r="G292" s="4">
        <f>IF(Table1[[#This Row],[RequiredDate]]&lt;Table1[[#This Row],[OrderDate]], Table1[[#This Row],[OrderDate]]+7, Table1[[#This Row],[RequiredDate]])</f>
        <v>45389</v>
      </c>
      <c r="H292" s="21">
        <f t="shared" si="44"/>
        <v>4</v>
      </c>
      <c r="I292" s="6" t="str">
        <f>IF(Table1[[#This Row],[New LTD]]&lt;=7,"Yes","No")</f>
        <v>Yes</v>
      </c>
      <c r="J292" s="6" t="str">
        <f t="shared" si="45"/>
        <v>No</v>
      </c>
      <c r="K292" t="s">
        <v>648</v>
      </c>
      <c r="L292" t="s">
        <v>655</v>
      </c>
      <c r="M292" t="s">
        <v>672</v>
      </c>
      <c r="N292" t="s">
        <v>703</v>
      </c>
      <c r="O292" t="s">
        <v>711</v>
      </c>
      <c r="P292" t="s">
        <v>725</v>
      </c>
      <c r="Q292" t="s">
        <v>730</v>
      </c>
      <c r="R292" t="s">
        <v>896</v>
      </c>
      <c r="S292" s="6">
        <v>1023.27</v>
      </c>
      <c r="T292" s="6">
        <v>1343.64</v>
      </c>
      <c r="U292" s="6">
        <f t="shared" si="46"/>
        <v>1343.64</v>
      </c>
      <c r="V292" s="8">
        <v>0.13300000000000001</v>
      </c>
      <c r="W292" s="6">
        <v>7</v>
      </c>
      <c r="X292" s="6">
        <f t="shared" si="47"/>
        <v>8154.5511600000009</v>
      </c>
      <c r="Y292">
        <f t="shared" si="48"/>
        <v>7162.8899999999994</v>
      </c>
      <c r="Z292" s="6">
        <f t="shared" si="49"/>
        <v>991.66116000000147</v>
      </c>
      <c r="AA292">
        <f t="shared" si="50"/>
        <v>0.12160830688810116</v>
      </c>
      <c r="AB292" t="str">
        <f t="shared" si="51"/>
        <v>4-2024</v>
      </c>
      <c r="AC292" t="str">
        <f t="shared" si="52"/>
        <v>Q2-2024</v>
      </c>
      <c r="AD292" t="str">
        <f t="shared" si="53"/>
        <v>Americas →Brazil →Brasília</v>
      </c>
      <c r="AE292" t="str">
        <f t="shared" si="55"/>
        <v>Medium</v>
      </c>
      <c r="AF292" t="str">
        <f>TEXT(Table1[[#This Row],[OrderDate]],"MMM")</f>
        <v>Apr</v>
      </c>
      <c r="AG292" t="str">
        <f>TEXT(Table1[[#This Row],[OrderDate]],"YYYY")</f>
        <v>2024</v>
      </c>
      <c r="AI292" s="4">
        <f>IF(Table1[[#This Row],[RequiredDate]]&lt;Table1[[#This Row],[OrderDate]], Table1[[#This Row],[OrderDate]]+7, Table1[[#This Row],[RequiredDate]])</f>
        <v>45389</v>
      </c>
      <c r="AJ292">
        <f>IF(Dashboard!$D$3&gt;'Staging Data'!V292,'Staging Data'!V292,Dashboard!D$3)</f>
        <v>0.13300000000000001</v>
      </c>
      <c r="AK292" s="19">
        <f>(100%+Dashboard!$D$4)*'Staging Data'!S292</f>
        <v>1074.4335000000001</v>
      </c>
      <c r="AL292">
        <f>(100%+Dashboard!$D$5)*'Staging Data'!W292</f>
        <v>8.0499999999999989</v>
      </c>
    </row>
    <row r="293" spans="1:38" x14ac:dyDescent="0.35">
      <c r="A293" s="6" t="s">
        <v>371</v>
      </c>
      <c r="B293" s="4">
        <v>45385</v>
      </c>
      <c r="C293" s="4">
        <v>45403</v>
      </c>
      <c r="D293" s="4">
        <f>IF(Table1[[#This Row],[RequiredDate]]&lt;Table1[[#This Row],[OrderDate]],Table1[[#This Row],[RequiredDate]],Table1[[#This Row],[OrderDate]])</f>
        <v>45385</v>
      </c>
      <c r="E293" s="4">
        <f>IF(Table1[[#This Row],[RequiredDate]]&gt;Table1[[#This Row],[OrderDate]],Table1[[#This Row],[RequiredDate]],Table1[[#This Row],[OrderDate]])</f>
        <v>45403</v>
      </c>
      <c r="F293" s="21">
        <f>Table1[[#This Row],[New RD]]-Table1[[#This Row],[new   od]]</f>
        <v>18</v>
      </c>
      <c r="G293" s="4">
        <f>IF(Table1[[#This Row],[RequiredDate]]&lt;Table1[[#This Row],[OrderDate]], Table1[[#This Row],[OrderDate]]+7, Table1[[#This Row],[RequiredDate]])</f>
        <v>45403</v>
      </c>
      <c r="H293" s="21">
        <f t="shared" si="44"/>
        <v>18</v>
      </c>
      <c r="I293" s="6" t="str">
        <f>IF(Table1[[#This Row],[New LTD]]&lt;=7,"Yes","No")</f>
        <v>No</v>
      </c>
      <c r="J293" s="6" t="str">
        <f t="shared" si="45"/>
        <v>No</v>
      </c>
      <c r="K293" t="s">
        <v>648</v>
      </c>
      <c r="L293" t="s">
        <v>655</v>
      </c>
      <c r="M293" t="s">
        <v>672</v>
      </c>
      <c r="N293" t="s">
        <v>705</v>
      </c>
      <c r="O293" t="s">
        <v>710</v>
      </c>
      <c r="P293" t="s">
        <v>717</v>
      </c>
      <c r="Q293" t="s">
        <v>729</v>
      </c>
      <c r="R293" t="s">
        <v>1091</v>
      </c>
      <c r="S293" s="6">
        <v>1176.69</v>
      </c>
      <c r="T293" s="6">
        <v>2201.54</v>
      </c>
      <c r="U293" s="6">
        <f t="shared" si="46"/>
        <v>2201.54</v>
      </c>
      <c r="V293" s="8">
        <v>0.17</v>
      </c>
      <c r="W293" s="6">
        <v>27</v>
      </c>
      <c r="X293" s="6">
        <f t="shared" si="47"/>
        <v>49336.511399999996</v>
      </c>
      <c r="Y293">
        <f t="shared" si="48"/>
        <v>31770.63</v>
      </c>
      <c r="Z293" s="6">
        <f t="shared" si="49"/>
        <v>17565.881399999995</v>
      </c>
      <c r="AA293">
        <f t="shared" si="50"/>
        <v>0.35604222717701106</v>
      </c>
      <c r="AB293" t="str">
        <f t="shared" si="51"/>
        <v>4-2024</v>
      </c>
      <c r="AC293" t="str">
        <f t="shared" si="52"/>
        <v>Q2-2024</v>
      </c>
      <c r="AD293" t="str">
        <f t="shared" si="53"/>
        <v>Americas →Brazil →Brasília</v>
      </c>
      <c r="AE293" t="str">
        <f t="shared" si="55"/>
        <v>High</v>
      </c>
      <c r="AF293" t="str">
        <f>TEXT(Table1[[#This Row],[OrderDate]],"MMM")</f>
        <v>Apr</v>
      </c>
      <c r="AG293" t="str">
        <f>TEXT(Table1[[#This Row],[OrderDate]],"YYYY")</f>
        <v>2024</v>
      </c>
      <c r="AI293" s="4">
        <f>IF(Table1[[#This Row],[RequiredDate]]&lt;Table1[[#This Row],[OrderDate]], Table1[[#This Row],[OrderDate]]+7, Table1[[#This Row],[RequiredDate]])</f>
        <v>45403</v>
      </c>
      <c r="AJ293">
        <f>IF(Dashboard!$D$3&gt;'Staging Data'!V293,'Staging Data'!V293,Dashboard!D$3)</f>
        <v>0.17</v>
      </c>
      <c r="AK293" s="19">
        <f>(100%+Dashboard!$D$4)*'Staging Data'!S293</f>
        <v>1235.5245000000002</v>
      </c>
      <c r="AL293">
        <f>(100%+Dashboard!$D$5)*'Staging Data'!W293</f>
        <v>31.049999999999997</v>
      </c>
    </row>
    <row r="294" spans="1:38" x14ac:dyDescent="0.35">
      <c r="A294" s="6" t="s">
        <v>162</v>
      </c>
      <c r="B294" s="4">
        <v>45386</v>
      </c>
      <c r="C294" s="4">
        <v>45406</v>
      </c>
      <c r="D294" s="4">
        <f>IF(Table1[[#This Row],[RequiredDate]]&lt;Table1[[#This Row],[OrderDate]],Table1[[#This Row],[RequiredDate]],Table1[[#This Row],[OrderDate]])</f>
        <v>45386</v>
      </c>
      <c r="E294" s="4">
        <f>IF(Table1[[#This Row],[RequiredDate]]&gt;Table1[[#This Row],[OrderDate]],Table1[[#This Row],[RequiredDate]],Table1[[#This Row],[OrderDate]])</f>
        <v>45406</v>
      </c>
      <c r="F294" s="21">
        <f>Table1[[#This Row],[New RD]]-Table1[[#This Row],[new   od]]</f>
        <v>20</v>
      </c>
      <c r="G294" s="4">
        <f>IF(Table1[[#This Row],[RequiredDate]]&lt;Table1[[#This Row],[OrderDate]], Table1[[#This Row],[OrderDate]]+7, Table1[[#This Row],[RequiredDate]])</f>
        <v>45406</v>
      </c>
      <c r="H294" s="21">
        <f t="shared" si="44"/>
        <v>20</v>
      </c>
      <c r="I294" s="6" t="str">
        <f>IF(Table1[[#This Row],[New LTD]]&lt;=7,"Yes","No")</f>
        <v>No</v>
      </c>
      <c r="J294" s="6" t="str">
        <f t="shared" si="45"/>
        <v>No</v>
      </c>
      <c r="K294" t="s">
        <v>649</v>
      </c>
      <c r="L294" t="s">
        <v>656</v>
      </c>
      <c r="M294" t="s">
        <v>698</v>
      </c>
      <c r="N294" t="s">
        <v>703</v>
      </c>
      <c r="O294" t="s">
        <v>711</v>
      </c>
      <c r="P294" t="s">
        <v>719</v>
      </c>
      <c r="Q294" t="s">
        <v>733</v>
      </c>
      <c r="R294" t="s">
        <v>881</v>
      </c>
      <c r="S294" s="6">
        <v>683.42</v>
      </c>
      <c r="T294" s="6">
        <v>951.51</v>
      </c>
      <c r="U294" s="6">
        <f t="shared" si="46"/>
        <v>951.51</v>
      </c>
      <c r="V294" s="8">
        <v>0</v>
      </c>
      <c r="W294" s="6">
        <v>14</v>
      </c>
      <c r="X294" s="6">
        <f t="shared" si="47"/>
        <v>13321.14</v>
      </c>
      <c r="Y294">
        <f t="shared" si="48"/>
        <v>9567.8799999999992</v>
      </c>
      <c r="Z294" s="6">
        <f t="shared" si="49"/>
        <v>3753.26</v>
      </c>
      <c r="AA294">
        <f t="shared" si="50"/>
        <v>0.28175216235247136</v>
      </c>
      <c r="AB294" t="str">
        <f t="shared" si="51"/>
        <v>4-2024</v>
      </c>
      <c r="AC294" t="str">
        <f t="shared" si="52"/>
        <v>Q2-2024</v>
      </c>
      <c r="AD294" t="str">
        <f t="shared" si="53"/>
        <v>Europe →Germany →Frankfurt</v>
      </c>
      <c r="AE294" t="str">
        <f t="shared" si="55"/>
        <v>Medium</v>
      </c>
      <c r="AF294" t="str">
        <f>TEXT(Table1[[#This Row],[OrderDate]],"MMM")</f>
        <v>Apr</v>
      </c>
      <c r="AG294" t="str">
        <f>TEXT(Table1[[#This Row],[OrderDate]],"YYYY")</f>
        <v>2024</v>
      </c>
      <c r="AI294" s="4">
        <f>IF(Table1[[#This Row],[RequiredDate]]&lt;Table1[[#This Row],[OrderDate]], Table1[[#This Row],[OrderDate]]+7, Table1[[#This Row],[RequiredDate]])</f>
        <v>45406</v>
      </c>
      <c r="AJ294">
        <f>IF(Dashboard!$D$3&gt;'Staging Data'!V294,'Staging Data'!V294,Dashboard!D$3)</f>
        <v>0</v>
      </c>
      <c r="AK294" s="19">
        <f>(100%+Dashboard!$D$4)*'Staging Data'!S294</f>
        <v>717.59100000000001</v>
      </c>
      <c r="AL294">
        <f>(100%+Dashboard!$D$5)*'Staging Data'!W294</f>
        <v>16.099999999999998</v>
      </c>
    </row>
    <row r="295" spans="1:38" x14ac:dyDescent="0.35">
      <c r="A295" s="6" t="s">
        <v>519</v>
      </c>
      <c r="B295" s="4">
        <v>45387</v>
      </c>
      <c r="C295" s="4">
        <v>45391</v>
      </c>
      <c r="D295" s="4">
        <f>IF(Table1[[#This Row],[RequiredDate]]&lt;Table1[[#This Row],[OrderDate]],Table1[[#This Row],[RequiredDate]],Table1[[#This Row],[OrderDate]])</f>
        <v>45387</v>
      </c>
      <c r="E295" s="4">
        <f>IF(Table1[[#This Row],[RequiredDate]]&gt;Table1[[#This Row],[OrderDate]],Table1[[#This Row],[RequiredDate]],Table1[[#This Row],[OrderDate]])</f>
        <v>45391</v>
      </c>
      <c r="F295" s="21">
        <f>Table1[[#This Row],[New RD]]-Table1[[#This Row],[new   od]]</f>
        <v>4</v>
      </c>
      <c r="G295" s="4">
        <f>IF(Table1[[#This Row],[RequiredDate]]&lt;Table1[[#This Row],[OrderDate]], Table1[[#This Row],[OrderDate]]+7, Table1[[#This Row],[RequiredDate]])</f>
        <v>45391</v>
      </c>
      <c r="H295" s="21">
        <f t="shared" si="44"/>
        <v>4</v>
      </c>
      <c r="I295" s="6" t="str">
        <f>IF(Table1[[#This Row],[New LTD]]&lt;=7,"Yes","No")</f>
        <v>Yes</v>
      </c>
      <c r="J295" s="6" t="str">
        <f t="shared" si="45"/>
        <v>No</v>
      </c>
      <c r="K295" t="s">
        <v>646</v>
      </c>
      <c r="L295" t="s">
        <v>651</v>
      </c>
      <c r="M295" t="s">
        <v>665</v>
      </c>
      <c r="N295" t="s">
        <v>703</v>
      </c>
      <c r="O295" t="s">
        <v>711</v>
      </c>
      <c r="P295" t="s">
        <v>723</v>
      </c>
      <c r="Q295" t="s">
        <v>727</v>
      </c>
      <c r="R295" t="s">
        <v>1238</v>
      </c>
      <c r="S295" s="6">
        <v>395.07</v>
      </c>
      <c r="T295" s="6">
        <v>970.27</v>
      </c>
      <c r="U295" s="6">
        <f t="shared" si="46"/>
        <v>970.27</v>
      </c>
      <c r="V295" s="8">
        <v>0.123</v>
      </c>
      <c r="W295" s="6">
        <v>38</v>
      </c>
      <c r="X295" s="6">
        <f t="shared" si="47"/>
        <v>32335.21802</v>
      </c>
      <c r="Y295">
        <f t="shared" si="48"/>
        <v>15012.66</v>
      </c>
      <c r="Z295" s="6">
        <f t="shared" si="49"/>
        <v>17322.55802</v>
      </c>
      <c r="AA295">
        <f t="shared" si="50"/>
        <v>0.53571799049833657</v>
      </c>
      <c r="AB295" t="str">
        <f t="shared" si="51"/>
        <v>4-2024</v>
      </c>
      <c r="AC295" t="str">
        <f t="shared" si="52"/>
        <v>Q2-2024</v>
      </c>
      <c r="AD295" t="str">
        <f t="shared" si="53"/>
        <v>Africa →Nigeria →Lagos</v>
      </c>
      <c r="AE295" t="str">
        <f t="shared" si="55"/>
        <v>Medium</v>
      </c>
      <c r="AF295" t="str">
        <f>TEXT(Table1[[#This Row],[OrderDate]],"MMM")</f>
        <v>Apr</v>
      </c>
      <c r="AG295" t="str">
        <f>TEXT(Table1[[#This Row],[OrderDate]],"YYYY")</f>
        <v>2024</v>
      </c>
      <c r="AI295" s="4">
        <f>IF(Table1[[#This Row],[RequiredDate]]&lt;Table1[[#This Row],[OrderDate]], Table1[[#This Row],[OrderDate]]+7, Table1[[#This Row],[RequiredDate]])</f>
        <v>45391</v>
      </c>
      <c r="AJ295">
        <f>IF(Dashboard!$D$3&gt;'Staging Data'!V295,'Staging Data'!V295,Dashboard!D$3)</f>
        <v>0.123</v>
      </c>
      <c r="AK295" s="19">
        <f>(100%+Dashboard!$D$4)*'Staging Data'!S295</f>
        <v>414.82350000000002</v>
      </c>
      <c r="AL295">
        <f>(100%+Dashboard!$D$5)*'Staging Data'!W295</f>
        <v>43.699999999999996</v>
      </c>
    </row>
    <row r="296" spans="1:38" x14ac:dyDescent="0.35">
      <c r="A296" s="6" t="s">
        <v>101</v>
      </c>
      <c r="B296" s="4">
        <v>45388</v>
      </c>
      <c r="C296" s="4">
        <v>45407</v>
      </c>
      <c r="D296" s="4">
        <f>IF(Table1[[#This Row],[RequiredDate]]&lt;Table1[[#This Row],[OrderDate]],Table1[[#This Row],[RequiredDate]],Table1[[#This Row],[OrderDate]])</f>
        <v>45388</v>
      </c>
      <c r="E296" s="4">
        <f>IF(Table1[[#This Row],[RequiredDate]]&gt;Table1[[#This Row],[OrderDate]],Table1[[#This Row],[RequiredDate]],Table1[[#This Row],[OrderDate]])</f>
        <v>45407</v>
      </c>
      <c r="F296" s="21">
        <f>Table1[[#This Row],[New RD]]-Table1[[#This Row],[new   od]]</f>
        <v>19</v>
      </c>
      <c r="G296" s="4">
        <f>IF(Table1[[#This Row],[RequiredDate]]&lt;Table1[[#This Row],[OrderDate]], Table1[[#This Row],[OrderDate]]+7, Table1[[#This Row],[RequiredDate]])</f>
        <v>45407</v>
      </c>
      <c r="H296" s="21">
        <f t="shared" si="44"/>
        <v>19</v>
      </c>
      <c r="I296" s="6" t="str">
        <f>IF(Table1[[#This Row],[New LTD]]&lt;=7,"Yes","No")</f>
        <v>No</v>
      </c>
      <c r="J296" s="6" t="str">
        <f t="shared" si="45"/>
        <v>No</v>
      </c>
      <c r="K296" t="s">
        <v>647</v>
      </c>
      <c r="L296" t="s">
        <v>659</v>
      </c>
      <c r="M296" t="s">
        <v>685</v>
      </c>
      <c r="N296" t="s">
        <v>701</v>
      </c>
      <c r="O296" t="s">
        <v>707</v>
      </c>
      <c r="P296" t="s">
        <v>723</v>
      </c>
      <c r="Q296" t="s">
        <v>727</v>
      </c>
      <c r="R296" t="s">
        <v>820</v>
      </c>
      <c r="S296" s="6">
        <v>1366.48</v>
      </c>
      <c r="T296" s="6">
        <v>1678.14</v>
      </c>
      <c r="U296" s="6">
        <f t="shared" si="46"/>
        <v>1678.14</v>
      </c>
      <c r="V296" s="8">
        <v>0.154</v>
      </c>
      <c r="W296" s="6">
        <v>10</v>
      </c>
      <c r="X296" s="6">
        <f t="shared" si="47"/>
        <v>14197.064400000001</v>
      </c>
      <c r="Y296">
        <f t="shared" si="48"/>
        <v>13664.8</v>
      </c>
      <c r="Z296" s="6">
        <f t="shared" si="49"/>
        <v>532.26440000000184</v>
      </c>
      <c r="AA296">
        <f t="shared" si="50"/>
        <v>3.7491159087790132E-2</v>
      </c>
      <c r="AB296" t="str">
        <f t="shared" si="51"/>
        <v>4-2024</v>
      </c>
      <c r="AC296" t="str">
        <f t="shared" si="52"/>
        <v>Q2-2024</v>
      </c>
      <c r="AD296" t="str">
        <f t="shared" si="53"/>
        <v>Asia →China →Shanghai</v>
      </c>
      <c r="AE296" t="str">
        <f t="shared" si="55"/>
        <v>High</v>
      </c>
      <c r="AF296" t="str">
        <f>TEXT(Table1[[#This Row],[OrderDate]],"MMM")</f>
        <v>Apr</v>
      </c>
      <c r="AG296" t="str">
        <f>TEXT(Table1[[#This Row],[OrderDate]],"YYYY")</f>
        <v>2024</v>
      </c>
      <c r="AI296" s="4">
        <f>IF(Table1[[#This Row],[RequiredDate]]&lt;Table1[[#This Row],[OrderDate]], Table1[[#This Row],[OrderDate]]+7, Table1[[#This Row],[RequiredDate]])</f>
        <v>45407</v>
      </c>
      <c r="AJ296">
        <f>IF(Dashboard!$D$3&gt;'Staging Data'!V296,'Staging Data'!V296,Dashboard!D$3)</f>
        <v>0.154</v>
      </c>
      <c r="AK296" s="19">
        <f>(100%+Dashboard!$D$4)*'Staging Data'!S296</f>
        <v>1434.8040000000001</v>
      </c>
      <c r="AL296">
        <f>(100%+Dashboard!$D$5)*'Staging Data'!W296</f>
        <v>11.5</v>
      </c>
    </row>
    <row r="297" spans="1:38" x14ac:dyDescent="0.35">
      <c r="A297" s="6" t="s">
        <v>349</v>
      </c>
      <c r="B297" s="4">
        <v>45391</v>
      </c>
      <c r="C297" s="4">
        <v>45400</v>
      </c>
      <c r="D297" s="4">
        <f>IF(Table1[[#This Row],[RequiredDate]]&lt;Table1[[#This Row],[OrderDate]],Table1[[#This Row],[RequiredDate]],Table1[[#This Row],[OrderDate]])</f>
        <v>45391</v>
      </c>
      <c r="E297" s="4">
        <f>IF(Table1[[#This Row],[RequiredDate]]&gt;Table1[[#This Row],[OrderDate]],Table1[[#This Row],[RequiredDate]],Table1[[#This Row],[OrderDate]])</f>
        <v>45400</v>
      </c>
      <c r="F297" s="21">
        <f>Table1[[#This Row],[New RD]]-Table1[[#This Row],[new   od]]</f>
        <v>9</v>
      </c>
      <c r="G297" s="4">
        <f>IF(Table1[[#This Row],[RequiredDate]]&lt;Table1[[#This Row],[OrderDate]], Table1[[#This Row],[OrderDate]]+7, Table1[[#This Row],[RequiredDate]])</f>
        <v>45400</v>
      </c>
      <c r="H297" s="21">
        <f t="shared" si="44"/>
        <v>9</v>
      </c>
      <c r="I297" s="6" t="str">
        <f>IF(Table1[[#This Row],[New LTD]]&lt;=7,"Yes","No")</f>
        <v>No</v>
      </c>
      <c r="J297" s="6" t="str">
        <f t="shared" si="45"/>
        <v>No</v>
      </c>
      <c r="K297" t="s">
        <v>649</v>
      </c>
      <c r="L297" t="s">
        <v>657</v>
      </c>
      <c r="M297" t="s">
        <v>679</v>
      </c>
      <c r="N297" t="s">
        <v>704</v>
      </c>
      <c r="O297" t="s">
        <v>708</v>
      </c>
      <c r="P297" t="s">
        <v>718</v>
      </c>
      <c r="Q297" t="s">
        <v>728</v>
      </c>
      <c r="R297" t="s">
        <v>1069</v>
      </c>
      <c r="S297" s="6">
        <v>1288.8499999999999</v>
      </c>
      <c r="T297" s="6">
        <v>2751.84</v>
      </c>
      <c r="U297" s="6">
        <f t="shared" si="46"/>
        <v>2751.84</v>
      </c>
      <c r="V297" s="8">
        <v>0.158</v>
      </c>
      <c r="W297" s="6">
        <v>7</v>
      </c>
      <c r="X297" s="6">
        <f t="shared" si="47"/>
        <v>16219.34496</v>
      </c>
      <c r="Y297">
        <f t="shared" si="48"/>
        <v>9021.9499999999989</v>
      </c>
      <c r="Z297" s="6">
        <f t="shared" si="49"/>
        <v>7197.3949600000014</v>
      </c>
      <c r="AA297">
        <f t="shared" si="50"/>
        <v>0.44375373837538756</v>
      </c>
      <c r="AB297" t="str">
        <f t="shared" si="51"/>
        <v>4-2024</v>
      </c>
      <c r="AC297" t="str">
        <f t="shared" si="52"/>
        <v>Q2-2024</v>
      </c>
      <c r="AD297" t="str">
        <f t="shared" si="53"/>
        <v>Europe →France →Lyon</v>
      </c>
      <c r="AE297" t="str">
        <f t="shared" si="55"/>
        <v>High</v>
      </c>
      <c r="AF297" t="str">
        <f>TEXT(Table1[[#This Row],[OrderDate]],"MMM")</f>
        <v>Apr</v>
      </c>
      <c r="AG297" t="str">
        <f>TEXT(Table1[[#This Row],[OrderDate]],"YYYY")</f>
        <v>2024</v>
      </c>
      <c r="AI297" s="4">
        <f>IF(Table1[[#This Row],[RequiredDate]]&lt;Table1[[#This Row],[OrderDate]], Table1[[#This Row],[OrderDate]]+7, Table1[[#This Row],[RequiredDate]])</f>
        <v>45400</v>
      </c>
      <c r="AJ297">
        <f>IF(Dashboard!$D$3&gt;'Staging Data'!V297,'Staging Data'!V297,Dashboard!D$3)</f>
        <v>0.158</v>
      </c>
      <c r="AK297" s="19">
        <f>(100%+Dashboard!$D$4)*'Staging Data'!S297</f>
        <v>1353.2925</v>
      </c>
      <c r="AL297">
        <f>(100%+Dashboard!$D$5)*'Staging Data'!W297</f>
        <v>8.0499999999999989</v>
      </c>
    </row>
    <row r="298" spans="1:38" x14ac:dyDescent="0.35">
      <c r="A298" s="6" t="s">
        <v>87</v>
      </c>
      <c r="B298" s="4">
        <v>45394</v>
      </c>
      <c r="C298" s="4">
        <v>45419</v>
      </c>
      <c r="D298" s="4">
        <f>IF(Table1[[#This Row],[RequiredDate]]&lt;Table1[[#This Row],[OrderDate]],Table1[[#This Row],[RequiredDate]],Table1[[#This Row],[OrderDate]])</f>
        <v>45394</v>
      </c>
      <c r="E298" s="4">
        <f>IF(Table1[[#This Row],[RequiredDate]]&gt;Table1[[#This Row],[OrderDate]],Table1[[#This Row],[RequiredDate]],Table1[[#This Row],[OrderDate]])</f>
        <v>45419</v>
      </c>
      <c r="F298" s="21">
        <f>Table1[[#This Row],[New RD]]-Table1[[#This Row],[new   od]]</f>
        <v>25</v>
      </c>
      <c r="G298" s="4">
        <f>IF(Table1[[#This Row],[RequiredDate]]&lt;Table1[[#This Row],[OrderDate]], Table1[[#This Row],[OrderDate]]+7, Table1[[#This Row],[RequiredDate]])</f>
        <v>45419</v>
      </c>
      <c r="H298" s="21">
        <f t="shared" si="44"/>
        <v>25</v>
      </c>
      <c r="I298" s="6" t="str">
        <f>IF(Table1[[#This Row],[New LTD]]&lt;=7,"Yes","No")</f>
        <v>No</v>
      </c>
      <c r="J298" s="6" t="str">
        <f t="shared" si="45"/>
        <v>No</v>
      </c>
      <c r="K298" t="s">
        <v>646</v>
      </c>
      <c r="L298" t="s">
        <v>661</v>
      </c>
      <c r="M298" t="s">
        <v>682</v>
      </c>
      <c r="N298" t="s">
        <v>702</v>
      </c>
      <c r="O298" t="s">
        <v>710</v>
      </c>
      <c r="P298" t="s">
        <v>720</v>
      </c>
      <c r="Q298" t="s">
        <v>731</v>
      </c>
      <c r="R298" t="s">
        <v>806</v>
      </c>
      <c r="S298" s="6">
        <v>1376.51</v>
      </c>
      <c r="T298" s="6">
        <v>1455.91</v>
      </c>
      <c r="U298" s="6">
        <f t="shared" si="46"/>
        <v>1455.91</v>
      </c>
      <c r="V298" s="8">
        <v>0.185</v>
      </c>
      <c r="W298" s="6">
        <v>17</v>
      </c>
      <c r="X298" s="6">
        <f t="shared" si="47"/>
        <v>20171.63305</v>
      </c>
      <c r="Y298">
        <f t="shared" si="48"/>
        <v>23400.67</v>
      </c>
      <c r="Z298" s="6">
        <f t="shared" si="49"/>
        <v>-3229.0369499999979</v>
      </c>
      <c r="AA298">
        <f t="shared" si="50"/>
        <v>-0.1600781127634085</v>
      </c>
      <c r="AB298" t="str">
        <f t="shared" si="51"/>
        <v>4-2024</v>
      </c>
      <c r="AC298" t="str">
        <f t="shared" si="52"/>
        <v>Q2-2024</v>
      </c>
      <c r="AD298" t="str">
        <f t="shared" si="53"/>
        <v>Africa →South Africa →Johannesburg</v>
      </c>
      <c r="AE298" t="str">
        <f t="shared" si="55"/>
        <v>Medium</v>
      </c>
      <c r="AF298" t="str">
        <f>TEXT(Table1[[#This Row],[OrderDate]],"MMM")</f>
        <v>Apr</v>
      </c>
      <c r="AG298" t="str">
        <f>TEXT(Table1[[#This Row],[OrderDate]],"YYYY")</f>
        <v>2024</v>
      </c>
      <c r="AI298" s="4">
        <f>IF(Table1[[#This Row],[RequiredDate]]&lt;Table1[[#This Row],[OrderDate]], Table1[[#This Row],[OrderDate]]+7, Table1[[#This Row],[RequiredDate]])</f>
        <v>45419</v>
      </c>
      <c r="AJ298">
        <f>IF(Dashboard!$D$3&gt;'Staging Data'!V298,'Staging Data'!V298,Dashboard!D$3)</f>
        <v>0.185</v>
      </c>
      <c r="AK298" s="19">
        <f>(100%+Dashboard!$D$4)*'Staging Data'!S298</f>
        <v>1445.3355000000001</v>
      </c>
      <c r="AL298">
        <f>(100%+Dashboard!$D$5)*'Staging Data'!W298</f>
        <v>19.549999999999997</v>
      </c>
    </row>
    <row r="299" spans="1:38" x14ac:dyDescent="0.35">
      <c r="A299" s="6" t="s">
        <v>539</v>
      </c>
      <c r="B299" s="4">
        <v>45398</v>
      </c>
      <c r="C299" s="4">
        <v>45409</v>
      </c>
      <c r="D299" s="4">
        <f>IF(Table1[[#This Row],[RequiredDate]]&lt;Table1[[#This Row],[OrderDate]],Table1[[#This Row],[RequiredDate]],Table1[[#This Row],[OrderDate]])</f>
        <v>45398</v>
      </c>
      <c r="E299" s="4">
        <f>IF(Table1[[#This Row],[RequiredDate]]&gt;Table1[[#This Row],[OrderDate]],Table1[[#This Row],[RequiredDate]],Table1[[#This Row],[OrderDate]])</f>
        <v>45409</v>
      </c>
      <c r="F299" s="21">
        <f>Table1[[#This Row],[New RD]]-Table1[[#This Row],[new   od]]</f>
        <v>11</v>
      </c>
      <c r="G299" s="4">
        <f>IF(Table1[[#This Row],[RequiredDate]]&lt;Table1[[#This Row],[OrderDate]], Table1[[#This Row],[OrderDate]]+7, Table1[[#This Row],[RequiredDate]])</f>
        <v>45409</v>
      </c>
      <c r="H299" s="21">
        <f t="shared" si="44"/>
        <v>11</v>
      </c>
      <c r="I299" s="6" t="str">
        <f>IF(Table1[[#This Row],[New LTD]]&lt;=7,"Yes","No")</f>
        <v>No</v>
      </c>
      <c r="J299" s="6" t="str">
        <f t="shared" si="45"/>
        <v>Yes</v>
      </c>
      <c r="K299" t="s">
        <v>646</v>
      </c>
      <c r="L299" t="s">
        <v>650</v>
      </c>
      <c r="M299" t="s">
        <v>678</v>
      </c>
      <c r="N299" t="s">
        <v>706</v>
      </c>
      <c r="O299" t="s">
        <v>708</v>
      </c>
      <c r="P299" t="s">
        <v>726</v>
      </c>
      <c r="Q299" t="s">
        <v>728</v>
      </c>
      <c r="R299" t="s">
        <v>1258</v>
      </c>
      <c r="S299" s="6">
        <v>401.3</v>
      </c>
      <c r="T299" s="6">
        <v>826.47</v>
      </c>
      <c r="U299" s="6">
        <f t="shared" si="46"/>
        <v>826.47</v>
      </c>
      <c r="V299" s="8">
        <v>0.22500000000000001</v>
      </c>
      <c r="W299" s="6">
        <v>13</v>
      </c>
      <c r="X299" s="6">
        <f t="shared" si="47"/>
        <v>8326.6852500000005</v>
      </c>
      <c r="Y299">
        <f t="shared" si="48"/>
        <v>5216.9000000000005</v>
      </c>
      <c r="Z299" s="6">
        <f t="shared" si="49"/>
        <v>3109.7852499999999</v>
      </c>
      <c r="AA299">
        <f t="shared" si="50"/>
        <v>0.37347217489696755</v>
      </c>
      <c r="AB299" t="str">
        <f t="shared" si="51"/>
        <v>4-2024</v>
      </c>
      <c r="AC299" t="str">
        <f t="shared" si="52"/>
        <v>Q2-2024</v>
      </c>
      <c r="AD299" t="str">
        <f t="shared" si="53"/>
        <v>Africa →Kenya →Nakuru</v>
      </c>
      <c r="AE299" t="str">
        <f t="shared" si="55"/>
        <v>Medium</v>
      </c>
      <c r="AF299" t="str">
        <f>TEXT(Table1[[#This Row],[OrderDate]],"MMM")</f>
        <v>Apr</v>
      </c>
      <c r="AG299" t="str">
        <f>TEXT(Table1[[#This Row],[OrderDate]],"YYYY")</f>
        <v>2024</v>
      </c>
      <c r="AI299" s="4">
        <f>IF(Table1[[#This Row],[RequiredDate]]&lt;Table1[[#This Row],[OrderDate]], Table1[[#This Row],[OrderDate]]+7, Table1[[#This Row],[RequiredDate]])</f>
        <v>45409</v>
      </c>
      <c r="AJ299">
        <f>IF(Dashboard!$D$3&gt;'Staging Data'!V299,'Staging Data'!V299,Dashboard!D$3)</f>
        <v>0.2</v>
      </c>
      <c r="AK299" s="19">
        <f>(100%+Dashboard!$D$4)*'Staging Data'!S299</f>
        <v>421.36500000000001</v>
      </c>
      <c r="AL299">
        <f>(100%+Dashboard!$D$5)*'Staging Data'!W299</f>
        <v>14.95</v>
      </c>
    </row>
    <row r="300" spans="1:38" x14ac:dyDescent="0.35">
      <c r="A300" s="6" t="s">
        <v>48</v>
      </c>
      <c r="B300" s="4">
        <v>45400</v>
      </c>
      <c r="C300" s="4">
        <v>45420</v>
      </c>
      <c r="D300" s="4">
        <f>IF(Table1[[#This Row],[RequiredDate]]&lt;Table1[[#This Row],[OrderDate]],Table1[[#This Row],[RequiredDate]],Table1[[#This Row],[OrderDate]])</f>
        <v>45400</v>
      </c>
      <c r="E300" s="4">
        <f>IF(Table1[[#This Row],[RequiredDate]]&gt;Table1[[#This Row],[OrderDate]],Table1[[#This Row],[RequiredDate]],Table1[[#This Row],[OrderDate]])</f>
        <v>45420</v>
      </c>
      <c r="F300" s="21">
        <f>Table1[[#This Row],[New RD]]-Table1[[#This Row],[new   od]]</f>
        <v>20</v>
      </c>
      <c r="G300" s="4">
        <f>IF(Table1[[#This Row],[RequiredDate]]&lt;Table1[[#This Row],[OrderDate]], Table1[[#This Row],[OrderDate]]+7, Table1[[#This Row],[RequiredDate]])</f>
        <v>45420</v>
      </c>
      <c r="H300" s="21">
        <f t="shared" si="44"/>
        <v>20</v>
      </c>
      <c r="I300" s="6" t="str">
        <f>IF(Table1[[#This Row],[New LTD]]&lt;=7,"Yes","No")</f>
        <v>No</v>
      </c>
      <c r="J300" s="6" t="str">
        <f t="shared" si="45"/>
        <v>No</v>
      </c>
      <c r="K300" t="s">
        <v>649</v>
      </c>
      <c r="L300" t="s">
        <v>658</v>
      </c>
      <c r="M300" t="s">
        <v>683</v>
      </c>
      <c r="N300" t="s">
        <v>703</v>
      </c>
      <c r="O300" t="s">
        <v>1423</v>
      </c>
      <c r="P300" t="s">
        <v>726</v>
      </c>
      <c r="Q300" t="s">
        <v>731</v>
      </c>
      <c r="R300" t="s">
        <v>767</v>
      </c>
      <c r="S300" s="6">
        <v>645.33000000000004</v>
      </c>
      <c r="T300" s="6">
        <v>1321.85</v>
      </c>
      <c r="U300" s="6">
        <f t="shared" si="46"/>
        <v>1321.85</v>
      </c>
      <c r="V300" s="8">
        <v>0</v>
      </c>
      <c r="W300" s="6">
        <v>10</v>
      </c>
      <c r="X300" s="6">
        <f t="shared" si="47"/>
        <v>13218.5</v>
      </c>
      <c r="Y300">
        <f t="shared" si="48"/>
        <v>6453.3</v>
      </c>
      <c r="Z300" s="6">
        <f t="shared" si="49"/>
        <v>6765.2</v>
      </c>
      <c r="AA300">
        <f t="shared" si="50"/>
        <v>0.51179785906116426</v>
      </c>
      <c r="AB300" t="str">
        <f t="shared" si="51"/>
        <v>4-2024</v>
      </c>
      <c r="AC300" t="str">
        <f t="shared" si="52"/>
        <v>Q2-2024</v>
      </c>
      <c r="AD300" t="str">
        <f t="shared" si="53"/>
        <v>Europe →United Kingdom →London</v>
      </c>
      <c r="AE300" t="str">
        <f t="shared" si="55"/>
        <v>Medium</v>
      </c>
      <c r="AF300" t="str">
        <f>TEXT(Table1[[#This Row],[OrderDate]],"MMM")</f>
        <v>Apr</v>
      </c>
      <c r="AG300" t="str">
        <f>TEXT(Table1[[#This Row],[OrderDate]],"YYYY")</f>
        <v>2024</v>
      </c>
      <c r="AI300" s="4">
        <f>IF(Table1[[#This Row],[RequiredDate]]&lt;Table1[[#This Row],[OrderDate]], Table1[[#This Row],[OrderDate]]+7, Table1[[#This Row],[RequiredDate]])</f>
        <v>45420</v>
      </c>
      <c r="AJ300">
        <f>IF(Dashboard!$D$3&gt;'Staging Data'!V300,'Staging Data'!V300,Dashboard!D$3)</f>
        <v>0</v>
      </c>
      <c r="AK300" s="19">
        <f>(100%+Dashboard!$D$4)*'Staging Data'!S300</f>
        <v>677.59650000000011</v>
      </c>
      <c r="AL300">
        <f>(100%+Dashboard!$D$5)*'Staging Data'!W300</f>
        <v>11.5</v>
      </c>
    </row>
    <row r="301" spans="1:38" x14ac:dyDescent="0.35">
      <c r="A301" s="6" t="s">
        <v>53</v>
      </c>
      <c r="B301" s="4">
        <v>45401</v>
      </c>
      <c r="C301" s="4">
        <v>45418</v>
      </c>
      <c r="D301" s="4">
        <f>IF(Table1[[#This Row],[RequiredDate]]&lt;Table1[[#This Row],[OrderDate]],Table1[[#This Row],[RequiredDate]],Table1[[#This Row],[OrderDate]])</f>
        <v>45401</v>
      </c>
      <c r="E301" s="4">
        <f>IF(Table1[[#This Row],[RequiredDate]]&gt;Table1[[#This Row],[OrderDate]],Table1[[#This Row],[RequiredDate]],Table1[[#This Row],[OrderDate]])</f>
        <v>45418</v>
      </c>
      <c r="F301" s="21">
        <f>Table1[[#This Row],[New RD]]-Table1[[#This Row],[new   od]]</f>
        <v>17</v>
      </c>
      <c r="G301" s="4">
        <f>IF(Table1[[#This Row],[RequiredDate]]&lt;Table1[[#This Row],[OrderDate]], Table1[[#This Row],[OrderDate]]+7, Table1[[#This Row],[RequiredDate]])</f>
        <v>45418</v>
      </c>
      <c r="H301" s="21">
        <f t="shared" si="44"/>
        <v>17</v>
      </c>
      <c r="I301" s="6" t="str">
        <f>IF(Table1[[#This Row],[New LTD]]&lt;=7,"Yes","No")</f>
        <v>No</v>
      </c>
      <c r="J301" s="6" t="str">
        <f t="shared" si="45"/>
        <v>No</v>
      </c>
      <c r="K301" t="s">
        <v>646</v>
      </c>
      <c r="L301" t="s">
        <v>651</v>
      </c>
      <c r="M301" t="s">
        <v>663</v>
      </c>
      <c r="N301" t="s">
        <v>703</v>
      </c>
      <c r="O301" t="s">
        <v>708</v>
      </c>
      <c r="P301" t="s">
        <v>720</v>
      </c>
      <c r="Q301" t="s">
        <v>728</v>
      </c>
      <c r="R301" t="s">
        <v>772</v>
      </c>
      <c r="S301" s="6">
        <v>865.33</v>
      </c>
      <c r="T301" s="6">
        <v>1395.64</v>
      </c>
      <c r="U301" s="6">
        <f t="shared" si="46"/>
        <v>1395.64</v>
      </c>
      <c r="V301" s="8">
        <v>0.17499999999999999</v>
      </c>
      <c r="W301" s="6">
        <v>13</v>
      </c>
      <c r="X301" s="6">
        <f t="shared" si="47"/>
        <v>14968.239</v>
      </c>
      <c r="Y301">
        <f t="shared" si="48"/>
        <v>11249.29</v>
      </c>
      <c r="Z301" s="6">
        <f t="shared" si="49"/>
        <v>3718.9489999999987</v>
      </c>
      <c r="AA301">
        <f t="shared" si="50"/>
        <v>0.24845601409758347</v>
      </c>
      <c r="AB301" t="str">
        <f t="shared" si="51"/>
        <v>4-2024</v>
      </c>
      <c r="AC301" t="str">
        <f t="shared" si="52"/>
        <v>Q2-2024</v>
      </c>
      <c r="AD301" t="str">
        <f t="shared" si="53"/>
        <v>Africa →Nigeria →Port Harcourt</v>
      </c>
      <c r="AE301" t="str">
        <f t="shared" si="55"/>
        <v>Medium</v>
      </c>
      <c r="AF301" t="str">
        <f>TEXT(Table1[[#This Row],[OrderDate]],"MMM")</f>
        <v>Apr</v>
      </c>
      <c r="AG301" t="str">
        <f>TEXT(Table1[[#This Row],[OrderDate]],"YYYY")</f>
        <v>2024</v>
      </c>
      <c r="AI301" s="4">
        <f>IF(Table1[[#This Row],[RequiredDate]]&lt;Table1[[#This Row],[OrderDate]], Table1[[#This Row],[OrderDate]]+7, Table1[[#This Row],[RequiredDate]])</f>
        <v>45418</v>
      </c>
      <c r="AJ301">
        <f>IF(Dashboard!$D$3&gt;'Staging Data'!V301,'Staging Data'!V301,Dashboard!D$3)</f>
        <v>0.17499999999999999</v>
      </c>
      <c r="AK301" s="19">
        <f>(100%+Dashboard!$D$4)*'Staging Data'!S301</f>
        <v>908.59650000000011</v>
      </c>
      <c r="AL301">
        <f>(100%+Dashboard!$D$5)*'Staging Data'!W301</f>
        <v>14.95</v>
      </c>
    </row>
    <row r="302" spans="1:38" x14ac:dyDescent="0.35">
      <c r="A302" s="6" t="s">
        <v>504</v>
      </c>
      <c r="B302" s="4">
        <v>45403</v>
      </c>
      <c r="C302" s="4">
        <v>45431</v>
      </c>
      <c r="D302" s="4">
        <f>IF(Table1[[#This Row],[RequiredDate]]&lt;Table1[[#This Row],[OrderDate]],Table1[[#This Row],[RequiredDate]],Table1[[#This Row],[OrderDate]])</f>
        <v>45403</v>
      </c>
      <c r="E302" s="4">
        <f>IF(Table1[[#This Row],[RequiredDate]]&gt;Table1[[#This Row],[OrderDate]],Table1[[#This Row],[RequiredDate]],Table1[[#This Row],[OrderDate]])</f>
        <v>45431</v>
      </c>
      <c r="F302" s="21">
        <f>Table1[[#This Row],[New RD]]-Table1[[#This Row],[new   od]]</f>
        <v>28</v>
      </c>
      <c r="G302" s="4">
        <f>IF(Table1[[#This Row],[RequiredDate]]&lt;Table1[[#This Row],[OrderDate]], Table1[[#This Row],[OrderDate]]+7, Table1[[#This Row],[RequiredDate]])</f>
        <v>45431</v>
      </c>
      <c r="H302" s="21">
        <f t="shared" si="44"/>
        <v>28</v>
      </c>
      <c r="I302" s="6" t="str">
        <f>IF(Table1[[#This Row],[New LTD]]&lt;=7,"Yes","No")</f>
        <v>No</v>
      </c>
      <c r="J302" s="6" t="str">
        <f t="shared" si="45"/>
        <v>No</v>
      </c>
      <c r="K302" t="s">
        <v>646</v>
      </c>
      <c r="L302" t="s">
        <v>651</v>
      </c>
      <c r="M302" t="s">
        <v>665</v>
      </c>
      <c r="N302" t="s">
        <v>701</v>
      </c>
      <c r="O302" t="s">
        <v>710</v>
      </c>
      <c r="P302" t="s">
        <v>720</v>
      </c>
      <c r="Q302" t="s">
        <v>733</v>
      </c>
      <c r="R302" t="s">
        <v>1223</v>
      </c>
      <c r="S302" s="6">
        <v>187.22</v>
      </c>
      <c r="T302" s="6">
        <v>309.47000000000003</v>
      </c>
      <c r="U302" s="6">
        <f t="shared" si="46"/>
        <v>309.47000000000003</v>
      </c>
      <c r="V302" s="8">
        <v>0</v>
      </c>
      <c r="W302" s="6">
        <v>5</v>
      </c>
      <c r="X302" s="6">
        <f t="shared" si="47"/>
        <v>1547.3500000000001</v>
      </c>
      <c r="Y302">
        <f t="shared" si="48"/>
        <v>936.1</v>
      </c>
      <c r="Z302" s="6">
        <f t="shared" si="49"/>
        <v>611.25000000000011</v>
      </c>
      <c r="AA302">
        <f t="shared" si="50"/>
        <v>0.39503021294471197</v>
      </c>
      <c r="AB302" t="str">
        <f t="shared" si="51"/>
        <v>4-2024</v>
      </c>
      <c r="AC302" t="str">
        <f t="shared" si="52"/>
        <v>Q2-2024</v>
      </c>
      <c r="AD302" t="str">
        <f t="shared" si="53"/>
        <v>Africa →Nigeria →Lagos</v>
      </c>
      <c r="AE302" t="str">
        <f t="shared" si="55"/>
        <v>Low</v>
      </c>
      <c r="AF302" t="str">
        <f>TEXT(Table1[[#This Row],[OrderDate]],"MMM")</f>
        <v>Apr</v>
      </c>
      <c r="AG302" t="str">
        <f>TEXT(Table1[[#This Row],[OrderDate]],"YYYY")</f>
        <v>2024</v>
      </c>
      <c r="AI302" s="4">
        <f>IF(Table1[[#This Row],[RequiredDate]]&lt;Table1[[#This Row],[OrderDate]], Table1[[#This Row],[OrderDate]]+7, Table1[[#This Row],[RequiredDate]])</f>
        <v>45431</v>
      </c>
      <c r="AJ302">
        <f>IF(Dashboard!$D$3&gt;'Staging Data'!V302,'Staging Data'!V302,Dashboard!D$3)</f>
        <v>0</v>
      </c>
      <c r="AK302" s="19">
        <f>(100%+Dashboard!$D$4)*'Staging Data'!S302</f>
        <v>196.58100000000002</v>
      </c>
      <c r="AL302">
        <f>(100%+Dashboard!$D$5)*'Staging Data'!W302</f>
        <v>5.75</v>
      </c>
    </row>
    <row r="303" spans="1:38" x14ac:dyDescent="0.35">
      <c r="A303" s="6" t="s">
        <v>537</v>
      </c>
      <c r="B303" s="4">
        <v>45406</v>
      </c>
      <c r="C303" s="4">
        <v>45422</v>
      </c>
      <c r="D303" s="4">
        <f>IF(Table1[[#This Row],[RequiredDate]]&lt;Table1[[#This Row],[OrderDate]],Table1[[#This Row],[RequiredDate]],Table1[[#This Row],[OrderDate]])</f>
        <v>45406</v>
      </c>
      <c r="E303" s="4">
        <f>IF(Table1[[#This Row],[RequiredDate]]&gt;Table1[[#This Row],[OrderDate]],Table1[[#This Row],[RequiredDate]],Table1[[#This Row],[OrderDate]])</f>
        <v>45422</v>
      </c>
      <c r="F303" s="21">
        <f>Table1[[#This Row],[New RD]]-Table1[[#This Row],[new   od]]</f>
        <v>16</v>
      </c>
      <c r="G303" s="4">
        <f>IF(Table1[[#This Row],[RequiredDate]]&lt;Table1[[#This Row],[OrderDate]], Table1[[#This Row],[OrderDate]]+7, Table1[[#This Row],[RequiredDate]])</f>
        <v>45422</v>
      </c>
      <c r="H303" s="21">
        <f t="shared" si="44"/>
        <v>16</v>
      </c>
      <c r="I303" s="6" t="str">
        <f>IF(Table1[[#This Row],[New LTD]]&lt;=7,"Yes","No")</f>
        <v>No</v>
      </c>
      <c r="J303" s="6" t="str">
        <f t="shared" si="45"/>
        <v>No</v>
      </c>
      <c r="K303" t="s">
        <v>646</v>
      </c>
      <c r="L303" t="s">
        <v>650</v>
      </c>
      <c r="M303" t="s">
        <v>662</v>
      </c>
      <c r="N303" t="s">
        <v>703</v>
      </c>
      <c r="O303" t="s">
        <v>708</v>
      </c>
      <c r="P303" t="s">
        <v>725</v>
      </c>
      <c r="Q303" t="s">
        <v>732</v>
      </c>
      <c r="R303" t="s">
        <v>1256</v>
      </c>
      <c r="S303" s="6">
        <v>513.30999999999995</v>
      </c>
      <c r="T303" s="6">
        <v>1186.26</v>
      </c>
      <c r="U303" s="6">
        <f t="shared" si="46"/>
        <v>1186.26</v>
      </c>
      <c r="V303" s="8">
        <v>9.4E-2</v>
      </c>
      <c r="W303" s="6">
        <v>15</v>
      </c>
      <c r="X303" s="6">
        <f t="shared" si="47"/>
        <v>16121.273400000002</v>
      </c>
      <c r="Y303">
        <f t="shared" si="48"/>
        <v>7699.65</v>
      </c>
      <c r="Z303" s="6">
        <f t="shared" si="49"/>
        <v>8421.6234000000022</v>
      </c>
      <c r="AA303">
        <f t="shared" si="50"/>
        <v>0.52239194702820446</v>
      </c>
      <c r="AB303" t="str">
        <f t="shared" si="51"/>
        <v>4-2024</v>
      </c>
      <c r="AC303" t="str">
        <f t="shared" si="52"/>
        <v>Q2-2024</v>
      </c>
      <c r="AD303" t="str">
        <f t="shared" si="53"/>
        <v>Africa →Kenya →Kisumu</v>
      </c>
      <c r="AE303" t="str">
        <f t="shared" si="55"/>
        <v>Medium</v>
      </c>
      <c r="AF303" t="str">
        <f>TEXT(Table1[[#This Row],[OrderDate]],"MMM")</f>
        <v>Apr</v>
      </c>
      <c r="AG303" t="str">
        <f>TEXT(Table1[[#This Row],[OrderDate]],"YYYY")</f>
        <v>2024</v>
      </c>
      <c r="AI303" s="4">
        <f>IF(Table1[[#This Row],[RequiredDate]]&lt;Table1[[#This Row],[OrderDate]], Table1[[#This Row],[OrderDate]]+7, Table1[[#This Row],[RequiredDate]])</f>
        <v>45422</v>
      </c>
      <c r="AJ303">
        <f>IF(Dashboard!$D$3&gt;'Staging Data'!V303,'Staging Data'!V303,Dashboard!D$3)</f>
        <v>9.4E-2</v>
      </c>
      <c r="AK303" s="19">
        <f>(100%+Dashboard!$D$4)*'Staging Data'!S303</f>
        <v>538.97550000000001</v>
      </c>
      <c r="AL303">
        <f>(100%+Dashboard!$D$5)*'Staging Data'!W303</f>
        <v>17.25</v>
      </c>
    </row>
    <row r="304" spans="1:38" x14ac:dyDescent="0.35">
      <c r="A304" s="6" t="s">
        <v>515</v>
      </c>
      <c r="B304" s="4">
        <v>45408</v>
      </c>
      <c r="C304" s="4">
        <v>45406</v>
      </c>
      <c r="D304" s="4">
        <f>IF(Table1[[#This Row],[RequiredDate]]&lt;Table1[[#This Row],[OrderDate]],Table1[[#This Row],[RequiredDate]],Table1[[#This Row],[OrderDate]])</f>
        <v>45406</v>
      </c>
      <c r="E304" s="4">
        <f>IF(Table1[[#This Row],[RequiredDate]]&gt;Table1[[#This Row],[OrderDate]],Table1[[#This Row],[RequiredDate]],Table1[[#This Row],[OrderDate]])</f>
        <v>45408</v>
      </c>
      <c r="F304" s="21">
        <f>Table1[[#This Row],[New RD]]-Table1[[#This Row],[new   od]]</f>
        <v>2</v>
      </c>
      <c r="G304" s="4">
        <f>IF(Table1[[#This Row],[RequiredDate]]&lt;Table1[[#This Row],[OrderDate]], Table1[[#This Row],[OrderDate]]+7, Table1[[#This Row],[RequiredDate]])</f>
        <v>45415</v>
      </c>
      <c r="H304" s="21">
        <f t="shared" si="44"/>
        <v>7</v>
      </c>
      <c r="I304" s="6" t="str">
        <f>IF(Table1[[#This Row],[New LTD]]&lt;=7,"Yes","No")</f>
        <v>Yes</v>
      </c>
      <c r="J304" s="6" t="str">
        <f t="shared" si="45"/>
        <v>No</v>
      </c>
      <c r="K304" t="s">
        <v>649</v>
      </c>
      <c r="L304" t="s">
        <v>658</v>
      </c>
      <c r="M304" t="s">
        <v>683</v>
      </c>
      <c r="N304" t="s">
        <v>703</v>
      </c>
      <c r="O304" t="s">
        <v>710</v>
      </c>
      <c r="P304" t="s">
        <v>725</v>
      </c>
      <c r="Q304" t="s">
        <v>730</v>
      </c>
      <c r="R304" t="s">
        <v>1234</v>
      </c>
      <c r="S304" s="6">
        <v>1232.77</v>
      </c>
      <c r="T304" s="6">
        <v>891.73</v>
      </c>
      <c r="U304" s="6">
        <f t="shared" si="46"/>
        <v>891.73</v>
      </c>
      <c r="V304" s="8">
        <v>0.16700000000000001</v>
      </c>
      <c r="W304" s="6">
        <v>10</v>
      </c>
      <c r="X304" s="6">
        <f t="shared" si="47"/>
        <v>7428.1108999999988</v>
      </c>
      <c r="Y304">
        <f t="shared" si="48"/>
        <v>12327.7</v>
      </c>
      <c r="Z304" s="6">
        <f t="shared" si="49"/>
        <v>-4899.589100000002</v>
      </c>
      <c r="AA304">
        <f t="shared" si="50"/>
        <v>-0.65960096260813805</v>
      </c>
      <c r="AB304" t="str">
        <f t="shared" si="51"/>
        <v>4-2024</v>
      </c>
      <c r="AC304" t="str">
        <f t="shared" si="52"/>
        <v>Q2-2024</v>
      </c>
      <c r="AD304" t="str">
        <f t="shared" si="53"/>
        <v>Europe →United Kingdom →London</v>
      </c>
      <c r="AE304" t="str">
        <f t="shared" si="55"/>
        <v>Medium</v>
      </c>
      <c r="AF304" t="str">
        <f>TEXT(Table1[[#This Row],[OrderDate]],"MMM")</f>
        <v>Apr</v>
      </c>
      <c r="AG304" t="str">
        <f>TEXT(Table1[[#This Row],[OrderDate]],"YYYY")</f>
        <v>2024</v>
      </c>
      <c r="AI304" s="4">
        <f>IF(Table1[[#This Row],[RequiredDate]]&lt;Table1[[#This Row],[OrderDate]], Table1[[#This Row],[OrderDate]]+7, Table1[[#This Row],[RequiredDate]])</f>
        <v>45415</v>
      </c>
      <c r="AJ304">
        <f>IF(Dashboard!$D$3&gt;'Staging Data'!V304,'Staging Data'!V304,Dashboard!D$3)</f>
        <v>0.16700000000000001</v>
      </c>
      <c r="AK304" s="19">
        <f>(100%+Dashboard!$D$4)*'Staging Data'!S304</f>
        <v>1294.4085</v>
      </c>
      <c r="AL304">
        <f>(100%+Dashboard!$D$5)*'Staging Data'!W304</f>
        <v>11.5</v>
      </c>
    </row>
    <row r="305" spans="1:38" x14ac:dyDescent="0.35">
      <c r="A305" s="6" t="s">
        <v>269</v>
      </c>
      <c r="B305" s="4">
        <v>45411</v>
      </c>
      <c r="C305" s="4">
        <v>45431</v>
      </c>
      <c r="D305" s="4">
        <f>IF(Table1[[#This Row],[RequiredDate]]&lt;Table1[[#This Row],[OrderDate]],Table1[[#This Row],[RequiredDate]],Table1[[#This Row],[OrderDate]])</f>
        <v>45411</v>
      </c>
      <c r="E305" s="4">
        <f>IF(Table1[[#This Row],[RequiredDate]]&gt;Table1[[#This Row],[OrderDate]],Table1[[#This Row],[RequiredDate]],Table1[[#This Row],[OrderDate]])</f>
        <v>45431</v>
      </c>
      <c r="F305" s="21">
        <f>Table1[[#This Row],[New RD]]-Table1[[#This Row],[new   od]]</f>
        <v>20</v>
      </c>
      <c r="G305" s="4">
        <f>IF(Table1[[#This Row],[RequiredDate]]&lt;Table1[[#This Row],[OrderDate]], Table1[[#This Row],[OrderDate]]+7, Table1[[#This Row],[RequiredDate]])</f>
        <v>45431</v>
      </c>
      <c r="H305" s="21">
        <f t="shared" si="44"/>
        <v>20</v>
      </c>
      <c r="I305" s="6" t="str">
        <f>IF(Table1[[#This Row],[New LTD]]&lt;=7,"Yes","No")</f>
        <v>No</v>
      </c>
      <c r="J305" s="6" t="str">
        <f t="shared" si="45"/>
        <v>No</v>
      </c>
      <c r="K305" t="s">
        <v>649</v>
      </c>
      <c r="L305" t="s">
        <v>656</v>
      </c>
      <c r="M305" t="s">
        <v>698</v>
      </c>
      <c r="N305" t="s">
        <v>706</v>
      </c>
      <c r="O305" t="s">
        <v>709</v>
      </c>
      <c r="P305" t="s">
        <v>712</v>
      </c>
      <c r="Q305" t="s">
        <v>731</v>
      </c>
      <c r="R305" t="s">
        <v>989</v>
      </c>
      <c r="S305" s="6">
        <v>668.97</v>
      </c>
      <c r="T305" s="6">
        <v>1667.44</v>
      </c>
      <c r="U305" s="6">
        <f t="shared" si="46"/>
        <v>1667.44</v>
      </c>
      <c r="V305" s="8">
        <v>3.4000000000000002E-2</v>
      </c>
      <c r="W305" s="6">
        <v>15</v>
      </c>
      <c r="X305" s="6">
        <f t="shared" si="47"/>
        <v>24161.205600000001</v>
      </c>
      <c r="Y305">
        <f t="shared" si="48"/>
        <v>10034.550000000001</v>
      </c>
      <c r="Z305" s="6">
        <f t="shared" si="49"/>
        <v>14126.6556</v>
      </c>
      <c r="AA305">
        <f t="shared" si="50"/>
        <v>0.58468339013679016</v>
      </c>
      <c r="AB305" t="str">
        <f t="shared" si="51"/>
        <v>4-2024</v>
      </c>
      <c r="AC305" t="str">
        <f t="shared" si="52"/>
        <v>Q2-2024</v>
      </c>
      <c r="AD305" t="str">
        <f t="shared" si="53"/>
        <v>Europe →Germany →Frankfurt</v>
      </c>
      <c r="AE305" t="str">
        <f t="shared" si="55"/>
        <v>High</v>
      </c>
      <c r="AF305" t="str">
        <f>TEXT(Table1[[#This Row],[OrderDate]],"MMM")</f>
        <v>Apr</v>
      </c>
      <c r="AG305" t="str">
        <f>TEXT(Table1[[#This Row],[OrderDate]],"YYYY")</f>
        <v>2024</v>
      </c>
      <c r="AI305" s="4">
        <f>IF(Table1[[#This Row],[RequiredDate]]&lt;Table1[[#This Row],[OrderDate]], Table1[[#This Row],[OrderDate]]+7, Table1[[#This Row],[RequiredDate]])</f>
        <v>45431</v>
      </c>
      <c r="AJ305">
        <f>IF(Dashboard!$D$3&gt;'Staging Data'!V305,'Staging Data'!V305,Dashboard!D$3)</f>
        <v>3.4000000000000002E-2</v>
      </c>
      <c r="AK305" s="19">
        <f>(100%+Dashboard!$D$4)*'Staging Data'!S305</f>
        <v>702.41850000000011</v>
      </c>
      <c r="AL305">
        <f>(100%+Dashboard!$D$5)*'Staging Data'!W305</f>
        <v>17.25</v>
      </c>
    </row>
    <row r="306" spans="1:38" x14ac:dyDescent="0.35">
      <c r="A306" s="6" t="s">
        <v>466</v>
      </c>
      <c r="B306" s="4">
        <v>45413</v>
      </c>
      <c r="C306" s="4">
        <v>45428</v>
      </c>
      <c r="D306" s="4">
        <f>IF(Table1[[#This Row],[RequiredDate]]&lt;Table1[[#This Row],[OrderDate]],Table1[[#This Row],[RequiredDate]],Table1[[#This Row],[OrderDate]])</f>
        <v>45413</v>
      </c>
      <c r="E306" s="4">
        <f>IF(Table1[[#This Row],[RequiredDate]]&gt;Table1[[#This Row],[OrderDate]],Table1[[#This Row],[RequiredDate]],Table1[[#This Row],[OrderDate]])</f>
        <v>45428</v>
      </c>
      <c r="F306" s="21">
        <f>Table1[[#This Row],[New RD]]-Table1[[#This Row],[new   od]]</f>
        <v>15</v>
      </c>
      <c r="G306" s="4">
        <f>IF(Table1[[#This Row],[RequiredDate]]&lt;Table1[[#This Row],[OrderDate]], Table1[[#This Row],[OrderDate]]+7, Table1[[#This Row],[RequiredDate]])</f>
        <v>45428</v>
      </c>
      <c r="H306" s="21">
        <f t="shared" si="44"/>
        <v>15</v>
      </c>
      <c r="I306" s="6" t="str">
        <f>IF(Table1[[#This Row],[New LTD]]&lt;=7,"Yes","No")</f>
        <v>No</v>
      </c>
      <c r="J306" s="6" t="str">
        <f t="shared" si="45"/>
        <v>No</v>
      </c>
      <c r="K306" t="s">
        <v>647</v>
      </c>
      <c r="L306" t="s">
        <v>654</v>
      </c>
      <c r="M306" t="s">
        <v>668</v>
      </c>
      <c r="N306" t="s">
        <v>705</v>
      </c>
      <c r="O306" t="s">
        <v>707</v>
      </c>
      <c r="P306" t="s">
        <v>716</v>
      </c>
      <c r="Q306" t="s">
        <v>727</v>
      </c>
      <c r="R306" t="s">
        <v>1185</v>
      </c>
      <c r="S306" s="6">
        <v>901.19</v>
      </c>
      <c r="T306" s="6">
        <v>2125.44</v>
      </c>
      <c r="U306" s="6">
        <f t="shared" si="46"/>
        <v>2125.44</v>
      </c>
      <c r="V306" s="8">
        <v>7.0999999999999994E-2</v>
      </c>
      <c r="W306" s="6">
        <v>12</v>
      </c>
      <c r="X306" s="6">
        <f t="shared" si="47"/>
        <v>23694.405119999999</v>
      </c>
      <c r="Y306">
        <f t="shared" si="48"/>
        <v>10814.28</v>
      </c>
      <c r="Z306" s="6">
        <f t="shared" si="49"/>
        <v>12880.125119999999</v>
      </c>
      <c r="AA306">
        <f t="shared" si="50"/>
        <v>0.54359352154100415</v>
      </c>
      <c r="AB306" t="str">
        <f t="shared" si="51"/>
        <v>5-2024</v>
      </c>
      <c r="AC306" t="str">
        <f t="shared" si="52"/>
        <v>Q2-2024</v>
      </c>
      <c r="AD306" t="str">
        <f t="shared" si="53"/>
        <v>Asia →India →Bengaluru</v>
      </c>
      <c r="AE306" t="str">
        <f t="shared" si="55"/>
        <v>High</v>
      </c>
      <c r="AF306" t="str">
        <f>TEXT(Table1[[#This Row],[OrderDate]],"MMM")</f>
        <v>May</v>
      </c>
      <c r="AG306" t="str">
        <f>TEXT(Table1[[#This Row],[OrderDate]],"YYYY")</f>
        <v>2024</v>
      </c>
      <c r="AI306" s="4">
        <f>IF(Table1[[#This Row],[RequiredDate]]&lt;Table1[[#This Row],[OrderDate]], Table1[[#This Row],[OrderDate]]+7, Table1[[#This Row],[RequiredDate]])</f>
        <v>45428</v>
      </c>
      <c r="AJ306">
        <f>IF(Dashboard!$D$3&gt;'Staging Data'!V306,'Staging Data'!V306,Dashboard!D$3)</f>
        <v>7.0999999999999994E-2</v>
      </c>
      <c r="AK306" s="19">
        <f>(100%+Dashboard!$D$4)*'Staging Data'!S306</f>
        <v>946.24950000000013</v>
      </c>
      <c r="AL306">
        <f>(100%+Dashboard!$D$5)*'Staging Data'!W306</f>
        <v>13.799999999999999</v>
      </c>
    </row>
    <row r="307" spans="1:38" x14ac:dyDescent="0.35">
      <c r="A307" s="6" t="s">
        <v>532</v>
      </c>
      <c r="B307" s="4">
        <v>45413</v>
      </c>
      <c r="C307" s="4">
        <v>45438</v>
      </c>
      <c r="D307" s="4">
        <f>IF(Table1[[#This Row],[RequiredDate]]&lt;Table1[[#This Row],[OrderDate]],Table1[[#This Row],[RequiredDate]],Table1[[#This Row],[OrderDate]])</f>
        <v>45413</v>
      </c>
      <c r="E307" s="4">
        <f>IF(Table1[[#This Row],[RequiredDate]]&gt;Table1[[#This Row],[OrderDate]],Table1[[#This Row],[RequiredDate]],Table1[[#This Row],[OrderDate]])</f>
        <v>45438</v>
      </c>
      <c r="F307" s="21">
        <f>Table1[[#This Row],[New RD]]-Table1[[#This Row],[new   od]]</f>
        <v>25</v>
      </c>
      <c r="G307" s="4">
        <f>IF(Table1[[#This Row],[RequiredDate]]&lt;Table1[[#This Row],[OrderDate]], Table1[[#This Row],[OrderDate]]+7, Table1[[#This Row],[RequiredDate]])</f>
        <v>45438</v>
      </c>
      <c r="H307" s="21">
        <f t="shared" si="44"/>
        <v>25</v>
      </c>
      <c r="I307" s="6" t="str">
        <f>IF(Table1[[#This Row],[New LTD]]&lt;=7,"Yes","No")</f>
        <v>No</v>
      </c>
      <c r="J307" s="6" t="str">
        <f t="shared" si="45"/>
        <v>No</v>
      </c>
      <c r="K307" t="s">
        <v>649</v>
      </c>
      <c r="L307" t="s">
        <v>656</v>
      </c>
      <c r="M307" t="s">
        <v>671</v>
      </c>
      <c r="N307" t="s">
        <v>703</v>
      </c>
      <c r="O307" t="s">
        <v>707</v>
      </c>
      <c r="P307" t="s">
        <v>717</v>
      </c>
      <c r="Q307" t="s">
        <v>729</v>
      </c>
      <c r="R307" t="s">
        <v>1251</v>
      </c>
      <c r="S307" s="6">
        <v>930.71</v>
      </c>
      <c r="T307" s="6">
        <v>1625.42</v>
      </c>
      <c r="U307" s="6">
        <f t="shared" si="46"/>
        <v>1625.42</v>
      </c>
      <c r="V307" s="8">
        <v>0.13800000000000001</v>
      </c>
      <c r="W307" s="6">
        <v>7</v>
      </c>
      <c r="X307" s="6">
        <f t="shared" si="47"/>
        <v>9807.7842799999999</v>
      </c>
      <c r="Y307">
        <f t="shared" si="48"/>
        <v>6514.97</v>
      </c>
      <c r="Z307" s="6">
        <f t="shared" si="49"/>
        <v>3292.8142799999996</v>
      </c>
      <c r="AA307">
        <f t="shared" si="50"/>
        <v>0.33573477821231196</v>
      </c>
      <c r="AB307" t="str">
        <f t="shared" si="51"/>
        <v>5-2024</v>
      </c>
      <c r="AC307" t="str">
        <f t="shared" si="52"/>
        <v>Q2-2024</v>
      </c>
      <c r="AD307" t="str">
        <f t="shared" si="53"/>
        <v>Europe →Germany →Berlin</v>
      </c>
      <c r="AE307" t="str">
        <f t="shared" si="55"/>
        <v>High</v>
      </c>
      <c r="AF307" t="str">
        <f>TEXT(Table1[[#This Row],[OrderDate]],"MMM")</f>
        <v>May</v>
      </c>
      <c r="AG307" t="str">
        <f>TEXT(Table1[[#This Row],[OrderDate]],"YYYY")</f>
        <v>2024</v>
      </c>
      <c r="AI307" s="4">
        <f>IF(Table1[[#This Row],[RequiredDate]]&lt;Table1[[#This Row],[OrderDate]], Table1[[#This Row],[OrderDate]]+7, Table1[[#This Row],[RequiredDate]])</f>
        <v>45438</v>
      </c>
      <c r="AJ307">
        <f>IF(Dashboard!$D$3&gt;'Staging Data'!V307,'Staging Data'!V307,Dashboard!D$3)</f>
        <v>0.13800000000000001</v>
      </c>
      <c r="AK307" s="19">
        <f>(100%+Dashboard!$D$4)*'Staging Data'!S307</f>
        <v>977.24550000000011</v>
      </c>
      <c r="AL307">
        <f>(100%+Dashboard!$D$5)*'Staging Data'!W307</f>
        <v>8.0499999999999989</v>
      </c>
    </row>
    <row r="308" spans="1:38" x14ac:dyDescent="0.35">
      <c r="A308" s="6" t="s">
        <v>23</v>
      </c>
      <c r="B308" s="4">
        <v>45416</v>
      </c>
      <c r="C308" s="4">
        <v>45441</v>
      </c>
      <c r="D308" s="4">
        <f>IF(Table1[[#This Row],[RequiredDate]]&lt;Table1[[#This Row],[OrderDate]],Table1[[#This Row],[RequiredDate]],Table1[[#This Row],[OrderDate]])</f>
        <v>45416</v>
      </c>
      <c r="E308" s="4">
        <f>IF(Table1[[#This Row],[RequiredDate]]&gt;Table1[[#This Row],[OrderDate]],Table1[[#This Row],[RequiredDate]],Table1[[#This Row],[OrderDate]])</f>
        <v>45441</v>
      </c>
      <c r="F308" s="21">
        <f>Table1[[#This Row],[New RD]]-Table1[[#This Row],[new   od]]</f>
        <v>25</v>
      </c>
      <c r="G308" s="4">
        <f>IF(Table1[[#This Row],[RequiredDate]]&lt;Table1[[#This Row],[OrderDate]], Table1[[#This Row],[OrderDate]]+7, Table1[[#This Row],[RequiredDate]])</f>
        <v>45441</v>
      </c>
      <c r="H308" s="21">
        <f t="shared" si="44"/>
        <v>25</v>
      </c>
      <c r="I308" s="6" t="str">
        <f>IF(Table1[[#This Row],[New LTD]]&lt;=7,"Yes","No")</f>
        <v>No</v>
      </c>
      <c r="J308" s="6" t="str">
        <f t="shared" si="45"/>
        <v>No</v>
      </c>
      <c r="K308" t="s">
        <v>646</v>
      </c>
      <c r="L308" t="s">
        <v>651</v>
      </c>
      <c r="M308" t="s">
        <v>669</v>
      </c>
      <c r="N308" t="s">
        <v>703</v>
      </c>
      <c r="O308" t="s">
        <v>709</v>
      </c>
      <c r="P308" t="s">
        <v>719</v>
      </c>
      <c r="Q308" t="s">
        <v>732</v>
      </c>
      <c r="R308" t="s">
        <v>742</v>
      </c>
      <c r="S308" s="6">
        <v>1295.3399999999999</v>
      </c>
      <c r="T308" s="6">
        <v>2530.81</v>
      </c>
      <c r="U308" s="6">
        <f t="shared" si="46"/>
        <v>2530.81</v>
      </c>
      <c r="V308" s="8">
        <v>3.1E-2</v>
      </c>
      <c r="W308" s="6">
        <v>6</v>
      </c>
      <c r="X308" s="6">
        <f t="shared" si="47"/>
        <v>14714.12934</v>
      </c>
      <c r="Y308">
        <f t="shared" si="48"/>
        <v>7772.0399999999991</v>
      </c>
      <c r="Z308" s="6">
        <f t="shared" si="49"/>
        <v>6942.0893400000004</v>
      </c>
      <c r="AA308">
        <f t="shared" si="50"/>
        <v>0.4717974933880798</v>
      </c>
      <c r="AB308" t="str">
        <f t="shared" si="51"/>
        <v>5-2024</v>
      </c>
      <c r="AC308" t="str">
        <f t="shared" si="52"/>
        <v>Q2-2024</v>
      </c>
      <c r="AD308" t="str">
        <f t="shared" si="53"/>
        <v>Africa →Nigeria →Abuja</v>
      </c>
      <c r="AE308" t="str">
        <f t="shared" si="55"/>
        <v>High</v>
      </c>
      <c r="AF308" t="str">
        <f>TEXT(Table1[[#This Row],[OrderDate]],"MMM")</f>
        <v>May</v>
      </c>
      <c r="AG308" t="str">
        <f>TEXT(Table1[[#This Row],[OrderDate]],"YYYY")</f>
        <v>2024</v>
      </c>
      <c r="AI308" s="4">
        <f>IF(Table1[[#This Row],[RequiredDate]]&lt;Table1[[#This Row],[OrderDate]], Table1[[#This Row],[OrderDate]]+7, Table1[[#This Row],[RequiredDate]])</f>
        <v>45441</v>
      </c>
      <c r="AJ308">
        <f>IF(Dashboard!$D$3&gt;'Staging Data'!V308,'Staging Data'!V308,Dashboard!D$3)</f>
        <v>3.1E-2</v>
      </c>
      <c r="AK308" s="19">
        <f>(100%+Dashboard!$D$4)*'Staging Data'!S308</f>
        <v>1360.107</v>
      </c>
      <c r="AL308">
        <f>(100%+Dashboard!$D$5)*'Staging Data'!W308</f>
        <v>6.8999999999999995</v>
      </c>
    </row>
    <row r="309" spans="1:38" x14ac:dyDescent="0.35">
      <c r="A309" s="6" t="s">
        <v>473</v>
      </c>
      <c r="B309" s="4">
        <v>45417</v>
      </c>
      <c r="C309" s="4">
        <v>45430</v>
      </c>
      <c r="D309" s="4">
        <f>IF(Table1[[#This Row],[RequiredDate]]&lt;Table1[[#This Row],[OrderDate]],Table1[[#This Row],[RequiredDate]],Table1[[#This Row],[OrderDate]])</f>
        <v>45417</v>
      </c>
      <c r="E309" s="4">
        <f>IF(Table1[[#This Row],[RequiredDate]]&gt;Table1[[#This Row],[OrderDate]],Table1[[#This Row],[RequiredDate]],Table1[[#This Row],[OrderDate]])</f>
        <v>45430</v>
      </c>
      <c r="F309" s="21">
        <f>Table1[[#This Row],[New RD]]-Table1[[#This Row],[new   od]]</f>
        <v>13</v>
      </c>
      <c r="G309" s="4">
        <f>IF(Table1[[#This Row],[RequiredDate]]&lt;Table1[[#This Row],[OrderDate]], Table1[[#This Row],[OrderDate]]+7, Table1[[#This Row],[RequiredDate]])</f>
        <v>45430</v>
      </c>
      <c r="H309" s="21">
        <f t="shared" si="44"/>
        <v>13</v>
      </c>
      <c r="I309" s="6" t="str">
        <f>IF(Table1[[#This Row],[New LTD]]&lt;=7,"Yes","No")</f>
        <v>No</v>
      </c>
      <c r="J309" s="6" t="str">
        <f t="shared" si="45"/>
        <v>No</v>
      </c>
      <c r="K309" t="s">
        <v>649</v>
      </c>
      <c r="L309" t="s">
        <v>657</v>
      </c>
      <c r="M309" t="s">
        <v>673</v>
      </c>
      <c r="N309" t="s">
        <v>701</v>
      </c>
      <c r="O309" t="s">
        <v>709</v>
      </c>
      <c r="P309" t="s">
        <v>720</v>
      </c>
      <c r="Q309" t="s">
        <v>727</v>
      </c>
      <c r="R309" t="s">
        <v>1192</v>
      </c>
      <c r="S309" s="6">
        <v>1264.04</v>
      </c>
      <c r="T309" s="6">
        <v>1870.89</v>
      </c>
      <c r="U309" s="6">
        <f t="shared" si="46"/>
        <v>1870.89</v>
      </c>
      <c r="V309" s="8">
        <v>0</v>
      </c>
      <c r="W309" s="6">
        <v>13</v>
      </c>
      <c r="X309" s="6">
        <f t="shared" si="47"/>
        <v>24321.57</v>
      </c>
      <c r="Y309">
        <f t="shared" si="48"/>
        <v>16432.52</v>
      </c>
      <c r="Z309" s="6">
        <f t="shared" si="49"/>
        <v>7889.0499999999993</v>
      </c>
      <c r="AA309">
        <f t="shared" si="50"/>
        <v>0.32436433996653996</v>
      </c>
      <c r="AB309" t="str">
        <f t="shared" si="51"/>
        <v>5-2024</v>
      </c>
      <c r="AC309" t="str">
        <f t="shared" si="52"/>
        <v>Q2-2024</v>
      </c>
      <c r="AD309" t="str">
        <f t="shared" si="53"/>
        <v>Europe →France →Marseille</v>
      </c>
      <c r="AE309" t="str">
        <f t="shared" si="55"/>
        <v>High</v>
      </c>
      <c r="AF309" t="str">
        <f>TEXT(Table1[[#This Row],[OrderDate]],"MMM")</f>
        <v>May</v>
      </c>
      <c r="AG309" t="str">
        <f>TEXT(Table1[[#This Row],[OrderDate]],"YYYY")</f>
        <v>2024</v>
      </c>
      <c r="AI309" s="4">
        <f>IF(Table1[[#This Row],[RequiredDate]]&lt;Table1[[#This Row],[OrderDate]], Table1[[#This Row],[OrderDate]]+7, Table1[[#This Row],[RequiredDate]])</f>
        <v>45430</v>
      </c>
      <c r="AJ309">
        <f>IF(Dashboard!$D$3&gt;'Staging Data'!V309,'Staging Data'!V309,Dashboard!D$3)</f>
        <v>0</v>
      </c>
      <c r="AK309" s="19">
        <f>(100%+Dashboard!$D$4)*'Staging Data'!S309</f>
        <v>1327.242</v>
      </c>
      <c r="AL309">
        <f>(100%+Dashboard!$D$5)*'Staging Data'!W309</f>
        <v>14.95</v>
      </c>
    </row>
    <row r="310" spans="1:38" x14ac:dyDescent="0.35">
      <c r="A310" s="6" t="s">
        <v>401</v>
      </c>
      <c r="B310" s="4">
        <v>45419</v>
      </c>
      <c r="C310" s="4">
        <v>45424</v>
      </c>
      <c r="D310" s="4">
        <f>IF(Table1[[#This Row],[RequiredDate]]&lt;Table1[[#This Row],[OrderDate]],Table1[[#This Row],[RequiredDate]],Table1[[#This Row],[OrderDate]])</f>
        <v>45419</v>
      </c>
      <c r="E310" s="4">
        <f>IF(Table1[[#This Row],[RequiredDate]]&gt;Table1[[#This Row],[OrderDate]],Table1[[#This Row],[RequiredDate]],Table1[[#This Row],[OrderDate]])</f>
        <v>45424</v>
      </c>
      <c r="F310" s="21">
        <f>Table1[[#This Row],[New RD]]-Table1[[#This Row],[new   od]]</f>
        <v>5</v>
      </c>
      <c r="G310" s="4">
        <f>IF(Table1[[#This Row],[RequiredDate]]&lt;Table1[[#This Row],[OrderDate]], Table1[[#This Row],[OrderDate]]+7, Table1[[#This Row],[RequiredDate]])</f>
        <v>45424</v>
      </c>
      <c r="H310" s="21">
        <f t="shared" si="44"/>
        <v>5</v>
      </c>
      <c r="I310" s="6" t="str">
        <f>IF(Table1[[#This Row],[New LTD]]&lt;=7,"Yes","No")</f>
        <v>Yes</v>
      </c>
      <c r="J310" s="6" t="str">
        <f t="shared" si="45"/>
        <v>No</v>
      </c>
      <c r="K310" t="s">
        <v>646</v>
      </c>
      <c r="L310" t="s">
        <v>651</v>
      </c>
      <c r="M310" t="s">
        <v>669</v>
      </c>
      <c r="N310" t="s">
        <v>703</v>
      </c>
      <c r="O310" t="s">
        <v>710</v>
      </c>
      <c r="P310" t="s">
        <v>716</v>
      </c>
      <c r="Q310" t="s">
        <v>731</v>
      </c>
      <c r="R310" t="s">
        <v>1120</v>
      </c>
      <c r="S310" s="6">
        <v>1163.99</v>
      </c>
      <c r="T310" s="6">
        <v>1617.85</v>
      </c>
      <c r="U310" s="6">
        <f t="shared" si="46"/>
        <v>1617.85</v>
      </c>
      <c r="V310" s="8">
        <v>0.127</v>
      </c>
      <c r="W310" s="6">
        <v>14</v>
      </c>
      <c r="X310" s="6">
        <f t="shared" si="47"/>
        <v>19773.362699999998</v>
      </c>
      <c r="Y310">
        <f t="shared" si="48"/>
        <v>16295.86</v>
      </c>
      <c r="Z310" s="6">
        <f t="shared" si="49"/>
        <v>3477.5026999999973</v>
      </c>
      <c r="AA310">
        <f t="shared" si="50"/>
        <v>0.17586804797749436</v>
      </c>
      <c r="AB310" t="str">
        <f t="shared" si="51"/>
        <v>5-2024</v>
      </c>
      <c r="AC310" t="str">
        <f t="shared" si="52"/>
        <v>Q2-2024</v>
      </c>
      <c r="AD310" t="str">
        <f t="shared" si="53"/>
        <v>Africa →Nigeria →Abuja</v>
      </c>
      <c r="AE310" t="str">
        <f t="shared" si="55"/>
        <v>Medium</v>
      </c>
      <c r="AF310" t="str">
        <f>TEXT(Table1[[#This Row],[OrderDate]],"MMM")</f>
        <v>May</v>
      </c>
      <c r="AG310" t="str">
        <f>TEXT(Table1[[#This Row],[OrderDate]],"YYYY")</f>
        <v>2024</v>
      </c>
      <c r="AI310" s="4">
        <f>IF(Table1[[#This Row],[RequiredDate]]&lt;Table1[[#This Row],[OrderDate]], Table1[[#This Row],[OrderDate]]+7, Table1[[#This Row],[RequiredDate]])</f>
        <v>45424</v>
      </c>
      <c r="AJ310">
        <f>IF(Dashboard!$D$3&gt;'Staging Data'!V310,'Staging Data'!V310,Dashboard!D$3)</f>
        <v>0.127</v>
      </c>
      <c r="AK310" s="19">
        <f>(100%+Dashboard!$D$4)*'Staging Data'!S310</f>
        <v>1222.1895</v>
      </c>
      <c r="AL310">
        <f>(100%+Dashboard!$D$5)*'Staging Data'!W310</f>
        <v>16.099999999999998</v>
      </c>
    </row>
    <row r="311" spans="1:38" x14ac:dyDescent="0.35">
      <c r="A311" s="6" t="s">
        <v>490</v>
      </c>
      <c r="B311" s="4">
        <v>45422</v>
      </c>
      <c r="C311" s="4">
        <v>45428</v>
      </c>
      <c r="D311" s="4">
        <f>IF(Table1[[#This Row],[RequiredDate]]&lt;Table1[[#This Row],[OrderDate]],Table1[[#This Row],[RequiredDate]],Table1[[#This Row],[OrderDate]])</f>
        <v>45422</v>
      </c>
      <c r="E311" s="4">
        <f>IF(Table1[[#This Row],[RequiredDate]]&gt;Table1[[#This Row],[OrderDate]],Table1[[#This Row],[RequiredDate]],Table1[[#This Row],[OrderDate]])</f>
        <v>45428</v>
      </c>
      <c r="F311" s="21">
        <f>Table1[[#This Row],[New RD]]-Table1[[#This Row],[new   od]]</f>
        <v>6</v>
      </c>
      <c r="G311" s="4">
        <f>IF(Table1[[#This Row],[RequiredDate]]&lt;Table1[[#This Row],[OrderDate]], Table1[[#This Row],[OrderDate]]+7, Table1[[#This Row],[RequiredDate]])</f>
        <v>45428</v>
      </c>
      <c r="H311" s="21">
        <f t="shared" si="44"/>
        <v>6</v>
      </c>
      <c r="I311" s="6" t="str">
        <f>IF(Table1[[#This Row],[New LTD]]&lt;=7,"Yes","No")</f>
        <v>Yes</v>
      </c>
      <c r="J311" s="6" t="str">
        <f t="shared" si="45"/>
        <v>No</v>
      </c>
      <c r="K311" t="s">
        <v>649</v>
      </c>
      <c r="L311" t="s">
        <v>658</v>
      </c>
      <c r="M311" t="s">
        <v>674</v>
      </c>
      <c r="N311" t="s">
        <v>703</v>
      </c>
      <c r="O311" t="s">
        <v>711</v>
      </c>
      <c r="P311" t="s">
        <v>715</v>
      </c>
      <c r="Q311" t="s">
        <v>731</v>
      </c>
      <c r="R311" t="s">
        <v>1209</v>
      </c>
      <c r="S311" s="6">
        <v>210.76</v>
      </c>
      <c r="T311" s="6">
        <v>221.58</v>
      </c>
      <c r="U311" s="6">
        <f t="shared" si="46"/>
        <v>221.58</v>
      </c>
      <c r="V311" s="8">
        <v>8.8999999999999996E-2</v>
      </c>
      <c r="W311" s="6">
        <v>5</v>
      </c>
      <c r="X311" s="6">
        <f t="shared" si="47"/>
        <v>1009.2969000000002</v>
      </c>
      <c r="Y311">
        <f t="shared" si="48"/>
        <v>1053.8</v>
      </c>
      <c r="Z311" s="6">
        <f t="shared" si="49"/>
        <v>-44.50309999999979</v>
      </c>
      <c r="AA311">
        <f t="shared" si="50"/>
        <v>-4.4093170205912434E-2</v>
      </c>
      <c r="AB311" t="str">
        <f t="shared" si="51"/>
        <v>5-2024</v>
      </c>
      <c r="AC311" t="str">
        <f t="shared" si="52"/>
        <v>Q2-2024</v>
      </c>
      <c r="AD311" t="str">
        <f t="shared" si="53"/>
        <v>Europe →United Kingdom →Birmingham</v>
      </c>
      <c r="AE311" t="str">
        <f t="shared" si="55"/>
        <v>Low</v>
      </c>
      <c r="AF311" t="str">
        <f>TEXT(Table1[[#This Row],[OrderDate]],"MMM")</f>
        <v>May</v>
      </c>
      <c r="AG311" t="str">
        <f>TEXT(Table1[[#This Row],[OrderDate]],"YYYY")</f>
        <v>2024</v>
      </c>
      <c r="AI311" s="4">
        <f>IF(Table1[[#This Row],[RequiredDate]]&lt;Table1[[#This Row],[OrderDate]], Table1[[#This Row],[OrderDate]]+7, Table1[[#This Row],[RequiredDate]])</f>
        <v>45428</v>
      </c>
      <c r="AJ311">
        <f>IF(Dashboard!$D$3&gt;'Staging Data'!V311,'Staging Data'!V311,Dashboard!D$3)</f>
        <v>8.8999999999999996E-2</v>
      </c>
      <c r="AK311" s="19">
        <f>(100%+Dashboard!$D$4)*'Staging Data'!S311</f>
        <v>221.298</v>
      </c>
      <c r="AL311">
        <f>(100%+Dashboard!$D$5)*'Staging Data'!W311</f>
        <v>5.75</v>
      </c>
    </row>
    <row r="312" spans="1:38" x14ac:dyDescent="0.35">
      <c r="A312" s="6" t="s">
        <v>502</v>
      </c>
      <c r="B312" s="4">
        <v>45424</v>
      </c>
      <c r="C312" s="4">
        <v>45436</v>
      </c>
      <c r="D312" s="4">
        <f>IF(Table1[[#This Row],[RequiredDate]]&lt;Table1[[#This Row],[OrderDate]],Table1[[#This Row],[RequiredDate]],Table1[[#This Row],[OrderDate]])</f>
        <v>45424</v>
      </c>
      <c r="E312" s="4">
        <f>IF(Table1[[#This Row],[RequiredDate]]&gt;Table1[[#This Row],[OrderDate]],Table1[[#This Row],[RequiredDate]],Table1[[#This Row],[OrderDate]])</f>
        <v>45436</v>
      </c>
      <c r="F312" s="21">
        <f>Table1[[#This Row],[New RD]]-Table1[[#This Row],[new   od]]</f>
        <v>12</v>
      </c>
      <c r="G312" s="4">
        <f>IF(Table1[[#This Row],[RequiredDate]]&lt;Table1[[#This Row],[OrderDate]], Table1[[#This Row],[OrderDate]]+7, Table1[[#This Row],[RequiredDate]])</f>
        <v>45436</v>
      </c>
      <c r="H312" s="21">
        <f t="shared" si="44"/>
        <v>12</v>
      </c>
      <c r="I312" s="6" t="str">
        <f>IF(Table1[[#This Row],[New LTD]]&lt;=7,"Yes","No")</f>
        <v>No</v>
      </c>
      <c r="J312" s="6" t="str">
        <f t="shared" si="45"/>
        <v>No</v>
      </c>
      <c r="K312" t="s">
        <v>649</v>
      </c>
      <c r="L312" t="s">
        <v>658</v>
      </c>
      <c r="M312" t="s">
        <v>693</v>
      </c>
      <c r="N312" t="s">
        <v>702</v>
      </c>
      <c r="O312" t="s">
        <v>709</v>
      </c>
      <c r="P312" t="s">
        <v>723</v>
      </c>
      <c r="Q312" t="s">
        <v>728</v>
      </c>
      <c r="R312" t="s">
        <v>1221</v>
      </c>
      <c r="S312" s="6">
        <v>111.02</v>
      </c>
      <c r="T312" s="6">
        <v>172.88</v>
      </c>
      <c r="U312" s="6">
        <f t="shared" si="46"/>
        <v>172.88</v>
      </c>
      <c r="V312" s="8">
        <v>0.19700000000000001</v>
      </c>
      <c r="W312" s="6">
        <v>29</v>
      </c>
      <c r="X312" s="6">
        <f t="shared" si="47"/>
        <v>4025.8565599999993</v>
      </c>
      <c r="Y312">
        <f t="shared" si="48"/>
        <v>3219.58</v>
      </c>
      <c r="Z312" s="6">
        <f t="shared" si="49"/>
        <v>806.27655999999934</v>
      </c>
      <c r="AA312">
        <f t="shared" si="50"/>
        <v>0.20027453735212053</v>
      </c>
      <c r="AB312" t="str">
        <f t="shared" si="51"/>
        <v>5-2024</v>
      </c>
      <c r="AC312" t="str">
        <f t="shared" si="52"/>
        <v>Q2-2024</v>
      </c>
      <c r="AD312" t="str">
        <f t="shared" si="53"/>
        <v>Europe →United Kingdom →Manchester</v>
      </c>
      <c r="AE312" t="str">
        <f t="shared" si="55"/>
        <v>Low</v>
      </c>
      <c r="AF312" t="str">
        <f>TEXT(Table1[[#This Row],[OrderDate]],"MMM")</f>
        <v>May</v>
      </c>
      <c r="AG312" t="str">
        <f>TEXT(Table1[[#This Row],[OrderDate]],"YYYY")</f>
        <v>2024</v>
      </c>
      <c r="AI312" s="4">
        <f>IF(Table1[[#This Row],[RequiredDate]]&lt;Table1[[#This Row],[OrderDate]], Table1[[#This Row],[OrderDate]]+7, Table1[[#This Row],[RequiredDate]])</f>
        <v>45436</v>
      </c>
      <c r="AJ312">
        <f>IF(Dashboard!$D$3&gt;'Staging Data'!V312,'Staging Data'!V312,Dashboard!D$3)</f>
        <v>0.19700000000000001</v>
      </c>
      <c r="AK312" s="19">
        <f>(100%+Dashboard!$D$4)*'Staging Data'!S312</f>
        <v>116.571</v>
      </c>
      <c r="AL312">
        <f>(100%+Dashboard!$D$5)*'Staging Data'!W312</f>
        <v>33.349999999999994</v>
      </c>
    </row>
    <row r="313" spans="1:38" x14ac:dyDescent="0.35">
      <c r="A313" s="6" t="s">
        <v>62</v>
      </c>
      <c r="B313" s="4">
        <v>45426</v>
      </c>
      <c r="C313" s="4">
        <v>45440</v>
      </c>
      <c r="D313" s="4">
        <f>IF(Table1[[#This Row],[RequiredDate]]&lt;Table1[[#This Row],[OrderDate]],Table1[[#This Row],[RequiredDate]],Table1[[#This Row],[OrderDate]])</f>
        <v>45426</v>
      </c>
      <c r="E313" s="4">
        <f>IF(Table1[[#This Row],[RequiredDate]]&gt;Table1[[#This Row],[OrderDate]],Table1[[#This Row],[RequiredDate]],Table1[[#This Row],[OrderDate]])</f>
        <v>45440</v>
      </c>
      <c r="F313" s="21">
        <f>Table1[[#This Row],[New RD]]-Table1[[#This Row],[new   od]]</f>
        <v>14</v>
      </c>
      <c r="G313" s="4">
        <f>IF(Table1[[#This Row],[RequiredDate]]&lt;Table1[[#This Row],[OrderDate]], Table1[[#This Row],[OrderDate]]+7, Table1[[#This Row],[RequiredDate]])</f>
        <v>45440</v>
      </c>
      <c r="H313" s="21">
        <f t="shared" si="44"/>
        <v>14</v>
      </c>
      <c r="I313" s="6" t="str">
        <f>IF(Table1[[#This Row],[New LTD]]&lt;=7,"Yes","No")</f>
        <v>No</v>
      </c>
      <c r="J313" s="6" t="str">
        <f t="shared" si="45"/>
        <v>No</v>
      </c>
      <c r="K313" t="s">
        <v>649</v>
      </c>
      <c r="L313" t="s">
        <v>658</v>
      </c>
      <c r="M313" t="s">
        <v>674</v>
      </c>
      <c r="N313" t="s">
        <v>704</v>
      </c>
      <c r="O313" t="s">
        <v>707</v>
      </c>
      <c r="P313" t="s">
        <v>717</v>
      </c>
      <c r="Q313" t="s">
        <v>729</v>
      </c>
      <c r="R313" t="s">
        <v>781</v>
      </c>
      <c r="S313" s="6">
        <v>1421.14</v>
      </c>
      <c r="T313" s="6">
        <v>3524</v>
      </c>
      <c r="U313" s="6">
        <f t="shared" si="46"/>
        <v>3524</v>
      </c>
      <c r="V313" s="8">
        <v>0</v>
      </c>
      <c r="W313" s="6">
        <v>31</v>
      </c>
      <c r="X313" s="6">
        <f t="shared" si="47"/>
        <v>109244</v>
      </c>
      <c r="Y313">
        <f t="shared" si="48"/>
        <v>44055.340000000004</v>
      </c>
      <c r="Z313" s="6">
        <f t="shared" si="49"/>
        <v>65188.659999999996</v>
      </c>
      <c r="AA313">
        <f t="shared" si="50"/>
        <v>0.59672531214528945</v>
      </c>
      <c r="AB313" t="str">
        <f t="shared" si="51"/>
        <v>5-2024</v>
      </c>
      <c r="AC313" t="str">
        <f t="shared" si="52"/>
        <v>Q2-2024</v>
      </c>
      <c r="AD313" t="str">
        <f t="shared" si="53"/>
        <v>Europe →United Kingdom →Birmingham</v>
      </c>
      <c r="AE313" t="str">
        <f t="shared" si="55"/>
        <v>High</v>
      </c>
      <c r="AF313" t="str">
        <f>TEXT(Table1[[#This Row],[OrderDate]],"MMM")</f>
        <v>May</v>
      </c>
      <c r="AG313" t="str">
        <f>TEXT(Table1[[#This Row],[OrderDate]],"YYYY")</f>
        <v>2024</v>
      </c>
      <c r="AI313" s="4">
        <f>IF(Table1[[#This Row],[RequiredDate]]&lt;Table1[[#This Row],[OrderDate]], Table1[[#This Row],[OrderDate]]+7, Table1[[#This Row],[RequiredDate]])</f>
        <v>45440</v>
      </c>
      <c r="AJ313">
        <f>IF(Dashboard!$D$3&gt;'Staging Data'!V313,'Staging Data'!V313,Dashboard!D$3)</f>
        <v>0</v>
      </c>
      <c r="AK313" s="19">
        <f>(100%+Dashboard!$D$4)*'Staging Data'!S313</f>
        <v>1492.1970000000001</v>
      </c>
      <c r="AL313">
        <f>(100%+Dashboard!$D$5)*'Staging Data'!W313</f>
        <v>35.65</v>
      </c>
    </row>
    <row r="314" spans="1:38" x14ac:dyDescent="0.35">
      <c r="A314" s="6" t="s">
        <v>388</v>
      </c>
      <c r="B314" s="4">
        <v>45429</v>
      </c>
      <c r="C314" s="4">
        <v>45439</v>
      </c>
      <c r="D314" s="4">
        <f>IF(Table1[[#This Row],[RequiredDate]]&lt;Table1[[#This Row],[OrderDate]],Table1[[#This Row],[RequiredDate]],Table1[[#This Row],[OrderDate]])</f>
        <v>45429</v>
      </c>
      <c r="E314" s="4">
        <f>IF(Table1[[#This Row],[RequiredDate]]&gt;Table1[[#This Row],[OrderDate]],Table1[[#This Row],[RequiredDate]],Table1[[#This Row],[OrderDate]])</f>
        <v>45439</v>
      </c>
      <c r="F314" s="21">
        <f>Table1[[#This Row],[New RD]]-Table1[[#This Row],[new   od]]</f>
        <v>10</v>
      </c>
      <c r="G314" s="4">
        <f>IF(Table1[[#This Row],[RequiredDate]]&lt;Table1[[#This Row],[OrderDate]], Table1[[#This Row],[OrderDate]]+7, Table1[[#This Row],[RequiredDate]])</f>
        <v>45439</v>
      </c>
      <c r="H314" s="21">
        <f t="shared" si="44"/>
        <v>10</v>
      </c>
      <c r="I314" s="6" t="str">
        <f>IF(Table1[[#This Row],[New LTD]]&lt;=7,"Yes","No")</f>
        <v>No</v>
      </c>
      <c r="J314" s="6" t="str">
        <f t="shared" si="45"/>
        <v>Yes</v>
      </c>
      <c r="K314" t="s">
        <v>648</v>
      </c>
      <c r="L314" t="s">
        <v>660</v>
      </c>
      <c r="M314" t="s">
        <v>697</v>
      </c>
      <c r="N314" t="s">
        <v>703</v>
      </c>
      <c r="O314" t="s">
        <v>708</v>
      </c>
      <c r="P314" t="s">
        <v>712</v>
      </c>
      <c r="Q314" t="s">
        <v>730</v>
      </c>
      <c r="R314" t="s">
        <v>1108</v>
      </c>
      <c r="S314" s="6">
        <v>1484.23</v>
      </c>
      <c r="T314" s="6">
        <v>3472.81</v>
      </c>
      <c r="U314" s="6">
        <f t="shared" si="46"/>
        <v>3472.81</v>
      </c>
      <c r="V314" s="8">
        <v>0.25600000000000001</v>
      </c>
      <c r="W314" s="6">
        <v>12</v>
      </c>
      <c r="X314" s="6">
        <f t="shared" si="47"/>
        <v>31005.24768</v>
      </c>
      <c r="Y314">
        <f t="shared" si="48"/>
        <v>17810.760000000002</v>
      </c>
      <c r="Z314" s="6">
        <f t="shared" si="49"/>
        <v>13194.487679999998</v>
      </c>
      <c r="AA314">
        <f t="shared" si="50"/>
        <v>0.42555659661803413</v>
      </c>
      <c r="AB314" t="str">
        <f t="shared" si="51"/>
        <v>5-2024</v>
      </c>
      <c r="AC314" t="str">
        <f t="shared" si="52"/>
        <v>Q2-2024</v>
      </c>
      <c r="AD314" t="str">
        <f t="shared" si="53"/>
        <v>Americas →USA →Austin</v>
      </c>
      <c r="AE314" t="str">
        <f t="shared" si="55"/>
        <v>High</v>
      </c>
      <c r="AF314" t="str">
        <f>TEXT(Table1[[#This Row],[OrderDate]],"MMM")</f>
        <v>May</v>
      </c>
      <c r="AG314" t="str">
        <f>TEXT(Table1[[#This Row],[OrderDate]],"YYYY")</f>
        <v>2024</v>
      </c>
      <c r="AI314" s="4">
        <f>IF(Table1[[#This Row],[RequiredDate]]&lt;Table1[[#This Row],[OrderDate]], Table1[[#This Row],[OrderDate]]+7, Table1[[#This Row],[RequiredDate]])</f>
        <v>45439</v>
      </c>
      <c r="AJ314">
        <f>IF(Dashboard!$D$3&gt;'Staging Data'!V314,'Staging Data'!V314,Dashboard!D$3)</f>
        <v>0.2</v>
      </c>
      <c r="AK314" s="19">
        <f>(100%+Dashboard!$D$4)*'Staging Data'!S314</f>
        <v>1558.4415000000001</v>
      </c>
      <c r="AL314">
        <f>(100%+Dashboard!$D$5)*'Staging Data'!W314</f>
        <v>13.799999999999999</v>
      </c>
    </row>
    <row r="315" spans="1:38" x14ac:dyDescent="0.35">
      <c r="A315" s="6" t="s">
        <v>38</v>
      </c>
      <c r="B315" s="4">
        <v>45430</v>
      </c>
      <c r="C315" s="4">
        <v>45435</v>
      </c>
      <c r="D315" s="4">
        <f>IF(Table1[[#This Row],[RequiredDate]]&lt;Table1[[#This Row],[OrderDate]],Table1[[#This Row],[RequiredDate]],Table1[[#This Row],[OrderDate]])</f>
        <v>45430</v>
      </c>
      <c r="E315" s="4">
        <f>IF(Table1[[#This Row],[RequiredDate]]&gt;Table1[[#This Row],[OrderDate]],Table1[[#This Row],[RequiredDate]],Table1[[#This Row],[OrderDate]])</f>
        <v>45435</v>
      </c>
      <c r="F315" s="21">
        <f>Table1[[#This Row],[New RD]]-Table1[[#This Row],[new   od]]</f>
        <v>5</v>
      </c>
      <c r="G315" s="4">
        <f>IF(Table1[[#This Row],[RequiredDate]]&lt;Table1[[#This Row],[OrderDate]], Table1[[#This Row],[OrderDate]]+7, Table1[[#This Row],[RequiredDate]])</f>
        <v>45435</v>
      </c>
      <c r="H315" s="21">
        <f t="shared" si="44"/>
        <v>5</v>
      </c>
      <c r="I315" s="6" t="str">
        <f>IF(Table1[[#This Row],[New LTD]]&lt;=7,"Yes","No")</f>
        <v>Yes</v>
      </c>
      <c r="J315" s="6" t="str">
        <f t="shared" si="45"/>
        <v>No</v>
      </c>
      <c r="K315" t="s">
        <v>648</v>
      </c>
      <c r="L315" t="s">
        <v>660</v>
      </c>
      <c r="M315" t="s">
        <v>677</v>
      </c>
      <c r="N315" t="s">
        <v>706</v>
      </c>
      <c r="O315" t="s">
        <v>707</v>
      </c>
      <c r="P315" t="s">
        <v>722</v>
      </c>
      <c r="Q315" t="s">
        <v>731</v>
      </c>
      <c r="R315" t="s">
        <v>757</v>
      </c>
      <c r="S315" s="6">
        <v>1274.5899999999999</v>
      </c>
      <c r="T315" s="6">
        <v>2553.69</v>
      </c>
      <c r="U315" s="6">
        <f t="shared" si="46"/>
        <v>2553.69</v>
      </c>
      <c r="V315" s="8">
        <v>0.01</v>
      </c>
      <c r="W315" s="6">
        <v>8</v>
      </c>
      <c r="X315" s="6">
        <f t="shared" si="47"/>
        <v>20225.2248</v>
      </c>
      <c r="Y315">
        <f t="shared" si="48"/>
        <v>10196.719999999999</v>
      </c>
      <c r="Z315" s="6">
        <f t="shared" si="49"/>
        <v>10028.504800000001</v>
      </c>
      <c r="AA315">
        <f t="shared" si="50"/>
        <v>0.49584145042481803</v>
      </c>
      <c r="AB315" t="str">
        <f t="shared" si="51"/>
        <v>5-2024</v>
      </c>
      <c r="AC315" t="str">
        <f t="shared" si="52"/>
        <v>Q2-2024</v>
      </c>
      <c r="AD315" t="str">
        <f t="shared" si="53"/>
        <v>Americas →USA →Chicago</v>
      </c>
      <c r="AE315" t="str">
        <f t="shared" si="55"/>
        <v>High</v>
      </c>
      <c r="AF315" t="str">
        <f>TEXT(Table1[[#This Row],[OrderDate]],"MMM")</f>
        <v>May</v>
      </c>
      <c r="AG315" t="str">
        <f>TEXT(Table1[[#This Row],[OrderDate]],"YYYY")</f>
        <v>2024</v>
      </c>
      <c r="AI315" s="4">
        <f>IF(Table1[[#This Row],[RequiredDate]]&lt;Table1[[#This Row],[OrderDate]], Table1[[#This Row],[OrderDate]]+7, Table1[[#This Row],[RequiredDate]])</f>
        <v>45435</v>
      </c>
      <c r="AJ315">
        <f>IF(Dashboard!$D$3&gt;'Staging Data'!V315,'Staging Data'!V315,Dashboard!D$3)</f>
        <v>0.01</v>
      </c>
      <c r="AK315" s="19">
        <f>(100%+Dashboard!$D$4)*'Staging Data'!S315</f>
        <v>1338.3195000000001</v>
      </c>
      <c r="AL315">
        <f>(100%+Dashboard!$D$5)*'Staging Data'!W315</f>
        <v>9.1999999999999993</v>
      </c>
    </row>
    <row r="316" spans="1:38" x14ac:dyDescent="0.35">
      <c r="A316" s="6" t="s">
        <v>425</v>
      </c>
      <c r="B316" s="4">
        <v>45430</v>
      </c>
      <c r="C316" s="4">
        <v>45433</v>
      </c>
      <c r="D316" s="4">
        <f>IF(Table1[[#This Row],[RequiredDate]]&lt;Table1[[#This Row],[OrderDate]],Table1[[#This Row],[RequiredDate]],Table1[[#This Row],[OrderDate]])</f>
        <v>45430</v>
      </c>
      <c r="E316" s="4">
        <f>IF(Table1[[#This Row],[RequiredDate]]&gt;Table1[[#This Row],[OrderDate]],Table1[[#This Row],[RequiredDate]],Table1[[#This Row],[OrderDate]])</f>
        <v>45433</v>
      </c>
      <c r="F316" s="21">
        <f>Table1[[#This Row],[New RD]]-Table1[[#This Row],[new   od]]</f>
        <v>3</v>
      </c>
      <c r="G316" s="4">
        <f>IF(Table1[[#This Row],[RequiredDate]]&lt;Table1[[#This Row],[OrderDate]], Table1[[#This Row],[OrderDate]]+7, Table1[[#This Row],[RequiredDate]])</f>
        <v>45433</v>
      </c>
      <c r="H316" s="21">
        <f t="shared" si="44"/>
        <v>3</v>
      </c>
      <c r="I316" s="6" t="str">
        <f>IF(Table1[[#This Row],[New LTD]]&lt;=7,"Yes","No")</f>
        <v>Yes</v>
      </c>
      <c r="J316" s="6" t="str">
        <f t="shared" si="45"/>
        <v>Yes</v>
      </c>
      <c r="K316" t="s">
        <v>649</v>
      </c>
      <c r="L316" t="s">
        <v>657</v>
      </c>
      <c r="M316" t="s">
        <v>673</v>
      </c>
      <c r="N316" t="s">
        <v>703</v>
      </c>
      <c r="O316" t="s">
        <v>709</v>
      </c>
      <c r="P316" t="s">
        <v>726</v>
      </c>
      <c r="Q316" t="s">
        <v>728</v>
      </c>
      <c r="R316" t="s">
        <v>1144</v>
      </c>
      <c r="S316" s="6">
        <v>663.66</v>
      </c>
      <c r="T316" s="6">
        <v>824.26</v>
      </c>
      <c r="U316" s="6">
        <f t="shared" si="46"/>
        <v>824.26</v>
      </c>
      <c r="V316" s="8">
        <v>0.23899999999999999</v>
      </c>
      <c r="W316" s="6">
        <v>11</v>
      </c>
      <c r="X316" s="6">
        <f t="shared" si="47"/>
        <v>6899.8804600000003</v>
      </c>
      <c r="Y316">
        <f t="shared" si="48"/>
        <v>7300.2599999999993</v>
      </c>
      <c r="Z316" s="6">
        <f t="shared" si="49"/>
        <v>-400.379539999999</v>
      </c>
      <c r="AA316">
        <f t="shared" si="50"/>
        <v>-5.8027025587048933E-2</v>
      </c>
      <c r="AB316" t="str">
        <f t="shared" si="51"/>
        <v>5-2024</v>
      </c>
      <c r="AC316" t="str">
        <f t="shared" si="52"/>
        <v>Q2-2024</v>
      </c>
      <c r="AD316" t="str">
        <f t="shared" si="53"/>
        <v>Europe →France →Marseille</v>
      </c>
      <c r="AE316" t="str">
        <f t="shared" si="55"/>
        <v>Medium</v>
      </c>
      <c r="AF316" t="str">
        <f>TEXT(Table1[[#This Row],[OrderDate]],"MMM")</f>
        <v>May</v>
      </c>
      <c r="AG316" t="str">
        <f>TEXT(Table1[[#This Row],[OrderDate]],"YYYY")</f>
        <v>2024</v>
      </c>
      <c r="AI316" s="4">
        <f>IF(Table1[[#This Row],[RequiredDate]]&lt;Table1[[#This Row],[OrderDate]], Table1[[#This Row],[OrderDate]]+7, Table1[[#This Row],[RequiredDate]])</f>
        <v>45433</v>
      </c>
      <c r="AJ316">
        <f>IF(Dashboard!$D$3&gt;'Staging Data'!V316,'Staging Data'!V316,Dashboard!D$3)</f>
        <v>0.2</v>
      </c>
      <c r="AK316" s="19">
        <f>(100%+Dashboard!$D$4)*'Staging Data'!S316</f>
        <v>696.84299999999996</v>
      </c>
      <c r="AL316">
        <f>(100%+Dashboard!$D$5)*'Staging Data'!W316</f>
        <v>12.649999999999999</v>
      </c>
    </row>
    <row r="317" spans="1:38" x14ac:dyDescent="0.35">
      <c r="A317" s="6" t="s">
        <v>573</v>
      </c>
      <c r="B317" s="4">
        <v>45430</v>
      </c>
      <c r="C317" s="4">
        <v>45434</v>
      </c>
      <c r="D317" s="4">
        <f>IF(Table1[[#This Row],[RequiredDate]]&lt;Table1[[#This Row],[OrderDate]],Table1[[#This Row],[RequiredDate]],Table1[[#This Row],[OrderDate]])</f>
        <v>45430</v>
      </c>
      <c r="E317" s="4">
        <f>IF(Table1[[#This Row],[RequiredDate]]&gt;Table1[[#This Row],[OrderDate]],Table1[[#This Row],[RequiredDate]],Table1[[#This Row],[OrderDate]])</f>
        <v>45434</v>
      </c>
      <c r="F317" s="21">
        <f>Table1[[#This Row],[New RD]]-Table1[[#This Row],[new   od]]</f>
        <v>4</v>
      </c>
      <c r="G317" s="4">
        <f>IF(Table1[[#This Row],[RequiredDate]]&lt;Table1[[#This Row],[OrderDate]], Table1[[#This Row],[OrderDate]]+7, Table1[[#This Row],[RequiredDate]])</f>
        <v>45434</v>
      </c>
      <c r="H317" s="21">
        <f t="shared" si="44"/>
        <v>4</v>
      </c>
      <c r="I317" s="6" t="str">
        <f>IF(Table1[[#This Row],[New LTD]]&lt;=7,"Yes","No")</f>
        <v>Yes</v>
      </c>
      <c r="J317" s="6" t="str">
        <f t="shared" si="45"/>
        <v>No</v>
      </c>
      <c r="K317" t="s">
        <v>646</v>
      </c>
      <c r="L317" t="s">
        <v>650</v>
      </c>
      <c r="M317" t="s">
        <v>664</v>
      </c>
      <c r="N317" t="s">
        <v>701</v>
      </c>
      <c r="O317" t="s">
        <v>711</v>
      </c>
      <c r="P317" t="s">
        <v>722</v>
      </c>
      <c r="Q317" t="s">
        <v>733</v>
      </c>
      <c r="R317" t="s">
        <v>1291</v>
      </c>
      <c r="S317" s="6">
        <v>857.42</v>
      </c>
      <c r="T317" s="6">
        <v>1658.92</v>
      </c>
      <c r="U317" s="6">
        <f t="shared" si="46"/>
        <v>1658.92</v>
      </c>
      <c r="V317" s="8">
        <v>0.122</v>
      </c>
      <c r="W317" s="6">
        <v>9</v>
      </c>
      <c r="X317" s="6">
        <f t="shared" si="47"/>
        <v>13108.78584</v>
      </c>
      <c r="Y317">
        <f t="shared" si="48"/>
        <v>7716.78</v>
      </c>
      <c r="Z317" s="6">
        <f t="shared" si="49"/>
        <v>5392.0058400000007</v>
      </c>
      <c r="AA317">
        <f t="shared" si="50"/>
        <v>0.41132763215544305</v>
      </c>
      <c r="AB317" t="str">
        <f t="shared" si="51"/>
        <v>5-2024</v>
      </c>
      <c r="AC317" t="str">
        <f t="shared" si="52"/>
        <v>Q2-2024</v>
      </c>
      <c r="AD317" t="str">
        <f t="shared" si="53"/>
        <v>Africa →Kenya →Nairobi</v>
      </c>
      <c r="AE317" t="str">
        <f t="shared" si="55"/>
        <v>High</v>
      </c>
      <c r="AF317" t="str">
        <f>TEXT(Table1[[#This Row],[OrderDate]],"MMM")</f>
        <v>May</v>
      </c>
      <c r="AG317" t="str">
        <f>TEXT(Table1[[#This Row],[OrderDate]],"YYYY")</f>
        <v>2024</v>
      </c>
      <c r="AI317" s="4">
        <f>IF(Table1[[#This Row],[RequiredDate]]&lt;Table1[[#This Row],[OrderDate]], Table1[[#This Row],[OrderDate]]+7, Table1[[#This Row],[RequiredDate]])</f>
        <v>45434</v>
      </c>
      <c r="AJ317">
        <f>IF(Dashboard!$D$3&gt;'Staging Data'!V317,'Staging Data'!V317,Dashboard!D$3)</f>
        <v>0.122</v>
      </c>
      <c r="AK317" s="19">
        <f>(100%+Dashboard!$D$4)*'Staging Data'!S317</f>
        <v>900.29099999999994</v>
      </c>
      <c r="AL317">
        <f>(100%+Dashboard!$D$5)*'Staging Data'!W317</f>
        <v>10.35</v>
      </c>
    </row>
    <row r="318" spans="1:38" x14ac:dyDescent="0.35">
      <c r="A318" s="6" t="s">
        <v>203</v>
      </c>
      <c r="B318" s="4">
        <v>45431</v>
      </c>
      <c r="C318" s="4">
        <v>45451</v>
      </c>
      <c r="D318" s="4">
        <f>IF(Table1[[#This Row],[RequiredDate]]&lt;Table1[[#This Row],[OrderDate]],Table1[[#This Row],[RequiredDate]],Table1[[#This Row],[OrderDate]])</f>
        <v>45431</v>
      </c>
      <c r="E318" s="4">
        <f>IF(Table1[[#This Row],[RequiredDate]]&gt;Table1[[#This Row],[OrderDate]],Table1[[#This Row],[RequiredDate]],Table1[[#This Row],[OrderDate]])</f>
        <v>45451</v>
      </c>
      <c r="F318" s="21">
        <f>Table1[[#This Row],[New RD]]-Table1[[#This Row],[new   od]]</f>
        <v>20</v>
      </c>
      <c r="G318" s="4">
        <f>IF(Table1[[#This Row],[RequiredDate]]&lt;Table1[[#This Row],[OrderDate]], Table1[[#This Row],[OrderDate]]+7, Table1[[#This Row],[RequiredDate]])</f>
        <v>45451</v>
      </c>
      <c r="H318" s="21">
        <f t="shared" si="44"/>
        <v>20</v>
      </c>
      <c r="I318" s="6" t="str">
        <f>IF(Table1[[#This Row],[New LTD]]&lt;=7,"Yes","No")</f>
        <v>No</v>
      </c>
      <c r="J318" s="6" t="str">
        <f t="shared" si="45"/>
        <v>No</v>
      </c>
      <c r="K318" t="s">
        <v>648</v>
      </c>
      <c r="L318" t="s">
        <v>655</v>
      </c>
      <c r="M318" t="s">
        <v>672</v>
      </c>
      <c r="N318" t="s">
        <v>705</v>
      </c>
      <c r="O318" t="s">
        <v>707</v>
      </c>
      <c r="P318" t="s">
        <v>718</v>
      </c>
      <c r="Q318" t="s">
        <v>732</v>
      </c>
      <c r="R318" t="s">
        <v>923</v>
      </c>
      <c r="S318" s="6">
        <v>1075.9000000000001</v>
      </c>
      <c r="T318" s="6">
        <v>1242.1500000000001</v>
      </c>
      <c r="U318" s="6">
        <f t="shared" si="46"/>
        <v>1242.1500000000001</v>
      </c>
      <c r="V318" s="8">
        <v>1.2E-2</v>
      </c>
      <c r="W318" s="6">
        <v>7</v>
      </c>
      <c r="X318" s="6">
        <f t="shared" si="47"/>
        <v>8590.7094000000016</v>
      </c>
      <c r="Y318">
        <f t="shared" si="48"/>
        <v>7531.3000000000011</v>
      </c>
      <c r="Z318" s="6">
        <f t="shared" si="49"/>
        <v>1059.4094000000005</v>
      </c>
      <c r="AA318">
        <f t="shared" si="50"/>
        <v>0.12332036280961853</v>
      </c>
      <c r="AB318" t="str">
        <f t="shared" si="51"/>
        <v>5-2024</v>
      </c>
      <c r="AC318" t="str">
        <f t="shared" si="52"/>
        <v>Q2-2024</v>
      </c>
      <c r="AD318" t="str">
        <f t="shared" si="53"/>
        <v>Americas →Brazil →Brasília</v>
      </c>
      <c r="AE318" t="str">
        <f t="shared" si="55"/>
        <v>Medium</v>
      </c>
      <c r="AF318" t="str">
        <f>TEXT(Table1[[#This Row],[OrderDate]],"MMM")</f>
        <v>May</v>
      </c>
      <c r="AG318" t="str">
        <f>TEXT(Table1[[#This Row],[OrderDate]],"YYYY")</f>
        <v>2024</v>
      </c>
      <c r="AI318" s="4">
        <f>IF(Table1[[#This Row],[RequiredDate]]&lt;Table1[[#This Row],[OrderDate]], Table1[[#This Row],[OrderDate]]+7, Table1[[#This Row],[RequiredDate]])</f>
        <v>45451</v>
      </c>
      <c r="AJ318">
        <f>IF(Dashboard!$D$3&gt;'Staging Data'!V318,'Staging Data'!V318,Dashboard!D$3)</f>
        <v>1.2E-2</v>
      </c>
      <c r="AK318" s="19">
        <f>(100%+Dashboard!$D$4)*'Staging Data'!S318</f>
        <v>1129.6950000000002</v>
      </c>
      <c r="AL318">
        <f>(100%+Dashboard!$D$5)*'Staging Data'!W318</f>
        <v>8.0499999999999989</v>
      </c>
    </row>
    <row r="319" spans="1:38" x14ac:dyDescent="0.35">
      <c r="A319" s="6" t="s">
        <v>59</v>
      </c>
      <c r="B319" s="4">
        <v>45432</v>
      </c>
      <c r="C319" s="4">
        <v>45445</v>
      </c>
      <c r="D319" s="4">
        <f>IF(Table1[[#This Row],[RequiredDate]]&lt;Table1[[#This Row],[OrderDate]],Table1[[#This Row],[RequiredDate]],Table1[[#This Row],[OrderDate]])</f>
        <v>45432</v>
      </c>
      <c r="E319" s="4">
        <f>IF(Table1[[#This Row],[RequiredDate]]&gt;Table1[[#This Row],[OrderDate]],Table1[[#This Row],[RequiredDate]],Table1[[#This Row],[OrderDate]])</f>
        <v>45445</v>
      </c>
      <c r="F319" s="21">
        <f>Table1[[#This Row],[New RD]]-Table1[[#This Row],[new   od]]</f>
        <v>13</v>
      </c>
      <c r="G319" s="4">
        <f>IF(Table1[[#This Row],[RequiredDate]]&lt;Table1[[#This Row],[OrderDate]], Table1[[#This Row],[OrderDate]]+7, Table1[[#This Row],[RequiredDate]])</f>
        <v>45445</v>
      </c>
      <c r="H319" s="21">
        <f t="shared" si="44"/>
        <v>13</v>
      </c>
      <c r="I319" s="6" t="str">
        <f>IF(Table1[[#This Row],[New LTD]]&lt;=7,"Yes","No")</f>
        <v>No</v>
      </c>
      <c r="J319" s="6" t="str">
        <f t="shared" si="45"/>
        <v>No</v>
      </c>
      <c r="K319" t="s">
        <v>648</v>
      </c>
      <c r="L319" t="s">
        <v>653</v>
      </c>
      <c r="M319" t="s">
        <v>688</v>
      </c>
      <c r="N319" t="s">
        <v>706</v>
      </c>
      <c r="O319" t="s">
        <v>709</v>
      </c>
      <c r="P319" t="s">
        <v>723</v>
      </c>
      <c r="Q319" t="s">
        <v>727</v>
      </c>
      <c r="R319" t="s">
        <v>778</v>
      </c>
      <c r="S319" s="6">
        <v>675.43</v>
      </c>
      <c r="T319" s="6">
        <v>996.36</v>
      </c>
      <c r="U319" s="6">
        <f t="shared" si="46"/>
        <v>996.36</v>
      </c>
      <c r="V319" s="8">
        <v>0.182</v>
      </c>
      <c r="W319" s="6">
        <v>22</v>
      </c>
      <c r="X319" s="6">
        <f t="shared" si="47"/>
        <v>17930.494560000003</v>
      </c>
      <c r="Y319">
        <f t="shared" si="48"/>
        <v>14859.46</v>
      </c>
      <c r="Z319" s="6">
        <f t="shared" si="49"/>
        <v>3071.0345600000037</v>
      </c>
      <c r="AA319">
        <f t="shared" si="50"/>
        <v>0.17127439233332575</v>
      </c>
      <c r="AB319" t="str">
        <f t="shared" si="51"/>
        <v>5-2024</v>
      </c>
      <c r="AC319" t="str">
        <f t="shared" si="52"/>
        <v>Q2-2024</v>
      </c>
      <c r="AD319" t="str">
        <f t="shared" si="53"/>
        <v>Americas →Canada →Vancouver</v>
      </c>
      <c r="AE319" t="str">
        <f t="shared" si="55"/>
        <v>Medium</v>
      </c>
      <c r="AF319" t="str">
        <f>TEXT(Table1[[#This Row],[OrderDate]],"MMM")</f>
        <v>May</v>
      </c>
      <c r="AG319" t="str">
        <f>TEXT(Table1[[#This Row],[OrderDate]],"YYYY")</f>
        <v>2024</v>
      </c>
      <c r="AI319" s="4">
        <f>IF(Table1[[#This Row],[RequiredDate]]&lt;Table1[[#This Row],[OrderDate]], Table1[[#This Row],[OrderDate]]+7, Table1[[#This Row],[RequiredDate]])</f>
        <v>45445</v>
      </c>
      <c r="AJ319">
        <f>IF(Dashboard!$D$3&gt;'Staging Data'!V319,'Staging Data'!V319,Dashboard!D$3)</f>
        <v>0.182</v>
      </c>
      <c r="AK319" s="19">
        <f>(100%+Dashboard!$D$4)*'Staging Data'!S319</f>
        <v>709.20150000000001</v>
      </c>
      <c r="AL319">
        <f>(100%+Dashboard!$D$5)*'Staging Data'!W319</f>
        <v>25.299999999999997</v>
      </c>
    </row>
    <row r="320" spans="1:38" x14ac:dyDescent="0.35">
      <c r="A320" s="6" t="s">
        <v>120</v>
      </c>
      <c r="B320" s="4">
        <v>45433</v>
      </c>
      <c r="C320" s="4">
        <v>45439</v>
      </c>
      <c r="D320" s="4">
        <f>IF(Table1[[#This Row],[RequiredDate]]&lt;Table1[[#This Row],[OrderDate]],Table1[[#This Row],[RequiredDate]],Table1[[#This Row],[OrderDate]])</f>
        <v>45433</v>
      </c>
      <c r="E320" s="4">
        <f>IF(Table1[[#This Row],[RequiredDate]]&gt;Table1[[#This Row],[OrderDate]],Table1[[#This Row],[RequiredDate]],Table1[[#This Row],[OrderDate]])</f>
        <v>45439</v>
      </c>
      <c r="F320" s="21">
        <f>Table1[[#This Row],[New RD]]-Table1[[#This Row],[new   od]]</f>
        <v>6</v>
      </c>
      <c r="G320" s="4">
        <f>IF(Table1[[#This Row],[RequiredDate]]&lt;Table1[[#This Row],[OrderDate]], Table1[[#This Row],[OrderDate]]+7, Table1[[#This Row],[RequiredDate]])</f>
        <v>45439</v>
      </c>
      <c r="H320" s="21">
        <f t="shared" si="44"/>
        <v>6</v>
      </c>
      <c r="I320" s="6" t="str">
        <f>IF(Table1[[#This Row],[New LTD]]&lt;=7,"Yes","No")</f>
        <v>Yes</v>
      </c>
      <c r="J320" s="6" t="str">
        <f t="shared" si="45"/>
        <v>Yes</v>
      </c>
      <c r="K320" t="s">
        <v>646</v>
      </c>
      <c r="L320" t="s">
        <v>661</v>
      </c>
      <c r="M320" t="s">
        <v>682</v>
      </c>
      <c r="N320" t="s">
        <v>703</v>
      </c>
      <c r="O320" t="s">
        <v>708</v>
      </c>
      <c r="P320" t="s">
        <v>724</v>
      </c>
      <c r="Q320" t="s">
        <v>727</v>
      </c>
      <c r="R320" t="s">
        <v>839</v>
      </c>
      <c r="S320" s="6">
        <v>1157.51</v>
      </c>
      <c r="T320" s="6">
        <v>1394.3</v>
      </c>
      <c r="U320" s="6">
        <f t="shared" si="46"/>
        <v>1394.3</v>
      </c>
      <c r="V320" s="8">
        <v>0.27800000000000002</v>
      </c>
      <c r="W320" s="6">
        <v>12</v>
      </c>
      <c r="X320" s="6">
        <f t="shared" si="47"/>
        <v>12080.215199999999</v>
      </c>
      <c r="Y320">
        <f t="shared" si="48"/>
        <v>13890.119999999999</v>
      </c>
      <c r="Z320" s="6">
        <f t="shared" si="49"/>
        <v>-1809.9048000000003</v>
      </c>
      <c r="AA320">
        <f t="shared" si="50"/>
        <v>-0.14982388724333326</v>
      </c>
      <c r="AB320" t="str">
        <f t="shared" si="51"/>
        <v>5-2024</v>
      </c>
      <c r="AC320" t="str">
        <f t="shared" si="52"/>
        <v>Q2-2024</v>
      </c>
      <c r="AD320" t="str">
        <f t="shared" si="53"/>
        <v>Africa →South Africa →Johannesburg</v>
      </c>
      <c r="AE320" t="str">
        <f t="shared" si="55"/>
        <v>Medium</v>
      </c>
      <c r="AF320" t="str">
        <f>TEXT(Table1[[#This Row],[OrderDate]],"MMM")</f>
        <v>May</v>
      </c>
      <c r="AG320" t="str">
        <f>TEXT(Table1[[#This Row],[OrderDate]],"YYYY")</f>
        <v>2024</v>
      </c>
      <c r="AI320" s="4">
        <f>IF(Table1[[#This Row],[RequiredDate]]&lt;Table1[[#This Row],[OrderDate]], Table1[[#This Row],[OrderDate]]+7, Table1[[#This Row],[RequiredDate]])</f>
        <v>45439</v>
      </c>
      <c r="AJ320">
        <f>IF(Dashboard!$D$3&gt;'Staging Data'!V320,'Staging Data'!V320,Dashboard!D$3)</f>
        <v>0.2</v>
      </c>
      <c r="AK320" s="19">
        <f>(100%+Dashboard!$D$4)*'Staging Data'!S320</f>
        <v>1215.3855000000001</v>
      </c>
      <c r="AL320">
        <f>(100%+Dashboard!$D$5)*'Staging Data'!W320</f>
        <v>13.799999999999999</v>
      </c>
    </row>
    <row r="321" spans="1:38" x14ac:dyDescent="0.35">
      <c r="A321" s="6" t="s">
        <v>82</v>
      </c>
      <c r="B321" s="4">
        <v>45434</v>
      </c>
      <c r="C321" s="4">
        <v>45449</v>
      </c>
      <c r="D321" s="4">
        <f>IF(Table1[[#This Row],[RequiredDate]]&lt;Table1[[#This Row],[OrderDate]],Table1[[#This Row],[RequiredDate]],Table1[[#This Row],[OrderDate]])</f>
        <v>45434</v>
      </c>
      <c r="E321" s="4">
        <f>IF(Table1[[#This Row],[RequiredDate]]&gt;Table1[[#This Row],[OrderDate]],Table1[[#This Row],[RequiredDate]],Table1[[#This Row],[OrderDate]])</f>
        <v>45449</v>
      </c>
      <c r="F321" s="21">
        <f>Table1[[#This Row],[New RD]]-Table1[[#This Row],[new   od]]</f>
        <v>15</v>
      </c>
      <c r="G321" s="4">
        <f>IF(Table1[[#This Row],[RequiredDate]]&lt;Table1[[#This Row],[OrderDate]], Table1[[#This Row],[OrderDate]]+7, Table1[[#This Row],[RequiredDate]])</f>
        <v>45449</v>
      </c>
      <c r="H321" s="21">
        <f t="shared" si="44"/>
        <v>15</v>
      </c>
      <c r="I321" s="6" t="str">
        <f>IF(Table1[[#This Row],[New LTD]]&lt;=7,"Yes","No")</f>
        <v>No</v>
      </c>
      <c r="J321" s="6" t="str">
        <f t="shared" si="45"/>
        <v>No</v>
      </c>
      <c r="K321" t="s">
        <v>647</v>
      </c>
      <c r="L321" t="s">
        <v>652</v>
      </c>
      <c r="M321" t="s">
        <v>694</v>
      </c>
      <c r="N321" t="s">
        <v>701</v>
      </c>
      <c r="O321" t="s">
        <v>710</v>
      </c>
      <c r="P321" t="s">
        <v>712</v>
      </c>
      <c r="Q321" t="s">
        <v>732</v>
      </c>
      <c r="R321" t="s">
        <v>801</v>
      </c>
      <c r="S321" s="6">
        <v>673.88</v>
      </c>
      <c r="T321" s="6">
        <v>1228.01</v>
      </c>
      <c r="U321" s="6">
        <f t="shared" si="46"/>
        <v>1228.01</v>
      </c>
      <c r="V321" s="8">
        <v>0.105</v>
      </c>
      <c r="W321" s="6">
        <v>13</v>
      </c>
      <c r="X321" s="6">
        <f t="shared" si="47"/>
        <v>14287.896349999999</v>
      </c>
      <c r="Y321">
        <f t="shared" si="48"/>
        <v>8760.44</v>
      </c>
      <c r="Z321" s="6">
        <f t="shared" si="49"/>
        <v>5527.4563499999986</v>
      </c>
      <c r="AA321">
        <f t="shared" si="50"/>
        <v>0.38686285332689996</v>
      </c>
      <c r="AB321" t="str">
        <f t="shared" si="51"/>
        <v>5-2024</v>
      </c>
      <c r="AC321" t="str">
        <f t="shared" si="52"/>
        <v>Q2-2024</v>
      </c>
      <c r="AD321" t="str">
        <f t="shared" si="53"/>
        <v>Asia →Japan →Nagoya</v>
      </c>
      <c r="AE321" t="str">
        <f t="shared" si="55"/>
        <v>Medium</v>
      </c>
      <c r="AF321" t="str">
        <f>TEXT(Table1[[#This Row],[OrderDate]],"MMM")</f>
        <v>May</v>
      </c>
      <c r="AG321" t="str">
        <f>TEXT(Table1[[#This Row],[OrderDate]],"YYYY")</f>
        <v>2024</v>
      </c>
      <c r="AI321" s="4">
        <f>IF(Table1[[#This Row],[RequiredDate]]&lt;Table1[[#This Row],[OrderDate]], Table1[[#This Row],[OrderDate]]+7, Table1[[#This Row],[RequiredDate]])</f>
        <v>45449</v>
      </c>
      <c r="AJ321">
        <f>IF(Dashboard!$D$3&gt;'Staging Data'!V321,'Staging Data'!V321,Dashboard!D$3)</f>
        <v>0.105</v>
      </c>
      <c r="AK321" s="19">
        <f>(100%+Dashboard!$D$4)*'Staging Data'!S321</f>
        <v>707.57400000000007</v>
      </c>
      <c r="AL321">
        <f>(100%+Dashboard!$D$5)*'Staging Data'!W321</f>
        <v>14.95</v>
      </c>
    </row>
    <row r="322" spans="1:38" x14ac:dyDescent="0.35">
      <c r="A322" s="6" t="s">
        <v>182</v>
      </c>
      <c r="B322" s="4">
        <v>45435</v>
      </c>
      <c r="C322" s="4">
        <v>45457</v>
      </c>
      <c r="D322" s="4">
        <f>IF(Table1[[#This Row],[RequiredDate]]&lt;Table1[[#This Row],[OrderDate]],Table1[[#This Row],[RequiredDate]],Table1[[#This Row],[OrderDate]])</f>
        <v>45435</v>
      </c>
      <c r="E322" s="4">
        <f>IF(Table1[[#This Row],[RequiredDate]]&gt;Table1[[#This Row],[OrderDate]],Table1[[#This Row],[RequiredDate]],Table1[[#This Row],[OrderDate]])</f>
        <v>45457</v>
      </c>
      <c r="F322" s="21">
        <f>Table1[[#This Row],[New RD]]-Table1[[#This Row],[new   od]]</f>
        <v>22</v>
      </c>
      <c r="G322" s="4">
        <f>IF(Table1[[#This Row],[RequiredDate]]&lt;Table1[[#This Row],[OrderDate]], Table1[[#This Row],[OrderDate]]+7, Table1[[#This Row],[RequiredDate]])</f>
        <v>45457</v>
      </c>
      <c r="H322" s="21">
        <f t="shared" ref="H322:H385" si="56">G322-B322</f>
        <v>22</v>
      </c>
      <c r="I322" s="6" t="str">
        <f>IF(Table1[[#This Row],[New LTD]]&lt;=7,"Yes","No")</f>
        <v>No</v>
      </c>
      <c r="J322" s="6" t="str">
        <f t="shared" ref="J322:J385" si="57">IF(V322&gt;20%,"Yes","No")</f>
        <v>Yes</v>
      </c>
      <c r="K322" t="s">
        <v>649</v>
      </c>
      <c r="L322" t="s">
        <v>657</v>
      </c>
      <c r="M322" t="s">
        <v>673</v>
      </c>
      <c r="N322" t="s">
        <v>705</v>
      </c>
      <c r="O322" t="s">
        <v>708</v>
      </c>
      <c r="P322" t="s">
        <v>725</v>
      </c>
      <c r="Q322" t="s">
        <v>732</v>
      </c>
      <c r="R322" t="s">
        <v>901</v>
      </c>
      <c r="S322" s="6">
        <v>1481.74</v>
      </c>
      <c r="T322" s="6">
        <v>1848.97</v>
      </c>
      <c r="U322" s="6">
        <f t="shared" ref="U322:U385" si="58">ABS(T322)</f>
        <v>1848.97</v>
      </c>
      <c r="V322" s="8">
        <v>0.254</v>
      </c>
      <c r="W322" s="6">
        <v>9</v>
      </c>
      <c r="X322" s="6">
        <f t="shared" ref="X322:X385" si="59">U322*W322*(1-V322)</f>
        <v>12413.98458</v>
      </c>
      <c r="Y322">
        <f t="shared" ref="Y322:Y385" si="60">S322*W322</f>
        <v>13335.66</v>
      </c>
      <c r="Z322" s="6">
        <f t="shared" ref="Z322:Z385" si="61">X322-Y322</f>
        <v>-921.67541999999958</v>
      </c>
      <c r="AA322">
        <f t="shared" ref="AA322:AA385" si="62">IF(X322=0, 0, Z322/ X322)</f>
        <v>-7.4244930309072407E-2</v>
      </c>
      <c r="AB322" t="str">
        <f t="shared" ref="AB322:AB385" si="63">_xlfn.CONCAT(MONTH(B322),"-",YEAR(B322))</f>
        <v>5-2024</v>
      </c>
      <c r="AC322" t="str">
        <f t="shared" ref="AC322:AC385" si="64">"Q"&amp;ROUNDUP(MONTH(B322)/3,0)&amp;"-"&amp;YEAR(B322)</f>
        <v>Q2-2024</v>
      </c>
      <c r="AD322" t="str">
        <f t="shared" ref="AD322:AD385" si="65">_xlfn.CONCAT(K322," →",L322," →",M322)</f>
        <v>Europe →France →Marseille</v>
      </c>
      <c r="AE322" t="str">
        <f t="shared" si="55"/>
        <v>High</v>
      </c>
      <c r="AF322" t="str">
        <f>TEXT(Table1[[#This Row],[OrderDate]],"MMM")</f>
        <v>May</v>
      </c>
      <c r="AG322" t="str">
        <f>TEXT(Table1[[#This Row],[OrderDate]],"YYYY")</f>
        <v>2024</v>
      </c>
      <c r="AI322" s="4">
        <f>IF(Table1[[#This Row],[RequiredDate]]&lt;Table1[[#This Row],[OrderDate]], Table1[[#This Row],[OrderDate]]+7, Table1[[#This Row],[RequiredDate]])</f>
        <v>45457</v>
      </c>
      <c r="AJ322">
        <f>IF(Dashboard!$D$3&gt;'Staging Data'!V322,'Staging Data'!V322,Dashboard!D$3)</f>
        <v>0.2</v>
      </c>
      <c r="AK322" s="19">
        <f>(100%+Dashboard!$D$4)*'Staging Data'!S322</f>
        <v>1555.827</v>
      </c>
      <c r="AL322">
        <f>(100%+Dashboard!$D$5)*'Staging Data'!W322</f>
        <v>10.35</v>
      </c>
    </row>
    <row r="323" spans="1:38" x14ac:dyDescent="0.35">
      <c r="A323" s="6" t="s">
        <v>189</v>
      </c>
      <c r="B323" s="4">
        <v>45435</v>
      </c>
      <c r="C323" s="4">
        <v>45446</v>
      </c>
      <c r="D323" s="4">
        <f>IF(Table1[[#This Row],[RequiredDate]]&lt;Table1[[#This Row],[OrderDate]],Table1[[#This Row],[RequiredDate]],Table1[[#This Row],[OrderDate]])</f>
        <v>45435</v>
      </c>
      <c r="E323" s="4">
        <f>IF(Table1[[#This Row],[RequiredDate]]&gt;Table1[[#This Row],[OrderDate]],Table1[[#This Row],[RequiredDate]],Table1[[#This Row],[OrderDate]])</f>
        <v>45446</v>
      </c>
      <c r="F323" s="21">
        <f>Table1[[#This Row],[New RD]]-Table1[[#This Row],[new   od]]</f>
        <v>11</v>
      </c>
      <c r="G323" s="4">
        <f>IF(Table1[[#This Row],[RequiredDate]]&lt;Table1[[#This Row],[OrderDate]], Table1[[#This Row],[OrderDate]]+7, Table1[[#This Row],[RequiredDate]])</f>
        <v>45446</v>
      </c>
      <c r="H323" s="21">
        <f t="shared" si="56"/>
        <v>11</v>
      </c>
      <c r="I323" s="6" t="str">
        <f>IF(Table1[[#This Row],[New LTD]]&lt;=7,"Yes","No")</f>
        <v>No</v>
      </c>
      <c r="J323" s="6" t="str">
        <f t="shared" si="57"/>
        <v>No</v>
      </c>
      <c r="K323" t="s">
        <v>646</v>
      </c>
      <c r="L323" t="s">
        <v>661</v>
      </c>
      <c r="M323" t="s">
        <v>682</v>
      </c>
      <c r="N323" t="s">
        <v>705</v>
      </c>
      <c r="O323" t="s">
        <v>710</v>
      </c>
      <c r="P323" t="s">
        <v>721</v>
      </c>
      <c r="Q323" t="s">
        <v>728</v>
      </c>
      <c r="R323" t="s">
        <v>908</v>
      </c>
      <c r="S323" s="6">
        <v>180.89</v>
      </c>
      <c r="T323" s="6">
        <v>249.57</v>
      </c>
      <c r="U323" s="6">
        <f t="shared" si="58"/>
        <v>249.57</v>
      </c>
      <c r="V323" s="8">
        <v>2.1999999999999999E-2</v>
      </c>
      <c r="W323" s="6">
        <v>8</v>
      </c>
      <c r="X323" s="6">
        <f t="shared" si="59"/>
        <v>1952.6356799999999</v>
      </c>
      <c r="Y323">
        <f t="shared" si="60"/>
        <v>1447.12</v>
      </c>
      <c r="Z323" s="6">
        <f t="shared" si="61"/>
        <v>505.51567999999997</v>
      </c>
      <c r="AA323">
        <f t="shared" si="62"/>
        <v>0.25888888806948362</v>
      </c>
      <c r="AB323" t="str">
        <f t="shared" si="63"/>
        <v>5-2024</v>
      </c>
      <c r="AC323" t="str">
        <f t="shared" si="64"/>
        <v>Q2-2024</v>
      </c>
      <c r="AD323" t="str">
        <f t="shared" si="65"/>
        <v>Africa →South Africa →Johannesburg</v>
      </c>
      <c r="AE323" t="str">
        <f t="shared" si="55"/>
        <v>Low</v>
      </c>
      <c r="AF323" t="str">
        <f>TEXT(Table1[[#This Row],[OrderDate]],"MMM")</f>
        <v>May</v>
      </c>
      <c r="AG323" t="str">
        <f>TEXT(Table1[[#This Row],[OrderDate]],"YYYY")</f>
        <v>2024</v>
      </c>
      <c r="AI323" s="4">
        <f>IF(Table1[[#This Row],[RequiredDate]]&lt;Table1[[#This Row],[OrderDate]], Table1[[#This Row],[OrderDate]]+7, Table1[[#This Row],[RequiredDate]])</f>
        <v>45446</v>
      </c>
      <c r="AJ323">
        <f>IF(Dashboard!$D$3&gt;'Staging Data'!V323,'Staging Data'!V323,Dashboard!D$3)</f>
        <v>2.1999999999999999E-2</v>
      </c>
      <c r="AK323" s="19">
        <f>(100%+Dashboard!$D$4)*'Staging Data'!S323</f>
        <v>189.93449999999999</v>
      </c>
      <c r="AL323">
        <f>(100%+Dashboard!$D$5)*'Staging Data'!W323</f>
        <v>9.1999999999999993</v>
      </c>
    </row>
    <row r="324" spans="1:38" x14ac:dyDescent="0.35">
      <c r="A324" s="6" t="s">
        <v>325</v>
      </c>
      <c r="B324" s="4">
        <v>45435</v>
      </c>
      <c r="C324" s="4">
        <v>45449</v>
      </c>
      <c r="D324" s="4">
        <f>IF(Table1[[#This Row],[RequiredDate]]&lt;Table1[[#This Row],[OrderDate]],Table1[[#This Row],[RequiredDate]],Table1[[#This Row],[OrderDate]])</f>
        <v>45435</v>
      </c>
      <c r="E324" s="4">
        <f>IF(Table1[[#This Row],[RequiredDate]]&gt;Table1[[#This Row],[OrderDate]],Table1[[#This Row],[RequiredDate]],Table1[[#This Row],[OrderDate]])</f>
        <v>45449</v>
      </c>
      <c r="F324" s="21">
        <f>Table1[[#This Row],[New RD]]-Table1[[#This Row],[new   od]]</f>
        <v>14</v>
      </c>
      <c r="G324" s="4">
        <f>IF(Table1[[#This Row],[RequiredDate]]&lt;Table1[[#This Row],[OrderDate]], Table1[[#This Row],[OrderDate]]+7, Table1[[#This Row],[RequiredDate]])</f>
        <v>45449</v>
      </c>
      <c r="H324" s="21">
        <f t="shared" si="56"/>
        <v>14</v>
      </c>
      <c r="I324" s="6" t="str">
        <f>IF(Table1[[#This Row],[New LTD]]&lt;=7,"Yes","No")</f>
        <v>No</v>
      </c>
      <c r="J324" s="6" t="str">
        <f t="shared" si="57"/>
        <v>No</v>
      </c>
      <c r="K324" t="s">
        <v>648</v>
      </c>
      <c r="L324" t="s">
        <v>655</v>
      </c>
      <c r="M324" t="s">
        <v>692</v>
      </c>
      <c r="N324" t="s">
        <v>703</v>
      </c>
      <c r="O324" t="s">
        <v>708</v>
      </c>
      <c r="P324" t="s">
        <v>714</v>
      </c>
      <c r="Q324" t="s">
        <v>729</v>
      </c>
      <c r="R324" t="s">
        <v>1045</v>
      </c>
      <c r="S324" s="6">
        <v>51.13</v>
      </c>
      <c r="T324" s="6">
        <v>57.53</v>
      </c>
      <c r="U324" s="6">
        <f t="shared" si="58"/>
        <v>57.53</v>
      </c>
      <c r="V324" s="8">
        <v>4.4999999999999998E-2</v>
      </c>
      <c r="W324" s="6">
        <v>16</v>
      </c>
      <c r="X324" s="6">
        <f t="shared" si="59"/>
        <v>879.05840000000001</v>
      </c>
      <c r="Y324">
        <f t="shared" si="60"/>
        <v>818.08</v>
      </c>
      <c r="Z324" s="6">
        <f t="shared" si="61"/>
        <v>60.978399999999965</v>
      </c>
      <c r="AA324">
        <f t="shared" si="62"/>
        <v>6.9367859973808302E-2</v>
      </c>
      <c r="AB324" t="str">
        <f t="shared" si="63"/>
        <v>5-2024</v>
      </c>
      <c r="AC324" t="str">
        <f t="shared" si="64"/>
        <v>Q2-2024</v>
      </c>
      <c r="AD324" t="str">
        <f t="shared" si="65"/>
        <v>Americas →Brazil →Rio de Janeiro</v>
      </c>
      <c r="AE324" t="str">
        <f t="shared" si="55"/>
        <v>Low</v>
      </c>
      <c r="AF324" t="str">
        <f>TEXT(Table1[[#This Row],[OrderDate]],"MMM")</f>
        <v>May</v>
      </c>
      <c r="AG324" t="str">
        <f>TEXT(Table1[[#This Row],[OrderDate]],"YYYY")</f>
        <v>2024</v>
      </c>
      <c r="AI324" s="4">
        <f>IF(Table1[[#This Row],[RequiredDate]]&lt;Table1[[#This Row],[OrderDate]], Table1[[#This Row],[OrderDate]]+7, Table1[[#This Row],[RequiredDate]])</f>
        <v>45449</v>
      </c>
      <c r="AJ324">
        <f>IF(Dashboard!$D$3&gt;'Staging Data'!V324,'Staging Data'!V324,Dashboard!D$3)</f>
        <v>4.4999999999999998E-2</v>
      </c>
      <c r="AK324" s="19">
        <f>(100%+Dashboard!$D$4)*'Staging Data'!S324</f>
        <v>53.686500000000002</v>
      </c>
      <c r="AL324">
        <f>(100%+Dashboard!$D$5)*'Staging Data'!W324</f>
        <v>18.399999999999999</v>
      </c>
    </row>
    <row r="325" spans="1:38" x14ac:dyDescent="0.35">
      <c r="A325" s="6" t="s">
        <v>508</v>
      </c>
      <c r="B325" s="4">
        <v>45439</v>
      </c>
      <c r="C325" s="4">
        <v>45460</v>
      </c>
      <c r="D325" s="4">
        <f>IF(Table1[[#This Row],[RequiredDate]]&lt;Table1[[#This Row],[OrderDate]],Table1[[#This Row],[RequiredDate]],Table1[[#This Row],[OrderDate]])</f>
        <v>45439</v>
      </c>
      <c r="E325" s="4">
        <f>IF(Table1[[#This Row],[RequiredDate]]&gt;Table1[[#This Row],[OrderDate]],Table1[[#This Row],[RequiredDate]],Table1[[#This Row],[OrderDate]])</f>
        <v>45460</v>
      </c>
      <c r="F325" s="21">
        <f>Table1[[#This Row],[New RD]]-Table1[[#This Row],[new   od]]</f>
        <v>21</v>
      </c>
      <c r="G325" s="4">
        <f>IF(Table1[[#This Row],[RequiredDate]]&lt;Table1[[#This Row],[OrderDate]], Table1[[#This Row],[OrderDate]]+7, Table1[[#This Row],[RequiredDate]])</f>
        <v>45460</v>
      </c>
      <c r="H325" s="21">
        <f t="shared" si="56"/>
        <v>21</v>
      </c>
      <c r="I325" s="6" t="str">
        <f>IF(Table1[[#This Row],[New LTD]]&lt;=7,"Yes","No")</f>
        <v>No</v>
      </c>
      <c r="J325" s="6" t="str">
        <f t="shared" si="57"/>
        <v>No</v>
      </c>
      <c r="K325" t="s">
        <v>647</v>
      </c>
      <c r="L325" t="s">
        <v>654</v>
      </c>
      <c r="M325" t="s">
        <v>680</v>
      </c>
      <c r="N325" t="s">
        <v>705</v>
      </c>
      <c r="O325" t="s">
        <v>708</v>
      </c>
      <c r="P325" t="s">
        <v>722</v>
      </c>
      <c r="Q325" t="s">
        <v>733</v>
      </c>
      <c r="R325" t="s">
        <v>1227</v>
      </c>
      <c r="S325" s="6">
        <v>465.02</v>
      </c>
      <c r="T325" s="6">
        <v>651.55999999999995</v>
      </c>
      <c r="U325" s="6">
        <f t="shared" si="58"/>
        <v>651.55999999999995</v>
      </c>
      <c r="V325" s="8">
        <v>4.2000000000000003E-2</v>
      </c>
      <c r="W325" s="6">
        <v>19</v>
      </c>
      <c r="X325" s="6">
        <f t="shared" si="59"/>
        <v>11859.695119999998</v>
      </c>
      <c r="Y325">
        <f t="shared" si="60"/>
        <v>8835.3799999999992</v>
      </c>
      <c r="Z325" s="6">
        <f t="shared" si="61"/>
        <v>3024.3151199999993</v>
      </c>
      <c r="AA325">
        <f t="shared" si="62"/>
        <v>0.25500783025187918</v>
      </c>
      <c r="AB325" t="str">
        <f t="shared" si="63"/>
        <v>5-2024</v>
      </c>
      <c r="AC325" t="str">
        <f t="shared" si="64"/>
        <v>Q2-2024</v>
      </c>
      <c r="AD325" t="str">
        <f t="shared" si="65"/>
        <v>Asia →India →Delhi</v>
      </c>
      <c r="AE325" t="str">
        <f t="shared" si="55"/>
        <v>Low</v>
      </c>
      <c r="AF325" t="str">
        <f>TEXT(Table1[[#This Row],[OrderDate]],"MMM")</f>
        <v>May</v>
      </c>
      <c r="AG325" t="str">
        <f>TEXT(Table1[[#This Row],[OrderDate]],"YYYY")</f>
        <v>2024</v>
      </c>
      <c r="AI325" s="4">
        <f>IF(Table1[[#This Row],[RequiredDate]]&lt;Table1[[#This Row],[OrderDate]], Table1[[#This Row],[OrderDate]]+7, Table1[[#This Row],[RequiredDate]])</f>
        <v>45460</v>
      </c>
      <c r="AJ325">
        <f>IF(Dashboard!$D$3&gt;'Staging Data'!V325,'Staging Data'!V325,Dashboard!D$3)</f>
        <v>4.2000000000000003E-2</v>
      </c>
      <c r="AK325" s="19">
        <f>(100%+Dashboard!$D$4)*'Staging Data'!S325</f>
        <v>488.27100000000002</v>
      </c>
      <c r="AL325">
        <f>(100%+Dashboard!$D$5)*'Staging Data'!W325</f>
        <v>21.849999999999998</v>
      </c>
    </row>
    <row r="326" spans="1:38" x14ac:dyDescent="0.35">
      <c r="A326" s="6" t="s">
        <v>112</v>
      </c>
      <c r="B326" s="4">
        <v>45440</v>
      </c>
      <c r="C326" s="4">
        <v>45438</v>
      </c>
      <c r="D326" s="4">
        <f>IF(Table1[[#This Row],[RequiredDate]]&lt;Table1[[#This Row],[OrderDate]],Table1[[#This Row],[RequiredDate]],Table1[[#This Row],[OrderDate]])</f>
        <v>45438</v>
      </c>
      <c r="E326" s="4">
        <f>IF(Table1[[#This Row],[RequiredDate]]&gt;Table1[[#This Row],[OrderDate]],Table1[[#This Row],[RequiredDate]],Table1[[#This Row],[OrderDate]])</f>
        <v>45440</v>
      </c>
      <c r="F326" s="21">
        <f>Table1[[#This Row],[New RD]]-Table1[[#This Row],[new   od]]</f>
        <v>2</v>
      </c>
      <c r="G326" s="4">
        <f>IF(Table1[[#This Row],[RequiredDate]]&lt;Table1[[#This Row],[OrderDate]], Table1[[#This Row],[OrderDate]]+7, Table1[[#This Row],[RequiredDate]])</f>
        <v>45447</v>
      </c>
      <c r="H326" s="21">
        <f t="shared" si="56"/>
        <v>7</v>
      </c>
      <c r="I326" s="6" t="str">
        <f>IF(Table1[[#This Row],[New LTD]]&lt;=7,"Yes","No")</f>
        <v>Yes</v>
      </c>
      <c r="J326" s="6" t="str">
        <f t="shared" si="57"/>
        <v>No</v>
      </c>
      <c r="K326" t="s">
        <v>646</v>
      </c>
      <c r="L326" t="s">
        <v>651</v>
      </c>
      <c r="M326" t="s">
        <v>669</v>
      </c>
      <c r="N326" t="s">
        <v>706</v>
      </c>
      <c r="O326" t="s">
        <v>708</v>
      </c>
      <c r="P326" t="s">
        <v>721</v>
      </c>
      <c r="Q326" t="s">
        <v>733</v>
      </c>
      <c r="R326" t="s">
        <v>831</v>
      </c>
      <c r="S326" s="6">
        <v>1227.08</v>
      </c>
      <c r="T326" s="6">
        <v>1896.62</v>
      </c>
      <c r="U326" s="6">
        <f t="shared" si="58"/>
        <v>1896.62</v>
      </c>
      <c r="V326" s="8">
        <v>0</v>
      </c>
      <c r="W326" s="6">
        <v>18</v>
      </c>
      <c r="X326" s="6">
        <f t="shared" si="59"/>
        <v>34139.159999999996</v>
      </c>
      <c r="Y326">
        <f t="shared" si="60"/>
        <v>22087.439999999999</v>
      </c>
      <c r="Z326" s="6">
        <f t="shared" si="61"/>
        <v>12051.719999999998</v>
      </c>
      <c r="AA326">
        <f t="shared" si="62"/>
        <v>0.353017473189147</v>
      </c>
      <c r="AB326" t="str">
        <f t="shared" si="63"/>
        <v>5-2024</v>
      </c>
      <c r="AC326" t="str">
        <f t="shared" si="64"/>
        <v>Q2-2024</v>
      </c>
      <c r="AD326" t="str">
        <f t="shared" si="65"/>
        <v>Africa →Nigeria →Abuja</v>
      </c>
      <c r="AE326" t="str">
        <f t="shared" si="55"/>
        <v>High</v>
      </c>
      <c r="AF326" t="str">
        <f>TEXT(Table1[[#This Row],[OrderDate]],"MMM")</f>
        <v>May</v>
      </c>
      <c r="AG326" t="str">
        <f>TEXT(Table1[[#This Row],[OrderDate]],"YYYY")</f>
        <v>2024</v>
      </c>
      <c r="AI326" s="4">
        <f>IF(Table1[[#This Row],[RequiredDate]]&lt;Table1[[#This Row],[OrderDate]], Table1[[#This Row],[OrderDate]]+7, Table1[[#This Row],[RequiredDate]])</f>
        <v>45447</v>
      </c>
      <c r="AJ326">
        <f>IF(Dashboard!$D$3&gt;'Staging Data'!V326,'Staging Data'!V326,Dashboard!D$3)</f>
        <v>0</v>
      </c>
      <c r="AK326" s="19">
        <f>(100%+Dashboard!$D$4)*'Staging Data'!S326</f>
        <v>1288.434</v>
      </c>
      <c r="AL326">
        <f>(100%+Dashboard!$D$5)*'Staging Data'!W326</f>
        <v>20.7</v>
      </c>
    </row>
    <row r="327" spans="1:38" x14ac:dyDescent="0.35">
      <c r="A327" s="6" t="s">
        <v>334</v>
      </c>
      <c r="B327" s="4">
        <v>45440</v>
      </c>
      <c r="C327" s="4">
        <v>45461</v>
      </c>
      <c r="D327" s="4">
        <f>IF(Table1[[#This Row],[RequiredDate]]&lt;Table1[[#This Row],[OrderDate]],Table1[[#This Row],[RequiredDate]],Table1[[#This Row],[OrderDate]])</f>
        <v>45440</v>
      </c>
      <c r="E327" s="4">
        <f>IF(Table1[[#This Row],[RequiredDate]]&gt;Table1[[#This Row],[OrderDate]],Table1[[#This Row],[RequiredDate]],Table1[[#This Row],[OrderDate]])</f>
        <v>45461</v>
      </c>
      <c r="F327" s="21">
        <f>Table1[[#This Row],[New RD]]-Table1[[#This Row],[new   od]]</f>
        <v>21</v>
      </c>
      <c r="G327" s="4">
        <f>IF(Table1[[#This Row],[RequiredDate]]&lt;Table1[[#This Row],[OrderDate]], Table1[[#This Row],[OrderDate]]+7, Table1[[#This Row],[RequiredDate]])</f>
        <v>45461</v>
      </c>
      <c r="H327" s="21">
        <f t="shared" si="56"/>
        <v>21</v>
      </c>
      <c r="I327" s="6" t="str">
        <f>IF(Table1[[#This Row],[New LTD]]&lt;=7,"Yes","No")</f>
        <v>No</v>
      </c>
      <c r="J327" s="6" t="str">
        <f t="shared" si="57"/>
        <v>No</v>
      </c>
      <c r="K327" t="s">
        <v>649</v>
      </c>
      <c r="L327" t="s">
        <v>656</v>
      </c>
      <c r="M327" t="s">
        <v>698</v>
      </c>
      <c r="N327" t="s">
        <v>705</v>
      </c>
      <c r="O327" t="s">
        <v>708</v>
      </c>
      <c r="P327" t="s">
        <v>718</v>
      </c>
      <c r="Q327" t="s">
        <v>730</v>
      </c>
      <c r="R327" t="s">
        <v>1054</v>
      </c>
      <c r="S327" s="6">
        <v>986.85</v>
      </c>
      <c r="T327" s="6">
        <v>2422.1</v>
      </c>
      <c r="U327" s="6">
        <f t="shared" si="58"/>
        <v>2422.1</v>
      </c>
      <c r="V327" s="8">
        <v>7.5999999999999998E-2</v>
      </c>
      <c r="W327" s="6">
        <v>10</v>
      </c>
      <c r="X327" s="6">
        <f t="shared" si="59"/>
        <v>22380.204000000002</v>
      </c>
      <c r="Y327">
        <f t="shared" si="60"/>
        <v>9868.5</v>
      </c>
      <c r="Z327" s="6">
        <f t="shared" si="61"/>
        <v>12511.704000000002</v>
      </c>
      <c r="AA327">
        <f t="shared" si="62"/>
        <v>0.55905227673527913</v>
      </c>
      <c r="AB327" t="str">
        <f t="shared" si="63"/>
        <v>5-2024</v>
      </c>
      <c r="AC327" t="str">
        <f t="shared" si="64"/>
        <v>Q2-2024</v>
      </c>
      <c r="AD327" t="str">
        <f t="shared" si="65"/>
        <v>Europe →Germany →Frankfurt</v>
      </c>
      <c r="AE327" t="str">
        <f t="shared" si="55"/>
        <v>High</v>
      </c>
      <c r="AF327" t="str">
        <f>TEXT(Table1[[#This Row],[OrderDate]],"MMM")</f>
        <v>May</v>
      </c>
      <c r="AG327" t="str">
        <f>TEXT(Table1[[#This Row],[OrderDate]],"YYYY")</f>
        <v>2024</v>
      </c>
      <c r="AI327" s="4">
        <f>IF(Table1[[#This Row],[RequiredDate]]&lt;Table1[[#This Row],[OrderDate]], Table1[[#This Row],[OrderDate]]+7, Table1[[#This Row],[RequiredDate]])</f>
        <v>45461</v>
      </c>
      <c r="AJ327">
        <f>IF(Dashboard!$D$3&gt;'Staging Data'!V327,'Staging Data'!V327,Dashboard!D$3)</f>
        <v>7.5999999999999998E-2</v>
      </c>
      <c r="AK327" s="19">
        <f>(100%+Dashboard!$D$4)*'Staging Data'!S327</f>
        <v>1036.1925000000001</v>
      </c>
      <c r="AL327">
        <f>(100%+Dashboard!$D$5)*'Staging Data'!W327</f>
        <v>11.5</v>
      </c>
    </row>
    <row r="328" spans="1:38" x14ac:dyDescent="0.35">
      <c r="A328" s="6" t="s">
        <v>143</v>
      </c>
      <c r="B328" s="4">
        <v>45442</v>
      </c>
      <c r="C328" s="4">
        <v>45456</v>
      </c>
      <c r="D328" s="4">
        <f>IF(Table1[[#This Row],[RequiredDate]]&lt;Table1[[#This Row],[OrderDate]],Table1[[#This Row],[RequiredDate]],Table1[[#This Row],[OrderDate]])</f>
        <v>45442</v>
      </c>
      <c r="E328" s="4">
        <f>IF(Table1[[#This Row],[RequiredDate]]&gt;Table1[[#This Row],[OrderDate]],Table1[[#This Row],[RequiredDate]],Table1[[#This Row],[OrderDate]])</f>
        <v>45456</v>
      </c>
      <c r="F328" s="21">
        <f>Table1[[#This Row],[New RD]]-Table1[[#This Row],[new   od]]</f>
        <v>14</v>
      </c>
      <c r="G328" s="4">
        <f>IF(Table1[[#This Row],[RequiredDate]]&lt;Table1[[#This Row],[OrderDate]], Table1[[#This Row],[OrderDate]]+7, Table1[[#This Row],[RequiredDate]])</f>
        <v>45456</v>
      </c>
      <c r="H328" s="21">
        <f t="shared" si="56"/>
        <v>14</v>
      </c>
      <c r="I328" s="6" t="str">
        <f>IF(Table1[[#This Row],[New LTD]]&lt;=7,"Yes","No")</f>
        <v>No</v>
      </c>
      <c r="J328" s="6" t="str">
        <f t="shared" si="57"/>
        <v>No</v>
      </c>
      <c r="K328" t="s">
        <v>648</v>
      </c>
      <c r="L328" t="s">
        <v>660</v>
      </c>
      <c r="M328" t="s">
        <v>686</v>
      </c>
      <c r="N328" t="s">
        <v>705</v>
      </c>
      <c r="O328" t="s">
        <v>707</v>
      </c>
      <c r="P328" t="s">
        <v>721</v>
      </c>
      <c r="Q328" t="s">
        <v>730</v>
      </c>
      <c r="R328" t="s">
        <v>862</v>
      </c>
      <c r="S328" s="6">
        <v>157.78</v>
      </c>
      <c r="T328" s="6">
        <v>361.1</v>
      </c>
      <c r="U328" s="6">
        <f t="shared" si="58"/>
        <v>361.1</v>
      </c>
      <c r="V328" s="8">
        <v>0.187</v>
      </c>
      <c r="W328" s="6">
        <v>9</v>
      </c>
      <c r="X328" s="6">
        <f t="shared" si="59"/>
        <v>2642.1686999999997</v>
      </c>
      <c r="Y328">
        <f t="shared" si="60"/>
        <v>1420.02</v>
      </c>
      <c r="Z328" s="6">
        <f t="shared" si="61"/>
        <v>1222.1486999999997</v>
      </c>
      <c r="AA328">
        <f t="shared" si="62"/>
        <v>0.46255513510549112</v>
      </c>
      <c r="AB328" t="str">
        <f t="shared" si="63"/>
        <v>5-2024</v>
      </c>
      <c r="AC328" t="str">
        <f t="shared" si="64"/>
        <v>Q2-2024</v>
      </c>
      <c r="AD328" t="str">
        <f t="shared" si="65"/>
        <v>Americas →USA →San Francisco</v>
      </c>
      <c r="AE328" t="str">
        <f t="shared" si="55"/>
        <v>Low</v>
      </c>
      <c r="AF328" t="str">
        <f>TEXT(Table1[[#This Row],[OrderDate]],"MMM")</f>
        <v>May</v>
      </c>
      <c r="AG328" t="str">
        <f>TEXT(Table1[[#This Row],[OrderDate]],"YYYY")</f>
        <v>2024</v>
      </c>
      <c r="AI328" s="4">
        <f>IF(Table1[[#This Row],[RequiredDate]]&lt;Table1[[#This Row],[OrderDate]], Table1[[#This Row],[OrderDate]]+7, Table1[[#This Row],[RequiredDate]])</f>
        <v>45456</v>
      </c>
      <c r="AJ328">
        <f>IF(Dashboard!$D$3&gt;'Staging Data'!V328,'Staging Data'!V328,Dashboard!D$3)</f>
        <v>0.187</v>
      </c>
      <c r="AK328" s="19">
        <f>(100%+Dashboard!$D$4)*'Staging Data'!S328</f>
        <v>165.66900000000001</v>
      </c>
      <c r="AL328">
        <f>(100%+Dashboard!$D$5)*'Staging Data'!W328</f>
        <v>10.35</v>
      </c>
    </row>
    <row r="329" spans="1:38" x14ac:dyDescent="0.35">
      <c r="A329" s="6" t="s">
        <v>124</v>
      </c>
      <c r="B329" s="4">
        <v>45445</v>
      </c>
      <c r="C329" s="4">
        <v>45451</v>
      </c>
      <c r="D329" s="4">
        <f>IF(Table1[[#This Row],[RequiredDate]]&lt;Table1[[#This Row],[OrderDate]],Table1[[#This Row],[RequiredDate]],Table1[[#This Row],[OrderDate]])</f>
        <v>45445</v>
      </c>
      <c r="E329" s="4">
        <f>IF(Table1[[#This Row],[RequiredDate]]&gt;Table1[[#This Row],[OrderDate]],Table1[[#This Row],[RequiredDate]],Table1[[#This Row],[OrderDate]])</f>
        <v>45451</v>
      </c>
      <c r="F329" s="21">
        <f>Table1[[#This Row],[New RD]]-Table1[[#This Row],[new   od]]</f>
        <v>6</v>
      </c>
      <c r="G329" s="4">
        <f>IF(Table1[[#This Row],[RequiredDate]]&lt;Table1[[#This Row],[OrderDate]], Table1[[#This Row],[OrderDate]]+7, Table1[[#This Row],[RequiredDate]])</f>
        <v>45451</v>
      </c>
      <c r="H329" s="21">
        <f t="shared" si="56"/>
        <v>6</v>
      </c>
      <c r="I329" s="6" t="str">
        <f>IF(Table1[[#This Row],[New LTD]]&lt;=7,"Yes","No")</f>
        <v>Yes</v>
      </c>
      <c r="J329" s="6" t="str">
        <f t="shared" si="57"/>
        <v>Yes</v>
      </c>
      <c r="K329" t="s">
        <v>646</v>
      </c>
      <c r="L329" t="s">
        <v>650</v>
      </c>
      <c r="M329" t="s">
        <v>662</v>
      </c>
      <c r="N329" t="s">
        <v>704</v>
      </c>
      <c r="O329" t="s">
        <v>709</v>
      </c>
      <c r="P329" t="s">
        <v>720</v>
      </c>
      <c r="Q329" t="s">
        <v>733</v>
      </c>
      <c r="R329" t="s">
        <v>843</v>
      </c>
      <c r="S329" s="6">
        <v>292.94</v>
      </c>
      <c r="T329" s="6">
        <v>356.55</v>
      </c>
      <c r="U329" s="6">
        <f t="shared" si="58"/>
        <v>356.55</v>
      </c>
      <c r="V329" s="8">
        <v>0.22900000000000001</v>
      </c>
      <c r="W329" s="6">
        <v>2</v>
      </c>
      <c r="X329" s="6">
        <f t="shared" si="59"/>
        <v>549.80010000000004</v>
      </c>
      <c r="Y329">
        <f t="shared" si="60"/>
        <v>585.88</v>
      </c>
      <c r="Z329" s="6">
        <f t="shared" si="61"/>
        <v>-36.079899999999952</v>
      </c>
      <c r="AA329">
        <f t="shared" si="62"/>
        <v>-6.5623669402751925E-2</v>
      </c>
      <c r="AB329" t="str">
        <f t="shared" si="63"/>
        <v>6-2024</v>
      </c>
      <c r="AC329" t="str">
        <f t="shared" si="64"/>
        <v>Q2-2024</v>
      </c>
      <c r="AD329" t="str">
        <f t="shared" si="65"/>
        <v>Africa →Kenya →Kisumu</v>
      </c>
      <c r="AE329" t="str">
        <f t="shared" si="55"/>
        <v>Low</v>
      </c>
      <c r="AF329" t="str">
        <f>TEXT(Table1[[#This Row],[OrderDate]],"MMM")</f>
        <v>Jun</v>
      </c>
      <c r="AG329" t="str">
        <f>TEXT(Table1[[#This Row],[OrderDate]],"YYYY")</f>
        <v>2024</v>
      </c>
      <c r="AI329" s="4">
        <f>IF(Table1[[#This Row],[RequiredDate]]&lt;Table1[[#This Row],[OrderDate]], Table1[[#This Row],[OrderDate]]+7, Table1[[#This Row],[RequiredDate]])</f>
        <v>45451</v>
      </c>
      <c r="AJ329">
        <f>IF(Dashboard!$D$3&gt;'Staging Data'!V329,'Staging Data'!V329,Dashboard!D$3)</f>
        <v>0.2</v>
      </c>
      <c r="AK329" s="19">
        <f>(100%+Dashboard!$D$4)*'Staging Data'!S329</f>
        <v>307.58699999999999</v>
      </c>
      <c r="AL329">
        <f>(100%+Dashboard!$D$5)*'Staging Data'!W329</f>
        <v>2.2999999999999998</v>
      </c>
    </row>
    <row r="330" spans="1:38" x14ac:dyDescent="0.35">
      <c r="A330" s="6" t="s">
        <v>380</v>
      </c>
      <c r="B330" s="4">
        <v>45445</v>
      </c>
      <c r="C330" s="4">
        <v>45458</v>
      </c>
      <c r="D330" s="4">
        <f>IF(Table1[[#This Row],[RequiredDate]]&lt;Table1[[#This Row],[OrderDate]],Table1[[#This Row],[RequiredDate]],Table1[[#This Row],[OrderDate]])</f>
        <v>45445</v>
      </c>
      <c r="E330" s="4">
        <f>IF(Table1[[#This Row],[RequiredDate]]&gt;Table1[[#This Row],[OrderDate]],Table1[[#This Row],[RequiredDate]],Table1[[#This Row],[OrderDate]])</f>
        <v>45458</v>
      </c>
      <c r="F330" s="21">
        <f>Table1[[#This Row],[New RD]]-Table1[[#This Row],[new   od]]</f>
        <v>13</v>
      </c>
      <c r="G330" s="4">
        <f>IF(Table1[[#This Row],[RequiredDate]]&lt;Table1[[#This Row],[OrderDate]], Table1[[#This Row],[OrderDate]]+7, Table1[[#This Row],[RequiredDate]])</f>
        <v>45458</v>
      </c>
      <c r="H330" s="21">
        <f t="shared" si="56"/>
        <v>13</v>
      </c>
      <c r="I330" s="6" t="str">
        <f>IF(Table1[[#This Row],[New LTD]]&lt;=7,"Yes","No")</f>
        <v>No</v>
      </c>
      <c r="J330" s="6" t="str">
        <f t="shared" si="57"/>
        <v>No</v>
      </c>
      <c r="K330" t="s">
        <v>646</v>
      </c>
      <c r="L330" t="s">
        <v>650</v>
      </c>
      <c r="M330" t="s">
        <v>675</v>
      </c>
      <c r="N330" t="s">
        <v>702</v>
      </c>
      <c r="O330" t="s">
        <v>708</v>
      </c>
      <c r="P330" t="s">
        <v>719</v>
      </c>
      <c r="Q330" t="s">
        <v>730</v>
      </c>
      <c r="R330" t="s">
        <v>1100</v>
      </c>
      <c r="S330" s="6">
        <v>1295.18</v>
      </c>
      <c r="T330" s="6">
        <v>3024.03</v>
      </c>
      <c r="U330" s="6">
        <f t="shared" si="58"/>
        <v>3024.03</v>
      </c>
      <c r="V330" s="8">
        <v>0.192</v>
      </c>
      <c r="W330" s="6">
        <v>8</v>
      </c>
      <c r="X330" s="6">
        <f t="shared" si="59"/>
        <v>19547.329920000004</v>
      </c>
      <c r="Y330">
        <f t="shared" si="60"/>
        <v>10361.44</v>
      </c>
      <c r="Z330" s="6">
        <f t="shared" si="61"/>
        <v>9185.8899200000033</v>
      </c>
      <c r="AA330">
        <f t="shared" si="62"/>
        <v>0.46993067378483178</v>
      </c>
      <c r="AB330" t="str">
        <f t="shared" si="63"/>
        <v>6-2024</v>
      </c>
      <c r="AC330" t="str">
        <f t="shared" si="64"/>
        <v>Q2-2024</v>
      </c>
      <c r="AD330" t="str">
        <f t="shared" si="65"/>
        <v>Africa →Kenya →Mombasa</v>
      </c>
      <c r="AE330" t="str">
        <f t="shared" si="55"/>
        <v>High</v>
      </c>
      <c r="AF330" t="str">
        <f>TEXT(Table1[[#This Row],[OrderDate]],"MMM")</f>
        <v>Jun</v>
      </c>
      <c r="AG330" t="str">
        <f>TEXT(Table1[[#This Row],[OrderDate]],"YYYY")</f>
        <v>2024</v>
      </c>
      <c r="AI330" s="4">
        <f>IF(Table1[[#This Row],[RequiredDate]]&lt;Table1[[#This Row],[OrderDate]], Table1[[#This Row],[OrderDate]]+7, Table1[[#This Row],[RequiredDate]])</f>
        <v>45458</v>
      </c>
      <c r="AJ330">
        <f>IF(Dashboard!$D$3&gt;'Staging Data'!V330,'Staging Data'!V330,Dashboard!D$3)</f>
        <v>0.192</v>
      </c>
      <c r="AK330" s="19">
        <f>(100%+Dashboard!$D$4)*'Staging Data'!S330</f>
        <v>1359.9390000000001</v>
      </c>
      <c r="AL330">
        <f>(100%+Dashboard!$D$5)*'Staging Data'!W330</f>
        <v>9.1999999999999993</v>
      </c>
    </row>
    <row r="331" spans="1:38" x14ac:dyDescent="0.35">
      <c r="A331" s="6" t="s">
        <v>462</v>
      </c>
      <c r="B331" s="4">
        <v>45446</v>
      </c>
      <c r="C331" s="4">
        <v>45467</v>
      </c>
      <c r="D331" s="4">
        <f>IF(Table1[[#This Row],[RequiredDate]]&lt;Table1[[#This Row],[OrderDate]],Table1[[#This Row],[RequiredDate]],Table1[[#This Row],[OrderDate]])</f>
        <v>45446</v>
      </c>
      <c r="E331" s="4">
        <f>IF(Table1[[#This Row],[RequiredDate]]&gt;Table1[[#This Row],[OrderDate]],Table1[[#This Row],[RequiredDate]],Table1[[#This Row],[OrderDate]])</f>
        <v>45467</v>
      </c>
      <c r="F331" s="21">
        <f>Table1[[#This Row],[New RD]]-Table1[[#This Row],[new   od]]</f>
        <v>21</v>
      </c>
      <c r="G331" s="4">
        <f>IF(Table1[[#This Row],[RequiredDate]]&lt;Table1[[#This Row],[OrderDate]], Table1[[#This Row],[OrderDate]]+7, Table1[[#This Row],[RequiredDate]])</f>
        <v>45467</v>
      </c>
      <c r="H331" s="21">
        <f t="shared" si="56"/>
        <v>21</v>
      </c>
      <c r="I331" s="6" t="str">
        <f>IF(Table1[[#This Row],[New LTD]]&lt;=7,"Yes","No")</f>
        <v>No</v>
      </c>
      <c r="J331" s="6" t="str">
        <f t="shared" si="57"/>
        <v>No</v>
      </c>
      <c r="K331" t="s">
        <v>648</v>
      </c>
      <c r="L331" t="s">
        <v>653</v>
      </c>
      <c r="M331" t="s">
        <v>667</v>
      </c>
      <c r="N331" t="s">
        <v>705</v>
      </c>
      <c r="O331" t="s">
        <v>711</v>
      </c>
      <c r="P331" t="s">
        <v>715</v>
      </c>
      <c r="Q331" t="s">
        <v>732</v>
      </c>
      <c r="R331" t="s">
        <v>1181</v>
      </c>
      <c r="S331" s="6">
        <v>1205.5</v>
      </c>
      <c r="T331" s="6">
        <v>2210.17</v>
      </c>
      <c r="U331" s="6">
        <f t="shared" si="58"/>
        <v>2210.17</v>
      </c>
      <c r="V331" s="8">
        <v>0.104</v>
      </c>
      <c r="W331" s="6">
        <v>23</v>
      </c>
      <c r="X331" s="6">
        <f t="shared" si="59"/>
        <v>45547.183360000003</v>
      </c>
      <c r="Y331">
        <f t="shared" si="60"/>
        <v>27726.5</v>
      </c>
      <c r="Z331" s="6">
        <f t="shared" si="61"/>
        <v>17820.683360000003</v>
      </c>
      <c r="AA331">
        <f t="shared" si="62"/>
        <v>0.39125763758314652</v>
      </c>
      <c r="AB331" t="str">
        <f t="shared" si="63"/>
        <v>6-2024</v>
      </c>
      <c r="AC331" t="str">
        <f t="shared" si="64"/>
        <v>Q2-2024</v>
      </c>
      <c r="AD331" t="str">
        <f t="shared" si="65"/>
        <v>Americas →Canada →Toronto</v>
      </c>
      <c r="AE331" t="str">
        <f t="shared" si="55"/>
        <v>High</v>
      </c>
      <c r="AF331" t="str">
        <f>TEXT(Table1[[#This Row],[OrderDate]],"MMM")</f>
        <v>Jun</v>
      </c>
      <c r="AG331" t="str">
        <f>TEXT(Table1[[#This Row],[OrderDate]],"YYYY")</f>
        <v>2024</v>
      </c>
      <c r="AI331" s="4">
        <f>IF(Table1[[#This Row],[RequiredDate]]&lt;Table1[[#This Row],[OrderDate]], Table1[[#This Row],[OrderDate]]+7, Table1[[#This Row],[RequiredDate]])</f>
        <v>45467</v>
      </c>
      <c r="AJ331">
        <f>IF(Dashboard!$D$3&gt;'Staging Data'!V331,'Staging Data'!V331,Dashboard!D$3)</f>
        <v>0.104</v>
      </c>
      <c r="AK331" s="19">
        <f>(100%+Dashboard!$D$4)*'Staging Data'!S331</f>
        <v>1265.7750000000001</v>
      </c>
      <c r="AL331">
        <f>(100%+Dashboard!$D$5)*'Staging Data'!W331</f>
        <v>26.45</v>
      </c>
    </row>
    <row r="332" spans="1:38" x14ac:dyDescent="0.35">
      <c r="A332" s="6" t="s">
        <v>179</v>
      </c>
      <c r="B332" s="4">
        <v>45447</v>
      </c>
      <c r="C332" s="4">
        <v>45459</v>
      </c>
      <c r="D332" s="4">
        <f>IF(Table1[[#This Row],[RequiredDate]]&lt;Table1[[#This Row],[OrderDate]],Table1[[#This Row],[RequiredDate]],Table1[[#This Row],[OrderDate]])</f>
        <v>45447</v>
      </c>
      <c r="E332" s="4">
        <f>IF(Table1[[#This Row],[RequiredDate]]&gt;Table1[[#This Row],[OrderDate]],Table1[[#This Row],[RequiredDate]],Table1[[#This Row],[OrderDate]])</f>
        <v>45459</v>
      </c>
      <c r="F332" s="21">
        <f>Table1[[#This Row],[New RD]]-Table1[[#This Row],[new   od]]</f>
        <v>12</v>
      </c>
      <c r="G332" s="4">
        <f>IF(Table1[[#This Row],[RequiredDate]]&lt;Table1[[#This Row],[OrderDate]], Table1[[#This Row],[OrderDate]]+7, Table1[[#This Row],[RequiredDate]])</f>
        <v>45459</v>
      </c>
      <c r="H332" s="21">
        <f t="shared" si="56"/>
        <v>12</v>
      </c>
      <c r="I332" s="6" t="str">
        <f>IF(Table1[[#This Row],[New LTD]]&lt;=7,"Yes","No")</f>
        <v>No</v>
      </c>
      <c r="J332" s="6" t="str">
        <f t="shared" si="57"/>
        <v>No</v>
      </c>
      <c r="K332" t="s">
        <v>647</v>
      </c>
      <c r="L332" t="s">
        <v>659</v>
      </c>
      <c r="M332" t="s">
        <v>685</v>
      </c>
      <c r="N332" t="s">
        <v>701</v>
      </c>
      <c r="O332" t="s">
        <v>707</v>
      </c>
      <c r="P332" t="s">
        <v>713</v>
      </c>
      <c r="Q332" t="s">
        <v>728</v>
      </c>
      <c r="R332" t="s">
        <v>898</v>
      </c>
      <c r="S332" s="6">
        <v>918.42</v>
      </c>
      <c r="T332" s="6">
        <v>1511.71</v>
      </c>
      <c r="U332" s="6">
        <f t="shared" si="58"/>
        <v>1511.71</v>
      </c>
      <c r="V332" s="8">
        <v>0.02</v>
      </c>
      <c r="W332" s="6">
        <v>8</v>
      </c>
      <c r="X332" s="6">
        <f t="shared" si="59"/>
        <v>11851.806399999999</v>
      </c>
      <c r="Y332">
        <f t="shared" si="60"/>
        <v>7347.36</v>
      </c>
      <c r="Z332" s="6">
        <f t="shared" si="61"/>
        <v>4504.4463999999998</v>
      </c>
      <c r="AA332">
        <f t="shared" si="62"/>
        <v>0.38006412254590999</v>
      </c>
      <c r="AB332" t="str">
        <f t="shared" si="63"/>
        <v>6-2024</v>
      </c>
      <c r="AC332" t="str">
        <f t="shared" si="64"/>
        <v>Q2-2024</v>
      </c>
      <c r="AD332" t="str">
        <f t="shared" si="65"/>
        <v>Asia →China →Shanghai</v>
      </c>
      <c r="AE332" t="str">
        <f t="shared" si="55"/>
        <v>Medium</v>
      </c>
      <c r="AF332" t="str">
        <f>TEXT(Table1[[#This Row],[OrderDate]],"MMM")</f>
        <v>Jun</v>
      </c>
      <c r="AG332" t="str">
        <f>TEXT(Table1[[#This Row],[OrderDate]],"YYYY")</f>
        <v>2024</v>
      </c>
      <c r="AI332" s="4">
        <f>IF(Table1[[#This Row],[RequiredDate]]&lt;Table1[[#This Row],[OrderDate]], Table1[[#This Row],[OrderDate]]+7, Table1[[#This Row],[RequiredDate]])</f>
        <v>45459</v>
      </c>
      <c r="AJ332">
        <f>IF(Dashboard!$D$3&gt;'Staging Data'!V332,'Staging Data'!V332,Dashboard!D$3)</f>
        <v>0.02</v>
      </c>
      <c r="AK332" s="19">
        <f>(100%+Dashboard!$D$4)*'Staging Data'!S332</f>
        <v>964.34100000000001</v>
      </c>
      <c r="AL332">
        <f>(100%+Dashboard!$D$5)*'Staging Data'!W332</f>
        <v>9.1999999999999993</v>
      </c>
    </row>
    <row r="333" spans="1:38" x14ac:dyDescent="0.35">
      <c r="A333" s="6" t="s">
        <v>542</v>
      </c>
      <c r="B333" s="4">
        <v>45448</v>
      </c>
      <c r="C333" s="4">
        <v>45466</v>
      </c>
      <c r="D333" s="4">
        <f>IF(Table1[[#This Row],[RequiredDate]]&lt;Table1[[#This Row],[OrderDate]],Table1[[#This Row],[RequiredDate]],Table1[[#This Row],[OrderDate]])</f>
        <v>45448</v>
      </c>
      <c r="E333" s="4">
        <f>IF(Table1[[#This Row],[RequiredDate]]&gt;Table1[[#This Row],[OrderDate]],Table1[[#This Row],[RequiredDate]],Table1[[#This Row],[OrderDate]])</f>
        <v>45466</v>
      </c>
      <c r="F333" s="21">
        <f>Table1[[#This Row],[New RD]]-Table1[[#This Row],[new   od]]</f>
        <v>18</v>
      </c>
      <c r="G333" s="4">
        <f>IF(Table1[[#This Row],[RequiredDate]]&lt;Table1[[#This Row],[OrderDate]], Table1[[#This Row],[OrderDate]]+7, Table1[[#This Row],[RequiredDate]])</f>
        <v>45466</v>
      </c>
      <c r="H333" s="21">
        <f t="shared" si="56"/>
        <v>18</v>
      </c>
      <c r="I333" s="6" t="str">
        <f>IF(Table1[[#This Row],[New LTD]]&lt;=7,"Yes","No")</f>
        <v>No</v>
      </c>
      <c r="J333" s="6" t="str">
        <f t="shared" si="57"/>
        <v>No</v>
      </c>
      <c r="K333" t="s">
        <v>646</v>
      </c>
      <c r="L333" t="s">
        <v>650</v>
      </c>
      <c r="M333" t="s">
        <v>664</v>
      </c>
      <c r="N333" t="s">
        <v>704</v>
      </c>
      <c r="O333" t="s">
        <v>710</v>
      </c>
      <c r="P333" t="s">
        <v>726</v>
      </c>
      <c r="Q333" t="s">
        <v>731</v>
      </c>
      <c r="R333" t="s">
        <v>1261</v>
      </c>
      <c r="S333" s="6">
        <v>1208.74</v>
      </c>
      <c r="T333" s="6">
        <v>1594.78</v>
      </c>
      <c r="U333" s="6">
        <f t="shared" si="58"/>
        <v>1594.78</v>
      </c>
      <c r="V333" s="8">
        <v>5.8999999999999997E-2</v>
      </c>
      <c r="W333" s="6">
        <v>39</v>
      </c>
      <c r="X333" s="6">
        <f t="shared" si="59"/>
        <v>58526.83122</v>
      </c>
      <c r="Y333">
        <f t="shared" si="60"/>
        <v>47140.86</v>
      </c>
      <c r="Z333" s="6">
        <f t="shared" si="61"/>
        <v>11385.971219999999</v>
      </c>
      <c r="AA333">
        <f t="shared" si="62"/>
        <v>0.1945427589817838</v>
      </c>
      <c r="AB333" t="str">
        <f t="shared" si="63"/>
        <v>6-2024</v>
      </c>
      <c r="AC333" t="str">
        <f t="shared" si="64"/>
        <v>Q2-2024</v>
      </c>
      <c r="AD333" t="str">
        <f t="shared" si="65"/>
        <v>Africa →Kenya →Nairobi</v>
      </c>
      <c r="AE333" t="str">
        <f t="shared" si="55"/>
        <v>Medium</v>
      </c>
      <c r="AF333" t="str">
        <f>TEXT(Table1[[#This Row],[OrderDate]],"MMM")</f>
        <v>Jun</v>
      </c>
      <c r="AG333" t="str">
        <f>TEXT(Table1[[#This Row],[OrderDate]],"YYYY")</f>
        <v>2024</v>
      </c>
      <c r="AI333" s="4">
        <f>IF(Table1[[#This Row],[RequiredDate]]&lt;Table1[[#This Row],[OrderDate]], Table1[[#This Row],[OrderDate]]+7, Table1[[#This Row],[RequiredDate]])</f>
        <v>45466</v>
      </c>
      <c r="AJ333">
        <f>IF(Dashboard!$D$3&gt;'Staging Data'!V333,'Staging Data'!V333,Dashboard!D$3)</f>
        <v>5.8999999999999997E-2</v>
      </c>
      <c r="AK333" s="19">
        <f>(100%+Dashboard!$D$4)*'Staging Data'!S333</f>
        <v>1269.1770000000001</v>
      </c>
      <c r="AL333">
        <f>(100%+Dashboard!$D$5)*'Staging Data'!W333</f>
        <v>44.849999999999994</v>
      </c>
    </row>
    <row r="334" spans="1:38" x14ac:dyDescent="0.35">
      <c r="A334" s="6" t="s">
        <v>428</v>
      </c>
      <c r="B334" s="4">
        <v>45449</v>
      </c>
      <c r="C334" s="4">
        <v>45467</v>
      </c>
      <c r="D334" s="4">
        <f>IF(Table1[[#This Row],[RequiredDate]]&lt;Table1[[#This Row],[OrderDate]],Table1[[#This Row],[RequiredDate]],Table1[[#This Row],[OrderDate]])</f>
        <v>45449</v>
      </c>
      <c r="E334" s="4">
        <f>IF(Table1[[#This Row],[RequiredDate]]&gt;Table1[[#This Row],[OrderDate]],Table1[[#This Row],[RequiredDate]],Table1[[#This Row],[OrderDate]])</f>
        <v>45467</v>
      </c>
      <c r="F334" s="21">
        <f>Table1[[#This Row],[New RD]]-Table1[[#This Row],[new   od]]</f>
        <v>18</v>
      </c>
      <c r="G334" s="4">
        <f>IF(Table1[[#This Row],[RequiredDate]]&lt;Table1[[#This Row],[OrderDate]], Table1[[#This Row],[OrderDate]]+7, Table1[[#This Row],[RequiredDate]])</f>
        <v>45467</v>
      </c>
      <c r="H334" s="21">
        <f t="shared" si="56"/>
        <v>18</v>
      </c>
      <c r="I334" s="6" t="str">
        <f>IF(Table1[[#This Row],[New LTD]]&lt;=7,"Yes","No")</f>
        <v>No</v>
      </c>
      <c r="J334" s="6" t="str">
        <f t="shared" si="57"/>
        <v>No</v>
      </c>
      <c r="K334" t="s">
        <v>647</v>
      </c>
      <c r="L334" t="s">
        <v>654</v>
      </c>
      <c r="M334" t="s">
        <v>668</v>
      </c>
      <c r="N334" t="s">
        <v>705</v>
      </c>
      <c r="O334" t="s">
        <v>711</v>
      </c>
      <c r="P334" t="s">
        <v>722</v>
      </c>
      <c r="Q334" t="s">
        <v>729</v>
      </c>
      <c r="R334" t="s">
        <v>1147</v>
      </c>
      <c r="S334" s="6">
        <v>1253.25</v>
      </c>
      <c r="T334" s="6">
        <v>3087.13</v>
      </c>
      <c r="U334" s="6">
        <f t="shared" si="58"/>
        <v>3087.13</v>
      </c>
      <c r="V334" s="8">
        <v>7.1999999999999995E-2</v>
      </c>
      <c r="W334" s="6">
        <v>11</v>
      </c>
      <c r="X334" s="6">
        <f t="shared" si="59"/>
        <v>31513.423040000001</v>
      </c>
      <c r="Y334">
        <f t="shared" si="60"/>
        <v>13785.75</v>
      </c>
      <c r="Z334" s="6">
        <f t="shared" si="61"/>
        <v>17727.673040000001</v>
      </c>
      <c r="AA334">
        <f t="shared" si="62"/>
        <v>0.562543555408064</v>
      </c>
      <c r="AB334" t="str">
        <f t="shared" si="63"/>
        <v>6-2024</v>
      </c>
      <c r="AC334" t="str">
        <f t="shared" si="64"/>
        <v>Q2-2024</v>
      </c>
      <c r="AD334" t="str">
        <f t="shared" si="65"/>
        <v>Asia →India →Bengaluru</v>
      </c>
      <c r="AE334" t="str">
        <f t="shared" si="55"/>
        <v>High</v>
      </c>
      <c r="AF334" t="str">
        <f>TEXT(Table1[[#This Row],[OrderDate]],"MMM")</f>
        <v>Jun</v>
      </c>
      <c r="AG334" t="str">
        <f>TEXT(Table1[[#This Row],[OrderDate]],"YYYY")</f>
        <v>2024</v>
      </c>
      <c r="AI334" s="4">
        <f>IF(Table1[[#This Row],[RequiredDate]]&lt;Table1[[#This Row],[OrderDate]], Table1[[#This Row],[OrderDate]]+7, Table1[[#This Row],[RequiredDate]])</f>
        <v>45467</v>
      </c>
      <c r="AJ334">
        <f>IF(Dashboard!$D$3&gt;'Staging Data'!V334,'Staging Data'!V334,Dashboard!D$3)</f>
        <v>7.1999999999999995E-2</v>
      </c>
      <c r="AK334" s="19">
        <f>(100%+Dashboard!$D$4)*'Staging Data'!S334</f>
        <v>1315.9125000000001</v>
      </c>
      <c r="AL334">
        <f>(100%+Dashboard!$D$5)*'Staging Data'!W334</f>
        <v>12.649999999999999</v>
      </c>
    </row>
    <row r="335" spans="1:38" x14ac:dyDescent="0.35">
      <c r="A335" s="6" t="s">
        <v>141</v>
      </c>
      <c r="B335" s="4">
        <v>45450</v>
      </c>
      <c r="C335" s="4">
        <v>45469</v>
      </c>
      <c r="D335" s="4">
        <f>IF(Table1[[#This Row],[RequiredDate]]&lt;Table1[[#This Row],[OrderDate]],Table1[[#This Row],[RequiredDate]],Table1[[#This Row],[OrderDate]])</f>
        <v>45450</v>
      </c>
      <c r="E335" s="4">
        <f>IF(Table1[[#This Row],[RequiredDate]]&gt;Table1[[#This Row],[OrderDate]],Table1[[#This Row],[RequiredDate]],Table1[[#This Row],[OrderDate]])</f>
        <v>45469</v>
      </c>
      <c r="F335" s="21">
        <f>Table1[[#This Row],[New RD]]-Table1[[#This Row],[new   od]]</f>
        <v>19</v>
      </c>
      <c r="G335" s="4">
        <f>IF(Table1[[#This Row],[RequiredDate]]&lt;Table1[[#This Row],[OrderDate]], Table1[[#This Row],[OrderDate]]+7, Table1[[#This Row],[RequiredDate]])</f>
        <v>45469</v>
      </c>
      <c r="H335" s="21">
        <f t="shared" si="56"/>
        <v>19</v>
      </c>
      <c r="I335" s="6" t="str">
        <f>IF(Table1[[#This Row],[New LTD]]&lt;=7,"Yes","No")</f>
        <v>No</v>
      </c>
      <c r="J335" s="6" t="str">
        <f t="shared" si="57"/>
        <v>No</v>
      </c>
      <c r="K335" t="s">
        <v>649</v>
      </c>
      <c r="L335" t="s">
        <v>656</v>
      </c>
      <c r="M335" t="s">
        <v>671</v>
      </c>
      <c r="N335" t="s">
        <v>703</v>
      </c>
      <c r="O335" t="s">
        <v>709</v>
      </c>
      <c r="P335" t="s">
        <v>724</v>
      </c>
      <c r="Q335" t="s">
        <v>727</v>
      </c>
      <c r="R335" t="s">
        <v>860</v>
      </c>
      <c r="S335" s="6">
        <v>1064.32</v>
      </c>
      <c r="T335" s="6">
        <v>1848.39</v>
      </c>
      <c r="U335" s="6">
        <f t="shared" si="58"/>
        <v>1848.39</v>
      </c>
      <c r="V335" s="8">
        <v>7.2999999999999995E-2</v>
      </c>
      <c r="W335" s="6">
        <v>38</v>
      </c>
      <c r="X335" s="6">
        <f t="shared" si="59"/>
        <v>65111.38614000001</v>
      </c>
      <c r="Y335">
        <f t="shared" si="60"/>
        <v>40444.159999999996</v>
      </c>
      <c r="Z335" s="6">
        <f t="shared" si="61"/>
        <v>24667.226140000013</v>
      </c>
      <c r="AA335">
        <f t="shared" si="62"/>
        <v>0.3788465827921631</v>
      </c>
      <c r="AB335" t="str">
        <f t="shared" si="63"/>
        <v>6-2024</v>
      </c>
      <c r="AC335" t="str">
        <f t="shared" si="64"/>
        <v>Q2-2024</v>
      </c>
      <c r="AD335" t="str">
        <f t="shared" si="65"/>
        <v>Europe →Germany →Berlin</v>
      </c>
      <c r="AE335" t="str">
        <f t="shared" si="55"/>
        <v>High</v>
      </c>
      <c r="AF335" t="str">
        <f>TEXT(Table1[[#This Row],[OrderDate]],"MMM")</f>
        <v>Jun</v>
      </c>
      <c r="AG335" t="str">
        <f>TEXT(Table1[[#This Row],[OrderDate]],"YYYY")</f>
        <v>2024</v>
      </c>
      <c r="AI335" s="4">
        <f>IF(Table1[[#This Row],[RequiredDate]]&lt;Table1[[#This Row],[OrderDate]], Table1[[#This Row],[OrderDate]]+7, Table1[[#This Row],[RequiredDate]])</f>
        <v>45469</v>
      </c>
      <c r="AJ335">
        <f>IF(Dashboard!$D$3&gt;'Staging Data'!V335,'Staging Data'!V335,Dashboard!D$3)</f>
        <v>7.2999999999999995E-2</v>
      </c>
      <c r="AK335" s="19">
        <f>(100%+Dashboard!$D$4)*'Staging Data'!S335</f>
        <v>1117.5360000000001</v>
      </c>
      <c r="AL335">
        <f>(100%+Dashboard!$D$5)*'Staging Data'!W335</f>
        <v>43.699999999999996</v>
      </c>
    </row>
    <row r="336" spans="1:38" x14ac:dyDescent="0.35">
      <c r="A336" s="6" t="s">
        <v>556</v>
      </c>
      <c r="B336" s="4">
        <v>45450</v>
      </c>
      <c r="C336" s="4">
        <v>45452</v>
      </c>
      <c r="D336" s="4">
        <f>IF(Table1[[#This Row],[RequiredDate]]&lt;Table1[[#This Row],[OrderDate]],Table1[[#This Row],[RequiredDate]],Table1[[#This Row],[OrderDate]])</f>
        <v>45450</v>
      </c>
      <c r="E336" s="4">
        <f>IF(Table1[[#This Row],[RequiredDate]]&gt;Table1[[#This Row],[OrderDate]],Table1[[#This Row],[RequiredDate]],Table1[[#This Row],[OrderDate]])</f>
        <v>45452</v>
      </c>
      <c r="F336" s="21">
        <f>Table1[[#This Row],[New RD]]-Table1[[#This Row],[new   od]]</f>
        <v>2</v>
      </c>
      <c r="G336" s="4">
        <f>IF(Table1[[#This Row],[RequiredDate]]&lt;Table1[[#This Row],[OrderDate]], Table1[[#This Row],[OrderDate]]+7, Table1[[#This Row],[RequiredDate]])</f>
        <v>45452</v>
      </c>
      <c r="H336" s="21">
        <f t="shared" si="56"/>
        <v>2</v>
      </c>
      <c r="I336" s="6" t="str">
        <f>IF(Table1[[#This Row],[New LTD]]&lt;=7,"Yes","No")</f>
        <v>Yes</v>
      </c>
      <c r="J336" s="6" t="str">
        <f t="shared" si="57"/>
        <v>No</v>
      </c>
      <c r="K336" t="s">
        <v>647</v>
      </c>
      <c r="L336" t="s">
        <v>659</v>
      </c>
      <c r="M336" t="s">
        <v>685</v>
      </c>
      <c r="N336" t="s">
        <v>701</v>
      </c>
      <c r="O336" t="s">
        <v>707</v>
      </c>
      <c r="P336" t="s">
        <v>719</v>
      </c>
      <c r="Q336" t="s">
        <v>732</v>
      </c>
      <c r="R336" t="s">
        <v>1274</v>
      </c>
      <c r="S336" s="6">
        <v>1370.28</v>
      </c>
      <c r="T336" s="6">
        <v>2209.66</v>
      </c>
      <c r="U336" s="6">
        <f t="shared" si="58"/>
        <v>2209.66</v>
      </c>
      <c r="V336" s="8">
        <v>0.13300000000000001</v>
      </c>
      <c r="W336" s="6">
        <v>16</v>
      </c>
      <c r="X336" s="6">
        <f t="shared" si="59"/>
        <v>30652.403519999996</v>
      </c>
      <c r="Y336">
        <f t="shared" si="60"/>
        <v>21924.48</v>
      </c>
      <c r="Z336" s="6">
        <f t="shared" si="61"/>
        <v>8727.9235199999966</v>
      </c>
      <c r="AA336">
        <f t="shared" si="62"/>
        <v>0.28473863442079589</v>
      </c>
      <c r="AB336" t="str">
        <f t="shared" si="63"/>
        <v>6-2024</v>
      </c>
      <c r="AC336" t="str">
        <f t="shared" si="64"/>
        <v>Q2-2024</v>
      </c>
      <c r="AD336" t="str">
        <f t="shared" si="65"/>
        <v>Asia →China →Shanghai</v>
      </c>
      <c r="AE336" t="str">
        <f t="shared" si="55"/>
        <v>High</v>
      </c>
      <c r="AF336" t="str">
        <f>TEXT(Table1[[#This Row],[OrderDate]],"MMM")</f>
        <v>Jun</v>
      </c>
      <c r="AG336" t="str">
        <f>TEXT(Table1[[#This Row],[OrderDate]],"YYYY")</f>
        <v>2024</v>
      </c>
      <c r="AI336" s="4">
        <f>IF(Table1[[#This Row],[RequiredDate]]&lt;Table1[[#This Row],[OrderDate]], Table1[[#This Row],[OrderDate]]+7, Table1[[#This Row],[RequiredDate]])</f>
        <v>45452</v>
      </c>
      <c r="AJ336">
        <f>IF(Dashboard!$D$3&gt;'Staging Data'!V336,'Staging Data'!V336,Dashboard!D$3)</f>
        <v>0.13300000000000001</v>
      </c>
      <c r="AK336" s="19">
        <f>(100%+Dashboard!$D$4)*'Staging Data'!S336</f>
        <v>1438.7940000000001</v>
      </c>
      <c r="AL336">
        <f>(100%+Dashboard!$D$5)*'Staging Data'!W336</f>
        <v>18.399999999999999</v>
      </c>
    </row>
    <row r="337" spans="1:38" x14ac:dyDescent="0.35">
      <c r="A337" s="6" t="s">
        <v>328</v>
      </c>
      <c r="B337" s="4">
        <v>45451</v>
      </c>
      <c r="C337" s="4">
        <v>45467</v>
      </c>
      <c r="D337" s="4">
        <f>IF(Table1[[#This Row],[RequiredDate]]&lt;Table1[[#This Row],[OrderDate]],Table1[[#This Row],[RequiredDate]],Table1[[#This Row],[OrderDate]])</f>
        <v>45451</v>
      </c>
      <c r="E337" s="4">
        <f>IF(Table1[[#This Row],[RequiredDate]]&gt;Table1[[#This Row],[OrderDate]],Table1[[#This Row],[RequiredDate]],Table1[[#This Row],[OrderDate]])</f>
        <v>45467</v>
      </c>
      <c r="F337" s="21">
        <f>Table1[[#This Row],[New RD]]-Table1[[#This Row],[new   od]]</f>
        <v>16</v>
      </c>
      <c r="G337" s="4">
        <f>IF(Table1[[#This Row],[RequiredDate]]&lt;Table1[[#This Row],[OrderDate]], Table1[[#This Row],[OrderDate]]+7, Table1[[#This Row],[RequiredDate]])</f>
        <v>45467</v>
      </c>
      <c r="H337" s="21">
        <f t="shared" si="56"/>
        <v>16</v>
      </c>
      <c r="I337" s="6" t="str">
        <f>IF(Table1[[#This Row],[New LTD]]&lt;=7,"Yes","No")</f>
        <v>No</v>
      </c>
      <c r="J337" s="6" t="str">
        <f t="shared" si="57"/>
        <v>No</v>
      </c>
      <c r="K337" t="s">
        <v>646</v>
      </c>
      <c r="L337" t="s">
        <v>661</v>
      </c>
      <c r="M337" t="s">
        <v>687</v>
      </c>
      <c r="N337" t="s">
        <v>702</v>
      </c>
      <c r="O337" t="s">
        <v>710</v>
      </c>
      <c r="P337" t="s">
        <v>722</v>
      </c>
      <c r="Q337" t="s">
        <v>732</v>
      </c>
      <c r="R337" t="s">
        <v>1048</v>
      </c>
      <c r="S337" s="6">
        <v>597.85</v>
      </c>
      <c r="T337" s="6">
        <v>741.92</v>
      </c>
      <c r="U337" s="6">
        <f t="shared" si="58"/>
        <v>741.92</v>
      </c>
      <c r="V337" s="8">
        <v>3.1E-2</v>
      </c>
      <c r="W337" s="6">
        <v>7</v>
      </c>
      <c r="X337" s="6">
        <f t="shared" si="59"/>
        <v>5032.4433599999993</v>
      </c>
      <c r="Y337">
        <f t="shared" si="60"/>
        <v>4184.95</v>
      </c>
      <c r="Z337" s="6">
        <f t="shared" si="61"/>
        <v>847.49335999999948</v>
      </c>
      <c r="AA337">
        <f t="shared" si="62"/>
        <v>0.16840594108544515</v>
      </c>
      <c r="AB337" t="str">
        <f t="shared" si="63"/>
        <v>6-2024</v>
      </c>
      <c r="AC337" t="str">
        <f t="shared" si="64"/>
        <v>Q2-2024</v>
      </c>
      <c r="AD337" t="str">
        <f t="shared" si="65"/>
        <v>Africa →South Africa →Durban</v>
      </c>
      <c r="AE337" t="str">
        <f t="shared" si="55"/>
        <v>Low</v>
      </c>
      <c r="AF337" t="str">
        <f>TEXT(Table1[[#This Row],[OrderDate]],"MMM")</f>
        <v>Jun</v>
      </c>
      <c r="AG337" t="str">
        <f>TEXT(Table1[[#This Row],[OrderDate]],"YYYY")</f>
        <v>2024</v>
      </c>
      <c r="AI337" s="4">
        <f>IF(Table1[[#This Row],[RequiredDate]]&lt;Table1[[#This Row],[OrderDate]], Table1[[#This Row],[OrderDate]]+7, Table1[[#This Row],[RequiredDate]])</f>
        <v>45467</v>
      </c>
      <c r="AJ337">
        <f>IF(Dashboard!$D$3&gt;'Staging Data'!V337,'Staging Data'!V337,Dashboard!D$3)</f>
        <v>3.1E-2</v>
      </c>
      <c r="AK337" s="19">
        <f>(100%+Dashboard!$D$4)*'Staging Data'!S337</f>
        <v>627.74250000000006</v>
      </c>
      <c r="AL337">
        <f>(100%+Dashboard!$D$5)*'Staging Data'!W337</f>
        <v>8.0499999999999989</v>
      </c>
    </row>
    <row r="338" spans="1:38" x14ac:dyDescent="0.35">
      <c r="A338" s="6" t="s">
        <v>125</v>
      </c>
      <c r="B338" s="4">
        <v>45452</v>
      </c>
      <c r="C338" s="4">
        <v>45480</v>
      </c>
      <c r="D338" s="4">
        <f>IF(Table1[[#This Row],[RequiredDate]]&lt;Table1[[#This Row],[OrderDate]],Table1[[#This Row],[RequiredDate]],Table1[[#This Row],[OrderDate]])</f>
        <v>45452</v>
      </c>
      <c r="E338" s="4">
        <f>IF(Table1[[#This Row],[RequiredDate]]&gt;Table1[[#This Row],[OrderDate]],Table1[[#This Row],[RequiredDate]],Table1[[#This Row],[OrderDate]])</f>
        <v>45480</v>
      </c>
      <c r="F338" s="21">
        <f>Table1[[#This Row],[New RD]]-Table1[[#This Row],[new   od]]</f>
        <v>28</v>
      </c>
      <c r="G338" s="4">
        <f>IF(Table1[[#This Row],[RequiredDate]]&lt;Table1[[#This Row],[OrderDate]], Table1[[#This Row],[OrderDate]]+7, Table1[[#This Row],[RequiredDate]])</f>
        <v>45480</v>
      </c>
      <c r="H338" s="21">
        <f t="shared" si="56"/>
        <v>28</v>
      </c>
      <c r="I338" s="6" t="str">
        <f>IF(Table1[[#This Row],[New LTD]]&lt;=7,"Yes","No")</f>
        <v>No</v>
      </c>
      <c r="J338" s="6" t="str">
        <f t="shared" si="57"/>
        <v>No</v>
      </c>
      <c r="K338" t="s">
        <v>647</v>
      </c>
      <c r="L338" t="s">
        <v>659</v>
      </c>
      <c r="M338" t="s">
        <v>676</v>
      </c>
      <c r="N338" t="s">
        <v>701</v>
      </c>
      <c r="O338" t="s">
        <v>708</v>
      </c>
      <c r="P338" t="s">
        <v>713</v>
      </c>
      <c r="Q338" t="s">
        <v>727</v>
      </c>
      <c r="R338" t="s">
        <v>844</v>
      </c>
      <c r="S338" s="6">
        <v>550.22</v>
      </c>
      <c r="T338" s="6">
        <v>1025.05</v>
      </c>
      <c r="U338" s="6">
        <f t="shared" si="58"/>
        <v>1025.05</v>
      </c>
      <c r="V338" s="8">
        <v>0</v>
      </c>
      <c r="W338" s="6">
        <v>27</v>
      </c>
      <c r="X338" s="6">
        <f t="shared" si="59"/>
        <v>27676.35</v>
      </c>
      <c r="Y338">
        <f t="shared" si="60"/>
        <v>14855.94</v>
      </c>
      <c r="Z338" s="6">
        <f t="shared" si="61"/>
        <v>12820.409999999998</v>
      </c>
      <c r="AA338">
        <f t="shared" si="62"/>
        <v>0.46322618408858102</v>
      </c>
      <c r="AB338" t="str">
        <f t="shared" si="63"/>
        <v>6-2024</v>
      </c>
      <c r="AC338" t="str">
        <f t="shared" si="64"/>
        <v>Q2-2024</v>
      </c>
      <c r="AD338" t="str">
        <f t="shared" si="65"/>
        <v>Asia →China →Shenzhen</v>
      </c>
      <c r="AE338" t="str">
        <f t="shared" si="55"/>
        <v>Medium</v>
      </c>
      <c r="AF338" t="str">
        <f>TEXT(Table1[[#This Row],[OrderDate]],"MMM")</f>
        <v>Jun</v>
      </c>
      <c r="AG338" t="str">
        <f>TEXT(Table1[[#This Row],[OrderDate]],"YYYY")</f>
        <v>2024</v>
      </c>
      <c r="AI338" s="4">
        <f>IF(Table1[[#This Row],[RequiredDate]]&lt;Table1[[#This Row],[OrderDate]], Table1[[#This Row],[OrderDate]]+7, Table1[[#This Row],[RequiredDate]])</f>
        <v>45480</v>
      </c>
      <c r="AJ338">
        <f>IF(Dashboard!$D$3&gt;'Staging Data'!V338,'Staging Data'!V338,Dashboard!D$3)</f>
        <v>0</v>
      </c>
      <c r="AK338" s="19">
        <f>(100%+Dashboard!$D$4)*'Staging Data'!S338</f>
        <v>577.73100000000011</v>
      </c>
      <c r="AL338">
        <f>(100%+Dashboard!$D$5)*'Staging Data'!W338</f>
        <v>31.049999999999997</v>
      </c>
    </row>
    <row r="339" spans="1:38" x14ac:dyDescent="0.35">
      <c r="A339" s="6" t="s">
        <v>126</v>
      </c>
      <c r="B339" s="4">
        <v>45453</v>
      </c>
      <c r="C339" s="4">
        <v>45454</v>
      </c>
      <c r="D339" s="4">
        <f>IF(Table1[[#This Row],[RequiredDate]]&lt;Table1[[#This Row],[OrderDate]],Table1[[#This Row],[RequiredDate]],Table1[[#This Row],[OrderDate]])</f>
        <v>45453</v>
      </c>
      <c r="E339" s="4">
        <f>IF(Table1[[#This Row],[RequiredDate]]&gt;Table1[[#This Row],[OrderDate]],Table1[[#This Row],[RequiredDate]],Table1[[#This Row],[OrderDate]])</f>
        <v>45454</v>
      </c>
      <c r="F339" s="21">
        <f>Table1[[#This Row],[New RD]]-Table1[[#This Row],[new   od]]</f>
        <v>1</v>
      </c>
      <c r="G339" s="4">
        <f>IF(Table1[[#This Row],[RequiredDate]]&lt;Table1[[#This Row],[OrderDate]], Table1[[#This Row],[OrderDate]]+7, Table1[[#This Row],[RequiredDate]])</f>
        <v>45454</v>
      </c>
      <c r="H339" s="21">
        <f t="shared" si="56"/>
        <v>1</v>
      </c>
      <c r="I339" s="6" t="str">
        <f>IF(Table1[[#This Row],[New LTD]]&lt;=7,"Yes","No")</f>
        <v>Yes</v>
      </c>
      <c r="J339" s="6" t="str">
        <f t="shared" si="57"/>
        <v>No</v>
      </c>
      <c r="K339" t="s">
        <v>649</v>
      </c>
      <c r="L339" t="s">
        <v>658</v>
      </c>
      <c r="M339" t="s">
        <v>674</v>
      </c>
      <c r="N339" t="s">
        <v>705</v>
      </c>
      <c r="O339" t="s">
        <v>709</v>
      </c>
      <c r="P339" t="s">
        <v>724</v>
      </c>
      <c r="Q339" t="s">
        <v>731</v>
      </c>
      <c r="R339" t="s">
        <v>845</v>
      </c>
      <c r="S339" s="6">
        <v>1187.1300000000001</v>
      </c>
      <c r="T339" s="6">
        <v>1795.17</v>
      </c>
      <c r="U339" s="6">
        <f t="shared" si="58"/>
        <v>1795.17</v>
      </c>
      <c r="V339" s="8">
        <v>1.2E-2</v>
      </c>
      <c r="W339" s="6">
        <v>17</v>
      </c>
      <c r="X339" s="6">
        <f t="shared" si="59"/>
        <v>30151.675319999998</v>
      </c>
      <c r="Y339">
        <f t="shared" si="60"/>
        <v>20181.210000000003</v>
      </c>
      <c r="Z339" s="6">
        <f t="shared" si="61"/>
        <v>9970.4653199999957</v>
      </c>
      <c r="AA339">
        <f t="shared" si="62"/>
        <v>0.33067699271046663</v>
      </c>
      <c r="AB339" t="str">
        <f t="shared" si="63"/>
        <v>6-2024</v>
      </c>
      <c r="AC339" t="str">
        <f t="shared" si="64"/>
        <v>Q2-2024</v>
      </c>
      <c r="AD339" t="str">
        <f t="shared" si="65"/>
        <v>Europe →United Kingdom →Birmingham</v>
      </c>
      <c r="AE339" t="str">
        <f t="shared" si="55"/>
        <v>High</v>
      </c>
      <c r="AF339" t="str">
        <f>TEXT(Table1[[#This Row],[OrderDate]],"MMM")</f>
        <v>Jun</v>
      </c>
      <c r="AG339" t="str">
        <f>TEXT(Table1[[#This Row],[OrderDate]],"YYYY")</f>
        <v>2024</v>
      </c>
      <c r="AI339" s="4">
        <f>IF(Table1[[#This Row],[RequiredDate]]&lt;Table1[[#This Row],[OrderDate]], Table1[[#This Row],[OrderDate]]+7, Table1[[#This Row],[RequiredDate]])</f>
        <v>45454</v>
      </c>
      <c r="AJ339">
        <f>IF(Dashboard!$D$3&gt;'Staging Data'!V339,'Staging Data'!V339,Dashboard!D$3)</f>
        <v>1.2E-2</v>
      </c>
      <c r="AK339" s="19">
        <f>(100%+Dashboard!$D$4)*'Staging Data'!S339</f>
        <v>1246.4865000000002</v>
      </c>
      <c r="AL339">
        <f>(100%+Dashboard!$D$5)*'Staging Data'!W339</f>
        <v>19.549999999999997</v>
      </c>
    </row>
    <row r="340" spans="1:38" x14ac:dyDescent="0.35">
      <c r="A340" s="6" t="s">
        <v>463</v>
      </c>
      <c r="B340" s="4">
        <v>45454</v>
      </c>
      <c r="C340" s="4">
        <v>45482</v>
      </c>
      <c r="D340" s="4">
        <f>IF(Table1[[#This Row],[RequiredDate]]&lt;Table1[[#This Row],[OrderDate]],Table1[[#This Row],[RequiredDate]],Table1[[#This Row],[OrderDate]])</f>
        <v>45454</v>
      </c>
      <c r="E340" s="4">
        <f>IF(Table1[[#This Row],[RequiredDate]]&gt;Table1[[#This Row],[OrderDate]],Table1[[#This Row],[RequiredDate]],Table1[[#This Row],[OrderDate]])</f>
        <v>45482</v>
      </c>
      <c r="F340" s="21">
        <f>Table1[[#This Row],[New RD]]-Table1[[#This Row],[new   od]]</f>
        <v>28</v>
      </c>
      <c r="G340" s="4">
        <f>IF(Table1[[#This Row],[RequiredDate]]&lt;Table1[[#This Row],[OrderDate]], Table1[[#This Row],[OrderDate]]+7, Table1[[#This Row],[RequiredDate]])</f>
        <v>45482</v>
      </c>
      <c r="H340" s="21">
        <f t="shared" si="56"/>
        <v>28</v>
      </c>
      <c r="I340" s="6" t="str">
        <f>IF(Table1[[#This Row],[New LTD]]&lt;=7,"Yes","No")</f>
        <v>No</v>
      </c>
      <c r="J340" s="6" t="str">
        <f t="shared" si="57"/>
        <v>Yes</v>
      </c>
      <c r="K340" t="s">
        <v>646</v>
      </c>
      <c r="L340" t="s">
        <v>651</v>
      </c>
      <c r="M340" t="s">
        <v>663</v>
      </c>
      <c r="N340" t="s">
        <v>701</v>
      </c>
      <c r="O340" t="s">
        <v>709</v>
      </c>
      <c r="P340" t="s">
        <v>714</v>
      </c>
      <c r="Q340" t="s">
        <v>730</v>
      </c>
      <c r="R340" t="s">
        <v>1182</v>
      </c>
      <c r="S340" s="6">
        <v>895.54</v>
      </c>
      <c r="T340" s="6">
        <v>1045</v>
      </c>
      <c r="U340" s="6">
        <f t="shared" si="58"/>
        <v>1045</v>
      </c>
      <c r="V340" s="8">
        <v>0.216</v>
      </c>
      <c r="W340" s="6">
        <v>15</v>
      </c>
      <c r="X340" s="6">
        <f t="shared" si="59"/>
        <v>12289.2</v>
      </c>
      <c r="Y340">
        <f t="shared" si="60"/>
        <v>13433.099999999999</v>
      </c>
      <c r="Z340" s="6">
        <f t="shared" si="61"/>
        <v>-1143.8999999999978</v>
      </c>
      <c r="AA340">
        <f t="shared" si="62"/>
        <v>-9.3081730299775234E-2</v>
      </c>
      <c r="AB340" t="str">
        <f t="shared" si="63"/>
        <v>6-2024</v>
      </c>
      <c r="AC340" t="str">
        <f t="shared" si="64"/>
        <v>Q2-2024</v>
      </c>
      <c r="AD340" t="str">
        <f t="shared" si="65"/>
        <v>Africa →Nigeria →Port Harcourt</v>
      </c>
      <c r="AE340" t="str">
        <f t="shared" si="55"/>
        <v>Medium</v>
      </c>
      <c r="AF340" t="str">
        <f>TEXT(Table1[[#This Row],[OrderDate]],"MMM")</f>
        <v>Jun</v>
      </c>
      <c r="AG340" t="str">
        <f>TEXT(Table1[[#This Row],[OrderDate]],"YYYY")</f>
        <v>2024</v>
      </c>
      <c r="AI340" s="4">
        <f>IF(Table1[[#This Row],[RequiredDate]]&lt;Table1[[#This Row],[OrderDate]], Table1[[#This Row],[OrderDate]]+7, Table1[[#This Row],[RequiredDate]])</f>
        <v>45482</v>
      </c>
      <c r="AJ340">
        <f>IF(Dashboard!$D$3&gt;'Staging Data'!V340,'Staging Data'!V340,Dashboard!D$3)</f>
        <v>0.2</v>
      </c>
      <c r="AK340" s="19">
        <f>(100%+Dashboard!$D$4)*'Staging Data'!S340</f>
        <v>940.31700000000001</v>
      </c>
      <c r="AL340">
        <f>(100%+Dashboard!$D$5)*'Staging Data'!W340</f>
        <v>17.25</v>
      </c>
    </row>
    <row r="341" spans="1:38" x14ac:dyDescent="0.35">
      <c r="A341" s="6" t="s">
        <v>158</v>
      </c>
      <c r="B341" s="4">
        <v>45458</v>
      </c>
      <c r="C341" s="4">
        <v>45479</v>
      </c>
      <c r="D341" s="4">
        <f>IF(Table1[[#This Row],[RequiredDate]]&lt;Table1[[#This Row],[OrderDate]],Table1[[#This Row],[RequiredDate]],Table1[[#This Row],[OrderDate]])</f>
        <v>45458</v>
      </c>
      <c r="E341" s="4">
        <f>IF(Table1[[#This Row],[RequiredDate]]&gt;Table1[[#This Row],[OrderDate]],Table1[[#This Row],[RequiredDate]],Table1[[#This Row],[OrderDate]])</f>
        <v>45479</v>
      </c>
      <c r="F341" s="21">
        <f>Table1[[#This Row],[New RD]]-Table1[[#This Row],[new   od]]</f>
        <v>21</v>
      </c>
      <c r="G341" s="4">
        <f>IF(Table1[[#This Row],[RequiredDate]]&lt;Table1[[#This Row],[OrderDate]], Table1[[#This Row],[OrderDate]]+7, Table1[[#This Row],[RequiredDate]])</f>
        <v>45479</v>
      </c>
      <c r="H341" s="21">
        <f t="shared" si="56"/>
        <v>21</v>
      </c>
      <c r="I341" s="6" t="str">
        <f>IF(Table1[[#This Row],[New LTD]]&lt;=7,"Yes","No")</f>
        <v>No</v>
      </c>
      <c r="J341" s="6" t="str">
        <f t="shared" si="57"/>
        <v>Yes</v>
      </c>
      <c r="K341" t="s">
        <v>648</v>
      </c>
      <c r="L341" t="s">
        <v>653</v>
      </c>
      <c r="M341" t="s">
        <v>667</v>
      </c>
      <c r="N341" t="s">
        <v>706</v>
      </c>
      <c r="O341" t="s">
        <v>710</v>
      </c>
      <c r="P341" t="s">
        <v>716</v>
      </c>
      <c r="Q341" t="s">
        <v>728</v>
      </c>
      <c r="R341" t="s">
        <v>877</v>
      </c>
      <c r="S341" s="6">
        <v>817.23</v>
      </c>
      <c r="T341" s="6">
        <v>1467.17</v>
      </c>
      <c r="U341" s="6">
        <f t="shared" si="58"/>
        <v>1467.17</v>
      </c>
      <c r="V341" s="8">
        <v>0.245</v>
      </c>
      <c r="W341" s="6">
        <v>9</v>
      </c>
      <c r="X341" s="6">
        <f t="shared" si="59"/>
        <v>9969.4201499999999</v>
      </c>
      <c r="Y341">
        <f t="shared" si="60"/>
        <v>7355.07</v>
      </c>
      <c r="Z341" s="6">
        <f t="shared" si="61"/>
        <v>2614.3501500000002</v>
      </c>
      <c r="AA341">
        <f t="shared" si="62"/>
        <v>0.26223693160328893</v>
      </c>
      <c r="AB341" t="str">
        <f t="shared" si="63"/>
        <v>6-2024</v>
      </c>
      <c r="AC341" t="str">
        <f t="shared" si="64"/>
        <v>Q2-2024</v>
      </c>
      <c r="AD341" t="str">
        <f t="shared" si="65"/>
        <v>Americas →Canada →Toronto</v>
      </c>
      <c r="AE341" t="str">
        <f t="shared" si="55"/>
        <v>Medium</v>
      </c>
      <c r="AF341" t="str">
        <f>TEXT(Table1[[#This Row],[OrderDate]],"MMM")</f>
        <v>Jun</v>
      </c>
      <c r="AG341" t="str">
        <f>TEXT(Table1[[#This Row],[OrderDate]],"YYYY")</f>
        <v>2024</v>
      </c>
      <c r="AI341" s="4">
        <f>IF(Table1[[#This Row],[RequiredDate]]&lt;Table1[[#This Row],[OrderDate]], Table1[[#This Row],[OrderDate]]+7, Table1[[#This Row],[RequiredDate]])</f>
        <v>45479</v>
      </c>
      <c r="AJ341">
        <f>IF(Dashboard!$D$3&gt;'Staging Data'!V341,'Staging Data'!V341,Dashboard!D$3)</f>
        <v>0.2</v>
      </c>
      <c r="AK341" s="19">
        <f>(100%+Dashboard!$D$4)*'Staging Data'!S341</f>
        <v>858.09150000000011</v>
      </c>
      <c r="AL341">
        <f>(100%+Dashboard!$D$5)*'Staging Data'!W341</f>
        <v>10.35</v>
      </c>
    </row>
    <row r="342" spans="1:38" x14ac:dyDescent="0.35">
      <c r="A342" s="6" t="s">
        <v>292</v>
      </c>
      <c r="B342" s="4">
        <v>45459</v>
      </c>
      <c r="C342" s="4">
        <v>45476</v>
      </c>
      <c r="D342" s="4">
        <f>IF(Table1[[#This Row],[RequiredDate]]&lt;Table1[[#This Row],[OrderDate]],Table1[[#This Row],[RequiredDate]],Table1[[#This Row],[OrderDate]])</f>
        <v>45459</v>
      </c>
      <c r="E342" s="4">
        <f>IF(Table1[[#This Row],[RequiredDate]]&gt;Table1[[#This Row],[OrderDate]],Table1[[#This Row],[RequiredDate]],Table1[[#This Row],[OrderDate]])</f>
        <v>45476</v>
      </c>
      <c r="F342" s="21">
        <f>Table1[[#This Row],[New RD]]-Table1[[#This Row],[new   od]]</f>
        <v>17</v>
      </c>
      <c r="G342" s="4">
        <f>IF(Table1[[#This Row],[RequiredDate]]&lt;Table1[[#This Row],[OrderDate]], Table1[[#This Row],[OrderDate]]+7, Table1[[#This Row],[RequiredDate]])</f>
        <v>45476</v>
      </c>
      <c r="H342" s="21">
        <f t="shared" si="56"/>
        <v>17</v>
      </c>
      <c r="I342" s="6" t="str">
        <f>IF(Table1[[#This Row],[New LTD]]&lt;=7,"Yes","No")</f>
        <v>No</v>
      </c>
      <c r="J342" s="6" t="str">
        <f t="shared" si="57"/>
        <v>No</v>
      </c>
      <c r="K342" t="s">
        <v>646</v>
      </c>
      <c r="L342" t="s">
        <v>661</v>
      </c>
      <c r="M342" t="s">
        <v>682</v>
      </c>
      <c r="N342" t="s">
        <v>706</v>
      </c>
      <c r="O342" t="s">
        <v>709</v>
      </c>
      <c r="P342" t="s">
        <v>721</v>
      </c>
      <c r="Q342" t="s">
        <v>730</v>
      </c>
      <c r="R342" t="s">
        <v>1012</v>
      </c>
      <c r="S342" s="6">
        <v>1173.83</v>
      </c>
      <c r="T342" s="6">
        <v>2328.9</v>
      </c>
      <c r="U342" s="6">
        <f t="shared" si="58"/>
        <v>2328.9</v>
      </c>
      <c r="V342" s="8">
        <v>0.12</v>
      </c>
      <c r="W342" s="6">
        <v>17</v>
      </c>
      <c r="X342" s="6">
        <f t="shared" si="59"/>
        <v>34840.344000000005</v>
      </c>
      <c r="Y342">
        <f t="shared" si="60"/>
        <v>19955.11</v>
      </c>
      <c r="Z342" s="6">
        <f t="shared" si="61"/>
        <v>14885.234000000004</v>
      </c>
      <c r="AA342">
        <f t="shared" si="62"/>
        <v>0.42724130393201637</v>
      </c>
      <c r="AB342" t="str">
        <f t="shared" si="63"/>
        <v>6-2024</v>
      </c>
      <c r="AC342" t="str">
        <f t="shared" si="64"/>
        <v>Q2-2024</v>
      </c>
      <c r="AD342" t="str">
        <f t="shared" si="65"/>
        <v>Africa →South Africa →Johannesburg</v>
      </c>
      <c r="AE342" t="str">
        <f t="shared" si="55"/>
        <v>High</v>
      </c>
      <c r="AF342" t="str">
        <f>TEXT(Table1[[#This Row],[OrderDate]],"MMM")</f>
        <v>Jun</v>
      </c>
      <c r="AG342" t="str">
        <f>TEXT(Table1[[#This Row],[OrderDate]],"YYYY")</f>
        <v>2024</v>
      </c>
      <c r="AI342" s="4">
        <f>IF(Table1[[#This Row],[RequiredDate]]&lt;Table1[[#This Row],[OrderDate]], Table1[[#This Row],[OrderDate]]+7, Table1[[#This Row],[RequiredDate]])</f>
        <v>45476</v>
      </c>
      <c r="AJ342">
        <f>IF(Dashboard!$D$3&gt;'Staging Data'!V342,'Staging Data'!V342,Dashboard!D$3)</f>
        <v>0.12</v>
      </c>
      <c r="AK342" s="19">
        <f>(100%+Dashboard!$D$4)*'Staging Data'!S342</f>
        <v>1232.5215000000001</v>
      </c>
      <c r="AL342">
        <f>(100%+Dashboard!$D$5)*'Staging Data'!W342</f>
        <v>19.549999999999997</v>
      </c>
    </row>
    <row r="343" spans="1:38" x14ac:dyDescent="0.35">
      <c r="A343" s="6" t="s">
        <v>602</v>
      </c>
      <c r="B343" s="4">
        <v>45459</v>
      </c>
      <c r="C343" s="4">
        <v>45464</v>
      </c>
      <c r="D343" s="4">
        <f>IF(Table1[[#This Row],[RequiredDate]]&lt;Table1[[#This Row],[OrderDate]],Table1[[#This Row],[RequiredDate]],Table1[[#This Row],[OrderDate]])</f>
        <v>45459</v>
      </c>
      <c r="E343" s="4">
        <f>IF(Table1[[#This Row],[RequiredDate]]&gt;Table1[[#This Row],[OrderDate]],Table1[[#This Row],[RequiredDate]],Table1[[#This Row],[OrderDate]])</f>
        <v>45464</v>
      </c>
      <c r="F343" s="21">
        <f>Table1[[#This Row],[New RD]]-Table1[[#This Row],[new   od]]</f>
        <v>5</v>
      </c>
      <c r="G343" s="4">
        <f>IF(Table1[[#This Row],[RequiredDate]]&lt;Table1[[#This Row],[OrderDate]], Table1[[#This Row],[OrderDate]]+7, Table1[[#This Row],[RequiredDate]])</f>
        <v>45464</v>
      </c>
      <c r="H343" s="21">
        <f t="shared" si="56"/>
        <v>5</v>
      </c>
      <c r="I343" s="6" t="str">
        <f>IF(Table1[[#This Row],[New LTD]]&lt;=7,"Yes","No")</f>
        <v>Yes</v>
      </c>
      <c r="J343" s="6" t="str">
        <f t="shared" si="57"/>
        <v>No</v>
      </c>
      <c r="K343" t="s">
        <v>647</v>
      </c>
      <c r="L343" t="s">
        <v>652</v>
      </c>
      <c r="M343" t="s">
        <v>689</v>
      </c>
      <c r="N343" t="s">
        <v>705</v>
      </c>
      <c r="O343" t="s">
        <v>710</v>
      </c>
      <c r="P343" t="s">
        <v>721</v>
      </c>
      <c r="Q343" t="s">
        <v>730</v>
      </c>
      <c r="R343" t="s">
        <v>1320</v>
      </c>
      <c r="S343" s="6">
        <v>1367.13</v>
      </c>
      <c r="T343" s="6">
        <v>3062.01</v>
      </c>
      <c r="U343" s="6">
        <f t="shared" si="58"/>
        <v>3062.01</v>
      </c>
      <c r="V343" s="8">
        <v>0.10299999999999999</v>
      </c>
      <c r="W343" s="6">
        <v>25</v>
      </c>
      <c r="X343" s="6">
        <f t="shared" si="59"/>
        <v>68665.574250000005</v>
      </c>
      <c r="Y343">
        <f t="shared" si="60"/>
        <v>34178.25</v>
      </c>
      <c r="Z343" s="6">
        <f t="shared" si="61"/>
        <v>34487.324250000005</v>
      </c>
      <c r="AA343">
        <f t="shared" si="62"/>
        <v>0.50225057645971705</v>
      </c>
      <c r="AB343" t="str">
        <f t="shared" si="63"/>
        <v>6-2024</v>
      </c>
      <c r="AC343" t="str">
        <f t="shared" si="64"/>
        <v>Q2-2024</v>
      </c>
      <c r="AD343" t="str">
        <f t="shared" si="65"/>
        <v>Asia →Japan →Tokyo</v>
      </c>
      <c r="AE343" t="str">
        <f t="shared" si="55"/>
        <v>High</v>
      </c>
      <c r="AF343" t="str">
        <f>TEXT(Table1[[#This Row],[OrderDate]],"MMM")</f>
        <v>Jun</v>
      </c>
      <c r="AG343" t="str">
        <f>TEXT(Table1[[#This Row],[OrderDate]],"YYYY")</f>
        <v>2024</v>
      </c>
      <c r="AI343" s="4">
        <f>IF(Table1[[#This Row],[RequiredDate]]&lt;Table1[[#This Row],[OrderDate]], Table1[[#This Row],[OrderDate]]+7, Table1[[#This Row],[RequiredDate]])</f>
        <v>45464</v>
      </c>
      <c r="AJ343">
        <f>IF(Dashboard!$D$3&gt;'Staging Data'!V343,'Staging Data'!V343,Dashboard!D$3)</f>
        <v>0.10299999999999999</v>
      </c>
      <c r="AK343" s="19">
        <f>(100%+Dashboard!$D$4)*'Staging Data'!S343</f>
        <v>1435.4865000000002</v>
      </c>
      <c r="AL343">
        <f>(100%+Dashboard!$D$5)*'Staging Data'!W343</f>
        <v>28.749999999999996</v>
      </c>
    </row>
    <row r="344" spans="1:38" x14ac:dyDescent="0.35">
      <c r="A344" s="6" t="s">
        <v>318</v>
      </c>
      <c r="B344" s="4">
        <v>45462</v>
      </c>
      <c r="C344" s="4">
        <v>45463</v>
      </c>
      <c r="D344" s="4">
        <f>IF(Table1[[#This Row],[RequiredDate]]&lt;Table1[[#This Row],[OrderDate]],Table1[[#This Row],[RequiredDate]],Table1[[#This Row],[OrderDate]])</f>
        <v>45462</v>
      </c>
      <c r="E344" s="4">
        <f>IF(Table1[[#This Row],[RequiredDate]]&gt;Table1[[#This Row],[OrderDate]],Table1[[#This Row],[RequiredDate]],Table1[[#This Row],[OrderDate]])</f>
        <v>45463</v>
      </c>
      <c r="F344" s="21">
        <f>Table1[[#This Row],[New RD]]-Table1[[#This Row],[new   od]]</f>
        <v>1</v>
      </c>
      <c r="G344" s="4">
        <f>IF(Table1[[#This Row],[RequiredDate]]&lt;Table1[[#This Row],[OrderDate]], Table1[[#This Row],[OrderDate]]+7, Table1[[#This Row],[RequiredDate]])</f>
        <v>45463</v>
      </c>
      <c r="H344" s="21">
        <f t="shared" si="56"/>
        <v>1</v>
      </c>
      <c r="I344" s="6" t="str">
        <f>IF(Table1[[#This Row],[New LTD]]&lt;=7,"Yes","No")</f>
        <v>Yes</v>
      </c>
      <c r="J344" s="6" t="str">
        <f t="shared" si="57"/>
        <v>No</v>
      </c>
      <c r="K344" t="s">
        <v>646</v>
      </c>
      <c r="L344" t="s">
        <v>650</v>
      </c>
      <c r="M344" t="s">
        <v>662</v>
      </c>
      <c r="N344" t="s">
        <v>705</v>
      </c>
      <c r="O344" t="s">
        <v>711</v>
      </c>
      <c r="P344" t="s">
        <v>713</v>
      </c>
      <c r="Q344" t="s">
        <v>731</v>
      </c>
      <c r="R344" t="s">
        <v>1038</v>
      </c>
      <c r="S344" s="6">
        <v>231.63</v>
      </c>
      <c r="T344" s="6">
        <v>537.39</v>
      </c>
      <c r="U344" s="6">
        <f t="shared" si="58"/>
        <v>537.39</v>
      </c>
      <c r="V344" s="8">
        <v>0.08</v>
      </c>
      <c r="W344" s="6">
        <v>12</v>
      </c>
      <c r="X344" s="6">
        <f t="shared" si="59"/>
        <v>5932.7856000000002</v>
      </c>
      <c r="Y344">
        <f t="shared" si="60"/>
        <v>2779.56</v>
      </c>
      <c r="Z344" s="6">
        <f t="shared" si="61"/>
        <v>3153.2256000000002</v>
      </c>
      <c r="AA344">
        <f t="shared" si="62"/>
        <v>0.53149158129024587</v>
      </c>
      <c r="AB344" t="str">
        <f t="shared" si="63"/>
        <v>6-2024</v>
      </c>
      <c r="AC344" t="str">
        <f t="shared" si="64"/>
        <v>Q2-2024</v>
      </c>
      <c r="AD344" t="str">
        <f t="shared" si="65"/>
        <v>Africa →Kenya →Kisumu</v>
      </c>
      <c r="AE344" t="str">
        <f t="shared" si="55"/>
        <v>Low</v>
      </c>
      <c r="AF344" t="str">
        <f>TEXT(Table1[[#This Row],[OrderDate]],"MMM")</f>
        <v>Jun</v>
      </c>
      <c r="AG344" t="str">
        <f>TEXT(Table1[[#This Row],[OrderDate]],"YYYY")</f>
        <v>2024</v>
      </c>
      <c r="AI344" s="4">
        <f>IF(Table1[[#This Row],[RequiredDate]]&lt;Table1[[#This Row],[OrderDate]], Table1[[#This Row],[OrderDate]]+7, Table1[[#This Row],[RequiredDate]])</f>
        <v>45463</v>
      </c>
      <c r="AJ344">
        <f>IF(Dashboard!$D$3&gt;'Staging Data'!V344,'Staging Data'!V344,Dashboard!D$3)</f>
        <v>0.08</v>
      </c>
      <c r="AK344" s="19">
        <f>(100%+Dashboard!$D$4)*'Staging Data'!S344</f>
        <v>243.2115</v>
      </c>
      <c r="AL344">
        <f>(100%+Dashboard!$D$5)*'Staging Data'!W344</f>
        <v>13.799999999999999</v>
      </c>
    </row>
    <row r="345" spans="1:38" x14ac:dyDescent="0.35">
      <c r="A345" s="6" t="s">
        <v>374</v>
      </c>
      <c r="B345" s="4">
        <v>45466</v>
      </c>
      <c r="C345" s="4">
        <v>45468</v>
      </c>
      <c r="D345" s="4">
        <f>IF(Table1[[#This Row],[RequiredDate]]&lt;Table1[[#This Row],[OrderDate]],Table1[[#This Row],[RequiredDate]],Table1[[#This Row],[OrderDate]])</f>
        <v>45466</v>
      </c>
      <c r="E345" s="4">
        <f>IF(Table1[[#This Row],[RequiredDate]]&gt;Table1[[#This Row],[OrderDate]],Table1[[#This Row],[RequiredDate]],Table1[[#This Row],[OrderDate]])</f>
        <v>45468</v>
      </c>
      <c r="F345" s="21">
        <f>Table1[[#This Row],[New RD]]-Table1[[#This Row],[new   od]]</f>
        <v>2</v>
      </c>
      <c r="G345" s="4">
        <f>IF(Table1[[#This Row],[RequiredDate]]&lt;Table1[[#This Row],[OrderDate]], Table1[[#This Row],[OrderDate]]+7, Table1[[#This Row],[RequiredDate]])</f>
        <v>45468</v>
      </c>
      <c r="H345" s="21">
        <f t="shared" si="56"/>
        <v>2</v>
      </c>
      <c r="I345" s="6" t="str">
        <f>IF(Table1[[#This Row],[New LTD]]&lt;=7,"Yes","No")</f>
        <v>Yes</v>
      </c>
      <c r="J345" s="6" t="str">
        <f t="shared" si="57"/>
        <v>No</v>
      </c>
      <c r="K345" t="s">
        <v>649</v>
      </c>
      <c r="L345" t="s">
        <v>658</v>
      </c>
      <c r="M345" t="s">
        <v>674</v>
      </c>
      <c r="N345" t="s">
        <v>705</v>
      </c>
      <c r="O345" t="s">
        <v>709</v>
      </c>
      <c r="P345" t="s">
        <v>716</v>
      </c>
      <c r="Q345" t="s">
        <v>733</v>
      </c>
      <c r="R345" t="s">
        <v>1094</v>
      </c>
      <c r="S345" s="6">
        <v>951.44</v>
      </c>
      <c r="T345" s="6">
        <v>1646.43</v>
      </c>
      <c r="U345" s="6">
        <f t="shared" si="58"/>
        <v>1646.43</v>
      </c>
      <c r="V345" s="8">
        <v>0.11</v>
      </c>
      <c r="W345" s="6">
        <v>24</v>
      </c>
      <c r="X345" s="6">
        <f t="shared" si="59"/>
        <v>35167.7448</v>
      </c>
      <c r="Y345">
        <f t="shared" si="60"/>
        <v>22834.560000000001</v>
      </c>
      <c r="Z345" s="6">
        <f t="shared" si="61"/>
        <v>12333.184799999999</v>
      </c>
      <c r="AA345">
        <f t="shared" si="62"/>
        <v>0.35069592520473475</v>
      </c>
      <c r="AB345" t="str">
        <f t="shared" si="63"/>
        <v>6-2024</v>
      </c>
      <c r="AC345" t="str">
        <f t="shared" si="64"/>
        <v>Q2-2024</v>
      </c>
      <c r="AD345" t="str">
        <f t="shared" si="65"/>
        <v>Europe →United Kingdom →Birmingham</v>
      </c>
      <c r="AE345" t="str">
        <f t="shared" si="55"/>
        <v>High</v>
      </c>
      <c r="AF345" t="str">
        <f>TEXT(Table1[[#This Row],[OrderDate]],"MMM")</f>
        <v>Jun</v>
      </c>
      <c r="AG345" t="str">
        <f>TEXT(Table1[[#This Row],[OrderDate]],"YYYY")</f>
        <v>2024</v>
      </c>
      <c r="AI345" s="4">
        <f>IF(Table1[[#This Row],[RequiredDate]]&lt;Table1[[#This Row],[OrderDate]], Table1[[#This Row],[OrderDate]]+7, Table1[[#This Row],[RequiredDate]])</f>
        <v>45468</v>
      </c>
      <c r="AJ345">
        <f>IF(Dashboard!$D$3&gt;'Staging Data'!V345,'Staging Data'!V345,Dashboard!D$3)</f>
        <v>0.11</v>
      </c>
      <c r="AK345" s="19">
        <f>(100%+Dashboard!$D$4)*'Staging Data'!S345</f>
        <v>999.01200000000006</v>
      </c>
      <c r="AL345">
        <f>(100%+Dashboard!$D$5)*'Staging Data'!W345</f>
        <v>27.599999999999998</v>
      </c>
    </row>
    <row r="346" spans="1:38" x14ac:dyDescent="0.35">
      <c r="A346" s="6" t="s">
        <v>480</v>
      </c>
      <c r="B346" s="4">
        <v>45466</v>
      </c>
      <c r="C346" s="4">
        <v>45471</v>
      </c>
      <c r="D346" s="4">
        <f>IF(Table1[[#This Row],[RequiredDate]]&lt;Table1[[#This Row],[OrderDate]],Table1[[#This Row],[RequiredDate]],Table1[[#This Row],[OrderDate]])</f>
        <v>45466</v>
      </c>
      <c r="E346" s="4">
        <f>IF(Table1[[#This Row],[RequiredDate]]&gt;Table1[[#This Row],[OrderDate]],Table1[[#This Row],[RequiredDate]],Table1[[#This Row],[OrderDate]])</f>
        <v>45471</v>
      </c>
      <c r="F346" s="21">
        <f>Table1[[#This Row],[New RD]]-Table1[[#This Row],[new   od]]</f>
        <v>5</v>
      </c>
      <c r="G346" s="4">
        <f>IF(Table1[[#This Row],[RequiredDate]]&lt;Table1[[#This Row],[OrderDate]], Table1[[#This Row],[OrderDate]]+7, Table1[[#This Row],[RequiredDate]])</f>
        <v>45471</v>
      </c>
      <c r="H346" s="21">
        <f t="shared" si="56"/>
        <v>5</v>
      </c>
      <c r="I346" s="6" t="str">
        <f>IF(Table1[[#This Row],[New LTD]]&lt;=7,"Yes","No")</f>
        <v>Yes</v>
      </c>
      <c r="J346" s="6" t="str">
        <f t="shared" si="57"/>
        <v>Yes</v>
      </c>
      <c r="K346" t="s">
        <v>646</v>
      </c>
      <c r="L346" t="s">
        <v>651</v>
      </c>
      <c r="M346" t="s">
        <v>663</v>
      </c>
      <c r="N346" t="s">
        <v>703</v>
      </c>
      <c r="O346" t="s">
        <v>711</v>
      </c>
      <c r="P346" t="s">
        <v>724</v>
      </c>
      <c r="Q346" t="s">
        <v>733</v>
      </c>
      <c r="R346" t="s">
        <v>1199</v>
      </c>
      <c r="S346" s="6">
        <v>242.31</v>
      </c>
      <c r="T346" s="6">
        <v>587.95000000000005</v>
      </c>
      <c r="U346" s="6">
        <f t="shared" si="58"/>
        <v>587.95000000000005</v>
      </c>
      <c r="V346" s="8">
        <v>0.22900000000000001</v>
      </c>
      <c r="W346" s="6">
        <v>6</v>
      </c>
      <c r="X346" s="6">
        <f t="shared" si="59"/>
        <v>2719.8567000000003</v>
      </c>
      <c r="Y346">
        <f t="shared" si="60"/>
        <v>1453.8600000000001</v>
      </c>
      <c r="Z346" s="6">
        <f t="shared" si="61"/>
        <v>1265.9967000000001</v>
      </c>
      <c r="AA346">
        <f t="shared" si="62"/>
        <v>0.46546448568411714</v>
      </c>
      <c r="AB346" t="str">
        <f t="shared" si="63"/>
        <v>6-2024</v>
      </c>
      <c r="AC346" t="str">
        <f t="shared" si="64"/>
        <v>Q2-2024</v>
      </c>
      <c r="AD346" t="str">
        <f t="shared" si="65"/>
        <v>Africa →Nigeria →Port Harcourt</v>
      </c>
      <c r="AE346" t="str">
        <f t="shared" ref="AE346:AE409" si="66">IF(T346&lt;=LowerCutOff,"Low", IF(T346&lt;=HigherCutOff,"Medium","High"))</f>
        <v>Low</v>
      </c>
      <c r="AF346" t="str">
        <f>TEXT(Table1[[#This Row],[OrderDate]],"MMM")</f>
        <v>Jun</v>
      </c>
      <c r="AG346" t="str">
        <f>TEXT(Table1[[#This Row],[OrderDate]],"YYYY")</f>
        <v>2024</v>
      </c>
      <c r="AI346" s="4">
        <f>IF(Table1[[#This Row],[RequiredDate]]&lt;Table1[[#This Row],[OrderDate]], Table1[[#This Row],[OrderDate]]+7, Table1[[#This Row],[RequiredDate]])</f>
        <v>45471</v>
      </c>
      <c r="AJ346">
        <f>IF(Dashboard!$D$3&gt;'Staging Data'!V346,'Staging Data'!V346,Dashboard!D$3)</f>
        <v>0.2</v>
      </c>
      <c r="AK346" s="19">
        <f>(100%+Dashboard!$D$4)*'Staging Data'!S346</f>
        <v>254.4255</v>
      </c>
      <c r="AL346">
        <f>(100%+Dashboard!$D$5)*'Staging Data'!W346</f>
        <v>6.8999999999999995</v>
      </c>
    </row>
    <row r="347" spans="1:38" x14ac:dyDescent="0.35">
      <c r="A347" s="6" t="s">
        <v>627</v>
      </c>
      <c r="B347" s="4">
        <v>45468</v>
      </c>
      <c r="C347" s="4">
        <v>45473</v>
      </c>
      <c r="D347" s="4">
        <f>IF(Table1[[#This Row],[RequiredDate]]&lt;Table1[[#This Row],[OrderDate]],Table1[[#This Row],[RequiredDate]],Table1[[#This Row],[OrderDate]])</f>
        <v>45468</v>
      </c>
      <c r="E347" s="4">
        <f>IF(Table1[[#This Row],[RequiredDate]]&gt;Table1[[#This Row],[OrderDate]],Table1[[#This Row],[RequiredDate]],Table1[[#This Row],[OrderDate]])</f>
        <v>45473</v>
      </c>
      <c r="F347" s="21">
        <f>Table1[[#This Row],[New RD]]-Table1[[#This Row],[new   od]]</f>
        <v>5</v>
      </c>
      <c r="G347" s="4">
        <f>IF(Table1[[#This Row],[RequiredDate]]&lt;Table1[[#This Row],[OrderDate]], Table1[[#This Row],[OrderDate]]+7, Table1[[#This Row],[RequiredDate]])</f>
        <v>45473</v>
      </c>
      <c r="H347" s="21">
        <f t="shared" si="56"/>
        <v>5</v>
      </c>
      <c r="I347" s="6" t="str">
        <f>IF(Table1[[#This Row],[New LTD]]&lt;=7,"Yes","No")</f>
        <v>Yes</v>
      </c>
      <c r="J347" s="6" t="str">
        <f t="shared" si="57"/>
        <v>No</v>
      </c>
      <c r="K347" t="s">
        <v>646</v>
      </c>
      <c r="L347" t="s">
        <v>650</v>
      </c>
      <c r="M347" t="s">
        <v>662</v>
      </c>
      <c r="N347" t="s">
        <v>702</v>
      </c>
      <c r="O347" t="s">
        <v>711</v>
      </c>
      <c r="P347" t="s">
        <v>724</v>
      </c>
      <c r="Q347" t="s">
        <v>729</v>
      </c>
      <c r="R347" t="s">
        <v>1345</v>
      </c>
      <c r="S347" s="6">
        <v>1323.55</v>
      </c>
      <c r="T347" s="6">
        <v>3230.35</v>
      </c>
      <c r="U347" s="6">
        <f t="shared" si="58"/>
        <v>3230.35</v>
      </c>
      <c r="V347" s="8">
        <v>2.1999999999999999E-2</v>
      </c>
      <c r="W347" s="6">
        <v>26</v>
      </c>
      <c r="X347" s="6">
        <f t="shared" si="59"/>
        <v>82141.339799999987</v>
      </c>
      <c r="Y347">
        <f t="shared" si="60"/>
        <v>34412.299999999996</v>
      </c>
      <c r="Z347" s="6">
        <f t="shared" si="61"/>
        <v>47729.039799999991</v>
      </c>
      <c r="AA347">
        <f t="shared" si="62"/>
        <v>0.58105991351263542</v>
      </c>
      <c r="AB347" t="str">
        <f t="shared" si="63"/>
        <v>6-2024</v>
      </c>
      <c r="AC347" t="str">
        <f t="shared" si="64"/>
        <v>Q2-2024</v>
      </c>
      <c r="AD347" t="str">
        <f t="shared" si="65"/>
        <v>Africa →Kenya →Kisumu</v>
      </c>
      <c r="AE347" t="str">
        <f t="shared" si="66"/>
        <v>High</v>
      </c>
      <c r="AF347" t="str">
        <f>TEXT(Table1[[#This Row],[OrderDate]],"MMM")</f>
        <v>Jun</v>
      </c>
      <c r="AG347" t="str">
        <f>TEXT(Table1[[#This Row],[OrderDate]],"YYYY")</f>
        <v>2024</v>
      </c>
      <c r="AI347" s="4">
        <f>IF(Table1[[#This Row],[RequiredDate]]&lt;Table1[[#This Row],[OrderDate]], Table1[[#This Row],[OrderDate]]+7, Table1[[#This Row],[RequiredDate]])</f>
        <v>45473</v>
      </c>
      <c r="AJ347">
        <f>IF(Dashboard!$D$3&gt;'Staging Data'!V347,'Staging Data'!V347,Dashboard!D$3)</f>
        <v>2.1999999999999999E-2</v>
      </c>
      <c r="AK347" s="19">
        <f>(100%+Dashboard!$D$4)*'Staging Data'!S347</f>
        <v>1389.7275</v>
      </c>
      <c r="AL347">
        <f>(100%+Dashboard!$D$5)*'Staging Data'!W347</f>
        <v>29.9</v>
      </c>
    </row>
    <row r="348" spans="1:38" x14ac:dyDescent="0.35">
      <c r="A348" s="6" t="s">
        <v>127</v>
      </c>
      <c r="B348" s="4">
        <v>45472</v>
      </c>
      <c r="C348" s="4">
        <v>45499</v>
      </c>
      <c r="D348" s="4">
        <f>IF(Table1[[#This Row],[RequiredDate]]&lt;Table1[[#This Row],[OrderDate]],Table1[[#This Row],[RequiredDate]],Table1[[#This Row],[OrderDate]])</f>
        <v>45472</v>
      </c>
      <c r="E348" s="4">
        <f>IF(Table1[[#This Row],[RequiredDate]]&gt;Table1[[#This Row],[OrderDate]],Table1[[#This Row],[RequiredDate]],Table1[[#This Row],[OrderDate]])</f>
        <v>45499</v>
      </c>
      <c r="F348" s="21">
        <f>Table1[[#This Row],[New RD]]-Table1[[#This Row],[new   od]]</f>
        <v>27</v>
      </c>
      <c r="G348" s="4">
        <f>IF(Table1[[#This Row],[RequiredDate]]&lt;Table1[[#This Row],[OrderDate]], Table1[[#This Row],[OrderDate]]+7, Table1[[#This Row],[RequiredDate]])</f>
        <v>45499</v>
      </c>
      <c r="H348" s="21">
        <f t="shared" si="56"/>
        <v>27</v>
      </c>
      <c r="I348" s="6" t="str">
        <f>IF(Table1[[#This Row],[New LTD]]&lt;=7,"Yes","No")</f>
        <v>No</v>
      </c>
      <c r="J348" s="6" t="str">
        <f t="shared" si="57"/>
        <v>No</v>
      </c>
      <c r="K348" t="s">
        <v>646</v>
      </c>
      <c r="L348" t="s">
        <v>661</v>
      </c>
      <c r="M348" t="s">
        <v>687</v>
      </c>
      <c r="N348" t="s">
        <v>706</v>
      </c>
      <c r="O348" t="s">
        <v>710</v>
      </c>
      <c r="P348" t="s">
        <v>717</v>
      </c>
      <c r="Q348" t="s">
        <v>729</v>
      </c>
      <c r="R348" t="s">
        <v>846</v>
      </c>
      <c r="S348" s="6">
        <v>5.36</v>
      </c>
      <c r="T348" s="6">
        <v>4.37</v>
      </c>
      <c r="U348" s="6">
        <f t="shared" si="58"/>
        <v>4.37</v>
      </c>
      <c r="V348" s="8">
        <v>0.11799999999999999</v>
      </c>
      <c r="W348" s="6">
        <v>9</v>
      </c>
      <c r="X348" s="6">
        <f t="shared" si="59"/>
        <v>34.689059999999998</v>
      </c>
      <c r="Y348">
        <f t="shared" si="60"/>
        <v>48.24</v>
      </c>
      <c r="Z348" s="6">
        <f t="shared" si="61"/>
        <v>-13.550940000000004</v>
      </c>
      <c r="AA348">
        <f t="shared" si="62"/>
        <v>-0.39064016148030545</v>
      </c>
      <c r="AB348" t="str">
        <f t="shared" si="63"/>
        <v>6-2024</v>
      </c>
      <c r="AC348" t="str">
        <f t="shared" si="64"/>
        <v>Q2-2024</v>
      </c>
      <c r="AD348" t="str">
        <f t="shared" si="65"/>
        <v>Africa →South Africa →Durban</v>
      </c>
      <c r="AE348" t="str">
        <f t="shared" si="66"/>
        <v>Low</v>
      </c>
      <c r="AF348" t="str">
        <f>TEXT(Table1[[#This Row],[OrderDate]],"MMM")</f>
        <v>Jun</v>
      </c>
      <c r="AG348" t="str">
        <f>TEXT(Table1[[#This Row],[OrderDate]],"YYYY")</f>
        <v>2024</v>
      </c>
      <c r="AI348" s="4">
        <f>IF(Table1[[#This Row],[RequiredDate]]&lt;Table1[[#This Row],[OrderDate]], Table1[[#This Row],[OrderDate]]+7, Table1[[#This Row],[RequiredDate]])</f>
        <v>45499</v>
      </c>
      <c r="AJ348">
        <f>IF(Dashboard!$D$3&gt;'Staging Data'!V348,'Staging Data'!V348,Dashboard!D$3)</f>
        <v>0.11799999999999999</v>
      </c>
      <c r="AK348" s="19">
        <f>(100%+Dashboard!$D$4)*'Staging Data'!S348</f>
        <v>5.628000000000001</v>
      </c>
      <c r="AL348">
        <f>(100%+Dashboard!$D$5)*'Staging Data'!W348</f>
        <v>10.35</v>
      </c>
    </row>
    <row r="349" spans="1:38" x14ac:dyDescent="0.35">
      <c r="A349" s="6" t="s">
        <v>40</v>
      </c>
      <c r="B349" s="4">
        <v>45473</v>
      </c>
      <c r="C349" s="4">
        <v>45487</v>
      </c>
      <c r="D349" s="4">
        <f>IF(Table1[[#This Row],[RequiredDate]]&lt;Table1[[#This Row],[OrderDate]],Table1[[#This Row],[RequiredDate]],Table1[[#This Row],[OrderDate]])</f>
        <v>45473</v>
      </c>
      <c r="E349" s="4">
        <f>IF(Table1[[#This Row],[RequiredDate]]&gt;Table1[[#This Row],[OrderDate]],Table1[[#This Row],[RequiredDate]],Table1[[#This Row],[OrderDate]])</f>
        <v>45487</v>
      </c>
      <c r="F349" s="21">
        <f>Table1[[#This Row],[New RD]]-Table1[[#This Row],[new   od]]</f>
        <v>14</v>
      </c>
      <c r="G349" s="4">
        <f>IF(Table1[[#This Row],[RequiredDate]]&lt;Table1[[#This Row],[OrderDate]], Table1[[#This Row],[OrderDate]]+7, Table1[[#This Row],[RequiredDate]])</f>
        <v>45487</v>
      </c>
      <c r="H349" s="21">
        <f t="shared" si="56"/>
        <v>14</v>
      </c>
      <c r="I349" s="6" t="str">
        <f>IF(Table1[[#This Row],[New LTD]]&lt;=7,"Yes","No")</f>
        <v>No</v>
      </c>
      <c r="J349" s="6" t="str">
        <f t="shared" si="57"/>
        <v>No</v>
      </c>
      <c r="K349" t="s">
        <v>648</v>
      </c>
      <c r="L349" t="s">
        <v>655</v>
      </c>
      <c r="M349" t="s">
        <v>672</v>
      </c>
      <c r="N349" t="s">
        <v>702</v>
      </c>
      <c r="O349" t="s">
        <v>707</v>
      </c>
      <c r="P349" t="s">
        <v>712</v>
      </c>
      <c r="Q349" t="s">
        <v>733</v>
      </c>
      <c r="R349" t="s">
        <v>759</v>
      </c>
      <c r="S349" s="6">
        <v>1491.85</v>
      </c>
      <c r="T349" s="6">
        <v>2583.02</v>
      </c>
      <c r="U349" s="6">
        <f t="shared" si="58"/>
        <v>2583.02</v>
      </c>
      <c r="V349" s="8">
        <v>0.16800000000000001</v>
      </c>
      <c r="W349" s="6">
        <v>4</v>
      </c>
      <c r="X349" s="6">
        <f t="shared" si="59"/>
        <v>8596.2905599999995</v>
      </c>
      <c r="Y349">
        <f t="shared" si="60"/>
        <v>5967.4</v>
      </c>
      <c r="Z349" s="6">
        <f t="shared" si="61"/>
        <v>2628.8905599999998</v>
      </c>
      <c r="AA349">
        <f t="shared" si="62"/>
        <v>0.30581685689321325</v>
      </c>
      <c r="AB349" t="str">
        <f t="shared" si="63"/>
        <v>6-2024</v>
      </c>
      <c r="AC349" t="str">
        <f t="shared" si="64"/>
        <v>Q2-2024</v>
      </c>
      <c r="AD349" t="str">
        <f t="shared" si="65"/>
        <v>Americas →Brazil →Brasília</v>
      </c>
      <c r="AE349" t="str">
        <f t="shared" si="66"/>
        <v>High</v>
      </c>
      <c r="AF349" t="str">
        <f>TEXT(Table1[[#This Row],[OrderDate]],"MMM")</f>
        <v>Jun</v>
      </c>
      <c r="AG349" t="str">
        <f>TEXT(Table1[[#This Row],[OrderDate]],"YYYY")</f>
        <v>2024</v>
      </c>
      <c r="AI349" s="4">
        <f>IF(Table1[[#This Row],[RequiredDate]]&lt;Table1[[#This Row],[OrderDate]], Table1[[#This Row],[OrderDate]]+7, Table1[[#This Row],[RequiredDate]])</f>
        <v>45487</v>
      </c>
      <c r="AJ349">
        <f>IF(Dashboard!$D$3&gt;'Staging Data'!V349,'Staging Data'!V349,Dashboard!D$3)</f>
        <v>0.16800000000000001</v>
      </c>
      <c r="AK349" s="19">
        <f>(100%+Dashboard!$D$4)*'Staging Data'!S349</f>
        <v>1566.4424999999999</v>
      </c>
      <c r="AL349">
        <f>(100%+Dashboard!$D$5)*'Staging Data'!W349</f>
        <v>4.5999999999999996</v>
      </c>
    </row>
    <row r="350" spans="1:38" x14ac:dyDescent="0.35">
      <c r="A350" s="6" t="s">
        <v>92</v>
      </c>
      <c r="B350" s="4">
        <v>45473</v>
      </c>
      <c r="C350" s="4">
        <v>45471</v>
      </c>
      <c r="D350" s="4">
        <f>IF(Table1[[#This Row],[RequiredDate]]&lt;Table1[[#This Row],[OrderDate]],Table1[[#This Row],[RequiredDate]],Table1[[#This Row],[OrderDate]])</f>
        <v>45471</v>
      </c>
      <c r="E350" s="4">
        <f>IF(Table1[[#This Row],[RequiredDate]]&gt;Table1[[#This Row],[OrderDate]],Table1[[#This Row],[RequiredDate]],Table1[[#This Row],[OrderDate]])</f>
        <v>45473</v>
      </c>
      <c r="F350" s="21">
        <f>Table1[[#This Row],[New RD]]-Table1[[#This Row],[new   od]]</f>
        <v>2</v>
      </c>
      <c r="G350" s="4">
        <f>IF(Table1[[#This Row],[RequiredDate]]&lt;Table1[[#This Row],[OrderDate]], Table1[[#This Row],[OrderDate]]+7, Table1[[#This Row],[RequiredDate]])</f>
        <v>45480</v>
      </c>
      <c r="H350" s="21">
        <f t="shared" si="56"/>
        <v>7</v>
      </c>
      <c r="I350" s="6" t="str">
        <f>IF(Table1[[#This Row],[New LTD]]&lt;=7,"Yes","No")</f>
        <v>Yes</v>
      </c>
      <c r="J350" s="6" t="str">
        <f t="shared" si="57"/>
        <v>No</v>
      </c>
      <c r="K350" t="s">
        <v>648</v>
      </c>
      <c r="L350" t="s">
        <v>655</v>
      </c>
      <c r="M350" t="s">
        <v>692</v>
      </c>
      <c r="N350" t="s">
        <v>705</v>
      </c>
      <c r="O350" t="s">
        <v>711</v>
      </c>
      <c r="P350" t="s">
        <v>716</v>
      </c>
      <c r="Q350" t="s">
        <v>733</v>
      </c>
      <c r="R350" t="s">
        <v>811</v>
      </c>
      <c r="S350" s="6">
        <v>1112.98</v>
      </c>
      <c r="T350" s="6">
        <v>2095.73</v>
      </c>
      <c r="U350" s="6">
        <f t="shared" si="58"/>
        <v>2095.73</v>
      </c>
      <c r="V350" s="8">
        <v>7.1999999999999995E-2</v>
      </c>
      <c r="W350" s="6">
        <v>17</v>
      </c>
      <c r="X350" s="6">
        <f t="shared" si="59"/>
        <v>33062.236480000007</v>
      </c>
      <c r="Y350">
        <f t="shared" si="60"/>
        <v>18920.66</v>
      </c>
      <c r="Z350" s="6">
        <f t="shared" si="61"/>
        <v>14141.576480000007</v>
      </c>
      <c r="AA350">
        <f t="shared" si="62"/>
        <v>0.42772594916724777</v>
      </c>
      <c r="AB350" t="str">
        <f t="shared" si="63"/>
        <v>6-2024</v>
      </c>
      <c r="AC350" t="str">
        <f t="shared" si="64"/>
        <v>Q2-2024</v>
      </c>
      <c r="AD350" t="str">
        <f t="shared" si="65"/>
        <v>Americas →Brazil →Rio de Janeiro</v>
      </c>
      <c r="AE350" t="str">
        <f t="shared" si="66"/>
        <v>High</v>
      </c>
      <c r="AF350" t="str">
        <f>TEXT(Table1[[#This Row],[OrderDate]],"MMM")</f>
        <v>Jun</v>
      </c>
      <c r="AG350" t="str">
        <f>TEXT(Table1[[#This Row],[OrderDate]],"YYYY")</f>
        <v>2024</v>
      </c>
      <c r="AI350" s="4">
        <f>IF(Table1[[#This Row],[RequiredDate]]&lt;Table1[[#This Row],[OrderDate]], Table1[[#This Row],[OrderDate]]+7, Table1[[#This Row],[RequiredDate]])</f>
        <v>45480</v>
      </c>
      <c r="AJ350">
        <f>IF(Dashboard!$D$3&gt;'Staging Data'!V350,'Staging Data'!V350,Dashboard!D$3)</f>
        <v>7.1999999999999995E-2</v>
      </c>
      <c r="AK350" s="19">
        <f>(100%+Dashboard!$D$4)*'Staging Data'!S350</f>
        <v>1168.6290000000001</v>
      </c>
      <c r="AL350">
        <f>(100%+Dashboard!$D$5)*'Staging Data'!W350</f>
        <v>19.549999999999997</v>
      </c>
    </row>
    <row r="351" spans="1:38" x14ac:dyDescent="0.35">
      <c r="A351" s="6" t="s">
        <v>609</v>
      </c>
      <c r="B351" s="4">
        <v>45473</v>
      </c>
      <c r="C351" s="4">
        <v>45494</v>
      </c>
      <c r="D351" s="4">
        <f>IF(Table1[[#This Row],[RequiredDate]]&lt;Table1[[#This Row],[OrderDate]],Table1[[#This Row],[RequiredDate]],Table1[[#This Row],[OrderDate]])</f>
        <v>45473</v>
      </c>
      <c r="E351" s="4">
        <f>IF(Table1[[#This Row],[RequiredDate]]&gt;Table1[[#This Row],[OrderDate]],Table1[[#This Row],[RequiredDate]],Table1[[#This Row],[OrderDate]])</f>
        <v>45494</v>
      </c>
      <c r="F351" s="21">
        <f>Table1[[#This Row],[New RD]]-Table1[[#This Row],[new   od]]</f>
        <v>21</v>
      </c>
      <c r="G351" s="4">
        <f>IF(Table1[[#This Row],[RequiredDate]]&lt;Table1[[#This Row],[OrderDate]], Table1[[#This Row],[OrderDate]]+7, Table1[[#This Row],[RequiredDate]])</f>
        <v>45494</v>
      </c>
      <c r="H351" s="21">
        <f t="shared" si="56"/>
        <v>21</v>
      </c>
      <c r="I351" s="6" t="str">
        <f>IF(Table1[[#This Row],[New LTD]]&lt;=7,"Yes","No")</f>
        <v>No</v>
      </c>
      <c r="J351" s="6" t="str">
        <f t="shared" si="57"/>
        <v>No</v>
      </c>
      <c r="K351" t="s">
        <v>646</v>
      </c>
      <c r="L351" t="s">
        <v>650</v>
      </c>
      <c r="M351" t="s">
        <v>662</v>
      </c>
      <c r="N351" t="s">
        <v>705</v>
      </c>
      <c r="O351" t="s">
        <v>707</v>
      </c>
      <c r="P351" t="s">
        <v>723</v>
      </c>
      <c r="Q351" t="s">
        <v>731</v>
      </c>
      <c r="R351" t="s">
        <v>1327</v>
      </c>
      <c r="S351" s="6">
        <v>753.43</v>
      </c>
      <c r="T351" s="6">
        <v>1787.2</v>
      </c>
      <c r="U351" s="6">
        <f t="shared" si="58"/>
        <v>1787.2</v>
      </c>
      <c r="V351" s="8">
        <v>7.2999999999999995E-2</v>
      </c>
      <c r="W351" s="6">
        <v>9</v>
      </c>
      <c r="X351" s="6">
        <f t="shared" si="59"/>
        <v>14910.609600000002</v>
      </c>
      <c r="Y351">
        <f t="shared" si="60"/>
        <v>6780.87</v>
      </c>
      <c r="Z351" s="6">
        <f t="shared" si="61"/>
        <v>8129.7396000000017</v>
      </c>
      <c r="AA351">
        <f t="shared" si="62"/>
        <v>0.54523187301476939</v>
      </c>
      <c r="AB351" t="str">
        <f t="shared" si="63"/>
        <v>6-2024</v>
      </c>
      <c r="AC351" t="str">
        <f t="shared" si="64"/>
        <v>Q2-2024</v>
      </c>
      <c r="AD351" t="str">
        <f t="shared" si="65"/>
        <v>Africa →Kenya →Kisumu</v>
      </c>
      <c r="AE351" t="str">
        <f t="shared" si="66"/>
        <v>High</v>
      </c>
      <c r="AF351" t="str">
        <f>TEXT(Table1[[#This Row],[OrderDate]],"MMM")</f>
        <v>Jun</v>
      </c>
      <c r="AG351" t="str">
        <f>TEXT(Table1[[#This Row],[OrderDate]],"YYYY")</f>
        <v>2024</v>
      </c>
      <c r="AI351" s="4">
        <f>IF(Table1[[#This Row],[RequiredDate]]&lt;Table1[[#This Row],[OrderDate]], Table1[[#This Row],[OrderDate]]+7, Table1[[#This Row],[RequiredDate]])</f>
        <v>45494</v>
      </c>
      <c r="AJ351">
        <f>IF(Dashboard!$D$3&gt;'Staging Data'!V351,'Staging Data'!V351,Dashboard!D$3)</f>
        <v>7.2999999999999995E-2</v>
      </c>
      <c r="AK351" s="19">
        <f>(100%+Dashboard!$D$4)*'Staging Data'!S351</f>
        <v>791.10149999999999</v>
      </c>
      <c r="AL351">
        <f>(100%+Dashboard!$D$5)*'Staging Data'!W351</f>
        <v>10.35</v>
      </c>
    </row>
    <row r="352" spans="1:38" x14ac:dyDescent="0.35">
      <c r="A352" s="6" t="s">
        <v>534</v>
      </c>
      <c r="B352" s="4">
        <v>45482</v>
      </c>
      <c r="C352" s="4">
        <v>45512</v>
      </c>
      <c r="D352" s="4">
        <f>IF(Table1[[#This Row],[RequiredDate]]&lt;Table1[[#This Row],[OrderDate]],Table1[[#This Row],[RequiredDate]],Table1[[#This Row],[OrderDate]])</f>
        <v>45482</v>
      </c>
      <c r="E352" s="4">
        <f>IF(Table1[[#This Row],[RequiredDate]]&gt;Table1[[#This Row],[OrderDate]],Table1[[#This Row],[RequiredDate]],Table1[[#This Row],[OrderDate]])</f>
        <v>45512</v>
      </c>
      <c r="F352" s="21">
        <f>Table1[[#This Row],[New RD]]-Table1[[#This Row],[new   od]]</f>
        <v>30</v>
      </c>
      <c r="G352" s="4">
        <f>IF(Table1[[#This Row],[RequiredDate]]&lt;Table1[[#This Row],[OrderDate]], Table1[[#This Row],[OrderDate]]+7, Table1[[#This Row],[RequiredDate]])</f>
        <v>45512</v>
      </c>
      <c r="H352" s="21">
        <f t="shared" si="56"/>
        <v>30</v>
      </c>
      <c r="I352" s="6" t="str">
        <f>IF(Table1[[#This Row],[New LTD]]&lt;=7,"Yes","No")</f>
        <v>No</v>
      </c>
      <c r="J352" s="6" t="str">
        <f t="shared" si="57"/>
        <v>No</v>
      </c>
      <c r="K352" t="s">
        <v>649</v>
      </c>
      <c r="L352" t="s">
        <v>657</v>
      </c>
      <c r="M352" t="s">
        <v>673</v>
      </c>
      <c r="N352" t="s">
        <v>701</v>
      </c>
      <c r="O352" t="s">
        <v>711</v>
      </c>
      <c r="P352" t="s">
        <v>713</v>
      </c>
      <c r="Q352" t="s">
        <v>727</v>
      </c>
      <c r="R352" t="s">
        <v>1253</v>
      </c>
      <c r="S352" s="6">
        <v>1062.3800000000001</v>
      </c>
      <c r="T352" s="6">
        <v>1503.96</v>
      </c>
      <c r="U352" s="6">
        <f t="shared" si="58"/>
        <v>1503.96</v>
      </c>
      <c r="V352" s="8">
        <v>0.18</v>
      </c>
      <c r="W352" s="6">
        <v>6</v>
      </c>
      <c r="X352" s="6">
        <f t="shared" si="59"/>
        <v>7399.4832000000006</v>
      </c>
      <c r="Y352">
        <f t="shared" si="60"/>
        <v>6374.2800000000007</v>
      </c>
      <c r="Z352" s="6">
        <f t="shared" si="61"/>
        <v>1025.2031999999999</v>
      </c>
      <c r="AA352">
        <f t="shared" si="62"/>
        <v>0.13855064905073369</v>
      </c>
      <c r="AB352" t="str">
        <f t="shared" si="63"/>
        <v>7-2024</v>
      </c>
      <c r="AC352" t="str">
        <f t="shared" si="64"/>
        <v>Q3-2024</v>
      </c>
      <c r="AD352" t="str">
        <f t="shared" si="65"/>
        <v>Europe →France →Marseille</v>
      </c>
      <c r="AE352" t="str">
        <f t="shared" si="66"/>
        <v>Medium</v>
      </c>
      <c r="AF352" t="str">
        <f>TEXT(Table1[[#This Row],[OrderDate]],"MMM")</f>
        <v>Jul</v>
      </c>
      <c r="AG352" t="str">
        <f>TEXT(Table1[[#This Row],[OrderDate]],"YYYY")</f>
        <v>2024</v>
      </c>
      <c r="AI352" s="4">
        <f>IF(Table1[[#This Row],[RequiredDate]]&lt;Table1[[#This Row],[OrderDate]], Table1[[#This Row],[OrderDate]]+7, Table1[[#This Row],[RequiredDate]])</f>
        <v>45512</v>
      </c>
      <c r="AJ352">
        <f>IF(Dashboard!$D$3&gt;'Staging Data'!V352,'Staging Data'!V352,Dashboard!D$3)</f>
        <v>0.18</v>
      </c>
      <c r="AK352" s="19">
        <f>(100%+Dashboard!$D$4)*'Staging Data'!S352</f>
        <v>1115.4990000000003</v>
      </c>
      <c r="AL352">
        <f>(100%+Dashboard!$D$5)*'Staging Data'!W352</f>
        <v>6.8999999999999995</v>
      </c>
    </row>
    <row r="353" spans="1:38" x14ac:dyDescent="0.35">
      <c r="A353" s="6" t="s">
        <v>536</v>
      </c>
      <c r="B353" s="4">
        <v>45482</v>
      </c>
      <c r="C353" s="4">
        <v>45485</v>
      </c>
      <c r="D353" s="4">
        <f>IF(Table1[[#This Row],[RequiredDate]]&lt;Table1[[#This Row],[OrderDate]],Table1[[#This Row],[RequiredDate]],Table1[[#This Row],[OrderDate]])</f>
        <v>45482</v>
      </c>
      <c r="E353" s="4">
        <f>IF(Table1[[#This Row],[RequiredDate]]&gt;Table1[[#This Row],[OrderDate]],Table1[[#This Row],[RequiredDate]],Table1[[#This Row],[OrderDate]])</f>
        <v>45485</v>
      </c>
      <c r="F353" s="21">
        <f>Table1[[#This Row],[New RD]]-Table1[[#This Row],[new   od]]</f>
        <v>3</v>
      </c>
      <c r="G353" s="4">
        <f>IF(Table1[[#This Row],[RequiredDate]]&lt;Table1[[#This Row],[OrderDate]], Table1[[#This Row],[OrderDate]]+7, Table1[[#This Row],[RequiredDate]])</f>
        <v>45485</v>
      </c>
      <c r="H353" s="21">
        <f t="shared" si="56"/>
        <v>3</v>
      </c>
      <c r="I353" s="6" t="str">
        <f>IF(Table1[[#This Row],[New LTD]]&lt;=7,"Yes","No")</f>
        <v>Yes</v>
      </c>
      <c r="J353" s="6" t="str">
        <f t="shared" si="57"/>
        <v>No</v>
      </c>
      <c r="K353" t="s">
        <v>647</v>
      </c>
      <c r="L353" t="s">
        <v>659</v>
      </c>
      <c r="M353" t="s">
        <v>685</v>
      </c>
      <c r="N353" t="s">
        <v>705</v>
      </c>
      <c r="O353" t="s">
        <v>707</v>
      </c>
      <c r="P353" t="s">
        <v>726</v>
      </c>
      <c r="Q353" t="s">
        <v>733</v>
      </c>
      <c r="R353" t="s">
        <v>1255</v>
      </c>
      <c r="S353" s="6">
        <v>748.39</v>
      </c>
      <c r="T353" s="6">
        <v>979.42</v>
      </c>
      <c r="U353" s="6">
        <f t="shared" si="58"/>
        <v>979.42</v>
      </c>
      <c r="V353" s="8">
        <v>0</v>
      </c>
      <c r="W353" s="6">
        <v>23</v>
      </c>
      <c r="X353" s="6">
        <f t="shared" si="59"/>
        <v>22526.66</v>
      </c>
      <c r="Y353">
        <f t="shared" si="60"/>
        <v>17212.97</v>
      </c>
      <c r="Z353" s="6">
        <f t="shared" si="61"/>
        <v>5313.6899999999987</v>
      </c>
      <c r="AA353">
        <f t="shared" si="62"/>
        <v>0.23588450307324738</v>
      </c>
      <c r="AB353" t="str">
        <f t="shared" si="63"/>
        <v>7-2024</v>
      </c>
      <c r="AC353" t="str">
        <f t="shared" si="64"/>
        <v>Q3-2024</v>
      </c>
      <c r="AD353" t="str">
        <f t="shared" si="65"/>
        <v>Asia →China →Shanghai</v>
      </c>
      <c r="AE353" t="str">
        <f t="shared" si="66"/>
        <v>Medium</v>
      </c>
      <c r="AF353" t="str">
        <f>TEXT(Table1[[#This Row],[OrderDate]],"MMM")</f>
        <v>Jul</v>
      </c>
      <c r="AG353" t="str">
        <f>TEXT(Table1[[#This Row],[OrderDate]],"YYYY")</f>
        <v>2024</v>
      </c>
      <c r="AI353" s="4">
        <f>IF(Table1[[#This Row],[RequiredDate]]&lt;Table1[[#This Row],[OrderDate]], Table1[[#This Row],[OrderDate]]+7, Table1[[#This Row],[RequiredDate]])</f>
        <v>45485</v>
      </c>
      <c r="AJ353">
        <f>IF(Dashboard!$D$3&gt;'Staging Data'!V353,'Staging Data'!V353,Dashboard!D$3)</f>
        <v>0</v>
      </c>
      <c r="AK353" s="19">
        <f>(100%+Dashboard!$D$4)*'Staging Data'!S353</f>
        <v>785.80950000000007</v>
      </c>
      <c r="AL353">
        <f>(100%+Dashboard!$D$5)*'Staging Data'!W353</f>
        <v>26.45</v>
      </c>
    </row>
    <row r="354" spans="1:38" x14ac:dyDescent="0.35">
      <c r="A354" s="6" t="s">
        <v>350</v>
      </c>
      <c r="B354" s="4">
        <v>45484</v>
      </c>
      <c r="C354" s="4">
        <v>45504</v>
      </c>
      <c r="D354" s="4">
        <f>IF(Table1[[#This Row],[RequiredDate]]&lt;Table1[[#This Row],[OrderDate]],Table1[[#This Row],[RequiredDate]],Table1[[#This Row],[OrderDate]])</f>
        <v>45484</v>
      </c>
      <c r="E354" s="4">
        <f>IF(Table1[[#This Row],[RequiredDate]]&gt;Table1[[#This Row],[OrderDate]],Table1[[#This Row],[RequiredDate]],Table1[[#This Row],[OrderDate]])</f>
        <v>45504</v>
      </c>
      <c r="F354" s="21">
        <f>Table1[[#This Row],[New RD]]-Table1[[#This Row],[new   od]]</f>
        <v>20</v>
      </c>
      <c r="G354" s="4">
        <f>IF(Table1[[#This Row],[RequiredDate]]&lt;Table1[[#This Row],[OrderDate]], Table1[[#This Row],[OrderDate]]+7, Table1[[#This Row],[RequiredDate]])</f>
        <v>45504</v>
      </c>
      <c r="H354" s="21">
        <f t="shared" si="56"/>
        <v>20</v>
      </c>
      <c r="I354" s="6" t="str">
        <f>IF(Table1[[#This Row],[New LTD]]&lt;=7,"Yes","No")</f>
        <v>No</v>
      </c>
      <c r="J354" s="6" t="str">
        <f t="shared" si="57"/>
        <v>No</v>
      </c>
      <c r="K354" t="s">
        <v>647</v>
      </c>
      <c r="L354" t="s">
        <v>659</v>
      </c>
      <c r="M354" t="s">
        <v>676</v>
      </c>
      <c r="N354" t="s">
        <v>704</v>
      </c>
      <c r="O354" t="s">
        <v>708</v>
      </c>
      <c r="P354" t="s">
        <v>715</v>
      </c>
      <c r="Q354" t="s">
        <v>730</v>
      </c>
      <c r="R354" t="s">
        <v>1070</v>
      </c>
      <c r="S354" s="6">
        <v>647.26</v>
      </c>
      <c r="T354" s="6">
        <v>1374.72</v>
      </c>
      <c r="U354" s="6">
        <f t="shared" si="58"/>
        <v>1374.72</v>
      </c>
      <c r="V354" s="8">
        <v>6.6000000000000003E-2</v>
      </c>
      <c r="W354" s="6">
        <v>22</v>
      </c>
      <c r="X354" s="6">
        <f t="shared" si="59"/>
        <v>28247.74656</v>
      </c>
      <c r="Y354">
        <f t="shared" si="60"/>
        <v>14239.72</v>
      </c>
      <c r="Z354" s="6">
        <f t="shared" si="61"/>
        <v>14008.02656</v>
      </c>
      <c r="AA354">
        <f t="shared" si="62"/>
        <v>0.49589890401508901</v>
      </c>
      <c r="AB354" t="str">
        <f t="shared" si="63"/>
        <v>7-2024</v>
      </c>
      <c r="AC354" t="str">
        <f t="shared" si="64"/>
        <v>Q3-2024</v>
      </c>
      <c r="AD354" t="str">
        <f t="shared" si="65"/>
        <v>Asia →China →Shenzhen</v>
      </c>
      <c r="AE354" t="str">
        <f t="shared" si="66"/>
        <v>Medium</v>
      </c>
      <c r="AF354" t="str">
        <f>TEXT(Table1[[#This Row],[OrderDate]],"MMM")</f>
        <v>Jul</v>
      </c>
      <c r="AG354" t="str">
        <f>TEXT(Table1[[#This Row],[OrderDate]],"YYYY")</f>
        <v>2024</v>
      </c>
      <c r="AI354" s="4">
        <f>IF(Table1[[#This Row],[RequiredDate]]&lt;Table1[[#This Row],[OrderDate]], Table1[[#This Row],[OrderDate]]+7, Table1[[#This Row],[RequiredDate]])</f>
        <v>45504</v>
      </c>
      <c r="AJ354">
        <f>IF(Dashboard!$D$3&gt;'Staging Data'!V354,'Staging Data'!V354,Dashboard!D$3)</f>
        <v>6.6000000000000003E-2</v>
      </c>
      <c r="AK354" s="19">
        <f>(100%+Dashboard!$D$4)*'Staging Data'!S354</f>
        <v>679.62300000000005</v>
      </c>
      <c r="AL354">
        <f>(100%+Dashboard!$D$5)*'Staging Data'!W354</f>
        <v>25.299999999999997</v>
      </c>
    </row>
    <row r="355" spans="1:38" x14ac:dyDescent="0.35">
      <c r="A355" s="6" t="s">
        <v>358</v>
      </c>
      <c r="B355" s="4">
        <v>45486</v>
      </c>
      <c r="C355" s="4">
        <v>45485</v>
      </c>
      <c r="D355" s="4">
        <f>IF(Table1[[#This Row],[RequiredDate]]&lt;Table1[[#This Row],[OrderDate]],Table1[[#This Row],[RequiredDate]],Table1[[#This Row],[OrderDate]])</f>
        <v>45485</v>
      </c>
      <c r="E355" s="4">
        <f>IF(Table1[[#This Row],[RequiredDate]]&gt;Table1[[#This Row],[OrderDate]],Table1[[#This Row],[RequiredDate]],Table1[[#This Row],[OrderDate]])</f>
        <v>45486</v>
      </c>
      <c r="F355" s="21">
        <f>Table1[[#This Row],[New RD]]-Table1[[#This Row],[new   od]]</f>
        <v>1</v>
      </c>
      <c r="G355" s="4">
        <f>IF(Table1[[#This Row],[RequiredDate]]&lt;Table1[[#This Row],[OrderDate]], Table1[[#This Row],[OrderDate]]+7, Table1[[#This Row],[RequiredDate]])</f>
        <v>45493</v>
      </c>
      <c r="H355" s="21">
        <f t="shared" si="56"/>
        <v>7</v>
      </c>
      <c r="I355" s="6" t="str">
        <f>IF(Table1[[#This Row],[New LTD]]&lt;=7,"Yes","No")</f>
        <v>Yes</v>
      </c>
      <c r="J355" s="6" t="str">
        <f t="shared" si="57"/>
        <v>No</v>
      </c>
      <c r="K355" t="s">
        <v>647</v>
      </c>
      <c r="L355" t="s">
        <v>652</v>
      </c>
      <c r="M355" t="s">
        <v>694</v>
      </c>
      <c r="N355" t="s">
        <v>705</v>
      </c>
      <c r="O355" t="s">
        <v>709</v>
      </c>
      <c r="P355" t="s">
        <v>721</v>
      </c>
      <c r="Q355" t="s">
        <v>729</v>
      </c>
      <c r="R355" t="s">
        <v>1078</v>
      </c>
      <c r="S355" s="6">
        <v>105.13</v>
      </c>
      <c r="T355" s="6">
        <v>244.13</v>
      </c>
      <c r="U355" s="6">
        <f t="shared" si="58"/>
        <v>244.13</v>
      </c>
      <c r="V355" s="8">
        <v>7.0999999999999994E-2</v>
      </c>
      <c r="W355" s="6">
        <v>14</v>
      </c>
      <c r="X355" s="6">
        <f t="shared" si="59"/>
        <v>3175.1547799999998</v>
      </c>
      <c r="Y355">
        <f t="shared" si="60"/>
        <v>1471.82</v>
      </c>
      <c r="Z355" s="6">
        <f t="shared" si="61"/>
        <v>1703.3347799999999</v>
      </c>
      <c r="AA355">
        <f t="shared" si="62"/>
        <v>0.53645724319618837</v>
      </c>
      <c r="AB355" t="str">
        <f t="shared" si="63"/>
        <v>7-2024</v>
      </c>
      <c r="AC355" t="str">
        <f t="shared" si="64"/>
        <v>Q3-2024</v>
      </c>
      <c r="AD355" t="str">
        <f t="shared" si="65"/>
        <v>Asia →Japan →Nagoya</v>
      </c>
      <c r="AE355" t="str">
        <f t="shared" si="66"/>
        <v>Low</v>
      </c>
      <c r="AF355" t="str">
        <f>TEXT(Table1[[#This Row],[OrderDate]],"MMM")</f>
        <v>Jul</v>
      </c>
      <c r="AG355" t="str">
        <f>TEXT(Table1[[#This Row],[OrderDate]],"YYYY")</f>
        <v>2024</v>
      </c>
      <c r="AI355" s="4">
        <f>IF(Table1[[#This Row],[RequiredDate]]&lt;Table1[[#This Row],[OrderDate]], Table1[[#This Row],[OrderDate]]+7, Table1[[#This Row],[RequiredDate]])</f>
        <v>45493</v>
      </c>
      <c r="AJ355">
        <f>IF(Dashboard!$D$3&gt;'Staging Data'!V355,'Staging Data'!V355,Dashboard!D$3)</f>
        <v>7.0999999999999994E-2</v>
      </c>
      <c r="AK355" s="19">
        <f>(100%+Dashboard!$D$4)*'Staging Data'!S355</f>
        <v>110.3865</v>
      </c>
      <c r="AL355">
        <f>(100%+Dashboard!$D$5)*'Staging Data'!W355</f>
        <v>16.099999999999998</v>
      </c>
    </row>
    <row r="356" spans="1:38" x14ac:dyDescent="0.35">
      <c r="A356" s="6" t="s">
        <v>563</v>
      </c>
      <c r="B356" s="4">
        <v>45486</v>
      </c>
      <c r="C356" s="4">
        <v>45507</v>
      </c>
      <c r="D356" s="4">
        <f>IF(Table1[[#This Row],[RequiredDate]]&lt;Table1[[#This Row],[OrderDate]],Table1[[#This Row],[RequiredDate]],Table1[[#This Row],[OrderDate]])</f>
        <v>45486</v>
      </c>
      <c r="E356" s="4">
        <f>IF(Table1[[#This Row],[RequiredDate]]&gt;Table1[[#This Row],[OrderDate]],Table1[[#This Row],[RequiredDate]],Table1[[#This Row],[OrderDate]])</f>
        <v>45507</v>
      </c>
      <c r="F356" s="21">
        <f>Table1[[#This Row],[New RD]]-Table1[[#This Row],[new   od]]</f>
        <v>21</v>
      </c>
      <c r="G356" s="4">
        <f>IF(Table1[[#This Row],[RequiredDate]]&lt;Table1[[#This Row],[OrderDate]], Table1[[#This Row],[OrderDate]]+7, Table1[[#This Row],[RequiredDate]])</f>
        <v>45507</v>
      </c>
      <c r="H356" s="21">
        <f t="shared" si="56"/>
        <v>21</v>
      </c>
      <c r="I356" s="6" t="str">
        <f>IF(Table1[[#This Row],[New LTD]]&lt;=7,"Yes","No")</f>
        <v>No</v>
      </c>
      <c r="J356" s="6" t="str">
        <f t="shared" si="57"/>
        <v>No</v>
      </c>
      <c r="K356" t="s">
        <v>648</v>
      </c>
      <c r="L356" t="s">
        <v>655</v>
      </c>
      <c r="M356" t="s">
        <v>692</v>
      </c>
      <c r="N356" t="s">
        <v>701</v>
      </c>
      <c r="O356" t="s">
        <v>709</v>
      </c>
      <c r="P356" t="s">
        <v>724</v>
      </c>
      <c r="Q356" t="s">
        <v>732</v>
      </c>
      <c r="R356" t="s">
        <v>1281</v>
      </c>
      <c r="S356" s="6">
        <v>702.98</v>
      </c>
      <c r="T356" s="6">
        <v>1104.8</v>
      </c>
      <c r="U356" s="6">
        <f t="shared" si="58"/>
        <v>1104.8</v>
      </c>
      <c r="V356" s="8">
        <v>0.17499999999999999</v>
      </c>
      <c r="W356" s="6">
        <v>12</v>
      </c>
      <c r="X356" s="6">
        <f t="shared" si="59"/>
        <v>10937.519999999999</v>
      </c>
      <c r="Y356">
        <f t="shared" si="60"/>
        <v>8435.76</v>
      </c>
      <c r="Z356" s="6">
        <f t="shared" si="61"/>
        <v>2501.7599999999984</v>
      </c>
      <c r="AA356">
        <f t="shared" si="62"/>
        <v>0.22873192460448061</v>
      </c>
      <c r="AB356" t="str">
        <f t="shared" si="63"/>
        <v>7-2024</v>
      </c>
      <c r="AC356" t="str">
        <f t="shared" si="64"/>
        <v>Q3-2024</v>
      </c>
      <c r="AD356" t="str">
        <f t="shared" si="65"/>
        <v>Americas →Brazil →Rio de Janeiro</v>
      </c>
      <c r="AE356" t="str">
        <f t="shared" si="66"/>
        <v>Medium</v>
      </c>
      <c r="AF356" t="str">
        <f>TEXT(Table1[[#This Row],[OrderDate]],"MMM")</f>
        <v>Jul</v>
      </c>
      <c r="AG356" t="str">
        <f>TEXT(Table1[[#This Row],[OrderDate]],"YYYY")</f>
        <v>2024</v>
      </c>
      <c r="AI356" s="4">
        <f>IF(Table1[[#This Row],[RequiredDate]]&lt;Table1[[#This Row],[OrderDate]], Table1[[#This Row],[OrderDate]]+7, Table1[[#This Row],[RequiredDate]])</f>
        <v>45507</v>
      </c>
      <c r="AJ356">
        <f>IF(Dashboard!$D$3&gt;'Staging Data'!V356,'Staging Data'!V356,Dashboard!D$3)</f>
        <v>0.17499999999999999</v>
      </c>
      <c r="AK356" s="19">
        <f>(100%+Dashboard!$D$4)*'Staging Data'!S356</f>
        <v>738.12900000000002</v>
      </c>
      <c r="AL356">
        <f>(100%+Dashboard!$D$5)*'Staging Data'!W356</f>
        <v>13.799999999999999</v>
      </c>
    </row>
    <row r="357" spans="1:38" x14ac:dyDescent="0.35">
      <c r="A357" s="6" t="s">
        <v>185</v>
      </c>
      <c r="B357" s="4">
        <v>45488</v>
      </c>
      <c r="C357" s="4">
        <v>45488</v>
      </c>
      <c r="D357" s="4">
        <f>IF(Table1[[#This Row],[RequiredDate]]&lt;Table1[[#This Row],[OrderDate]],Table1[[#This Row],[RequiredDate]],Table1[[#This Row],[OrderDate]])</f>
        <v>45488</v>
      </c>
      <c r="E357" s="4">
        <f>IF(Table1[[#This Row],[RequiredDate]]&gt;Table1[[#This Row],[OrderDate]],Table1[[#This Row],[RequiredDate]],Table1[[#This Row],[OrderDate]])</f>
        <v>45488</v>
      </c>
      <c r="F357" s="21">
        <f>Table1[[#This Row],[New RD]]-Table1[[#This Row],[new   od]]</f>
        <v>0</v>
      </c>
      <c r="G357" s="4">
        <f>IF(Table1[[#This Row],[RequiredDate]]&lt;Table1[[#This Row],[OrderDate]], Table1[[#This Row],[OrderDate]]+7, Table1[[#This Row],[RequiredDate]])</f>
        <v>45488</v>
      </c>
      <c r="H357" s="21">
        <f t="shared" si="56"/>
        <v>0</v>
      </c>
      <c r="I357" s="6" t="str">
        <f>IF(Table1[[#This Row],[New LTD]]&lt;=7,"Yes","No")</f>
        <v>Yes</v>
      </c>
      <c r="J357" s="6" t="str">
        <f t="shared" si="57"/>
        <v>Yes</v>
      </c>
      <c r="K357" t="s">
        <v>647</v>
      </c>
      <c r="L357" t="s">
        <v>652</v>
      </c>
      <c r="M357" t="s">
        <v>689</v>
      </c>
      <c r="N357" t="s">
        <v>705</v>
      </c>
      <c r="O357" t="s">
        <v>709</v>
      </c>
      <c r="P357" t="s">
        <v>715</v>
      </c>
      <c r="Q357" t="s">
        <v>733</v>
      </c>
      <c r="R357" t="s">
        <v>904</v>
      </c>
      <c r="S357" s="6">
        <v>801.77</v>
      </c>
      <c r="T357" s="6">
        <v>1218.92</v>
      </c>
      <c r="U357" s="6">
        <f t="shared" si="58"/>
        <v>1218.92</v>
      </c>
      <c r="V357" s="8">
        <v>0.254</v>
      </c>
      <c r="W357" s="6">
        <v>16</v>
      </c>
      <c r="X357" s="6">
        <f t="shared" si="59"/>
        <v>14549.029120000001</v>
      </c>
      <c r="Y357">
        <f t="shared" si="60"/>
        <v>12828.32</v>
      </c>
      <c r="Z357" s="6">
        <f t="shared" si="61"/>
        <v>1720.7091200000013</v>
      </c>
      <c r="AA357">
        <f t="shared" si="62"/>
        <v>0.11826968698788344</v>
      </c>
      <c r="AB357" t="str">
        <f t="shared" si="63"/>
        <v>7-2024</v>
      </c>
      <c r="AC357" t="str">
        <f t="shared" si="64"/>
        <v>Q3-2024</v>
      </c>
      <c r="AD357" t="str">
        <f t="shared" si="65"/>
        <v>Asia →Japan →Tokyo</v>
      </c>
      <c r="AE357" t="str">
        <f t="shared" si="66"/>
        <v>Medium</v>
      </c>
      <c r="AF357" t="str">
        <f>TEXT(Table1[[#This Row],[OrderDate]],"MMM")</f>
        <v>Jul</v>
      </c>
      <c r="AG357" t="str">
        <f>TEXT(Table1[[#This Row],[OrderDate]],"YYYY")</f>
        <v>2024</v>
      </c>
      <c r="AI357" s="4">
        <f>IF(Table1[[#This Row],[RequiredDate]]&lt;Table1[[#This Row],[OrderDate]], Table1[[#This Row],[OrderDate]]+7, Table1[[#This Row],[RequiredDate]])</f>
        <v>45488</v>
      </c>
      <c r="AJ357">
        <f>IF(Dashboard!$D$3&gt;'Staging Data'!V357,'Staging Data'!V357,Dashboard!D$3)</f>
        <v>0.2</v>
      </c>
      <c r="AK357" s="19">
        <f>(100%+Dashboard!$D$4)*'Staging Data'!S357</f>
        <v>841.85850000000005</v>
      </c>
      <c r="AL357">
        <f>(100%+Dashboard!$D$5)*'Staging Data'!W357</f>
        <v>18.399999999999999</v>
      </c>
    </row>
    <row r="358" spans="1:38" x14ac:dyDescent="0.35">
      <c r="A358" s="6" t="s">
        <v>398</v>
      </c>
      <c r="B358" s="4">
        <v>45491</v>
      </c>
      <c r="C358" s="4">
        <v>45511</v>
      </c>
      <c r="D358" s="4">
        <f>IF(Table1[[#This Row],[RequiredDate]]&lt;Table1[[#This Row],[OrderDate]],Table1[[#This Row],[RequiredDate]],Table1[[#This Row],[OrderDate]])</f>
        <v>45491</v>
      </c>
      <c r="E358" s="4">
        <f>IF(Table1[[#This Row],[RequiredDate]]&gt;Table1[[#This Row],[OrderDate]],Table1[[#This Row],[RequiredDate]],Table1[[#This Row],[OrderDate]])</f>
        <v>45511</v>
      </c>
      <c r="F358" s="21">
        <f>Table1[[#This Row],[New RD]]-Table1[[#This Row],[new   od]]</f>
        <v>20</v>
      </c>
      <c r="G358" s="4">
        <f>IF(Table1[[#This Row],[RequiredDate]]&lt;Table1[[#This Row],[OrderDate]], Table1[[#This Row],[OrderDate]]+7, Table1[[#This Row],[RequiredDate]])</f>
        <v>45511</v>
      </c>
      <c r="H358" s="21">
        <f t="shared" si="56"/>
        <v>20</v>
      </c>
      <c r="I358" s="6" t="str">
        <f>IF(Table1[[#This Row],[New LTD]]&lt;=7,"Yes","No")</f>
        <v>No</v>
      </c>
      <c r="J358" s="6" t="str">
        <f t="shared" si="57"/>
        <v>No</v>
      </c>
      <c r="K358" t="s">
        <v>649</v>
      </c>
      <c r="L358" t="s">
        <v>657</v>
      </c>
      <c r="M358" t="s">
        <v>673</v>
      </c>
      <c r="N358" t="s">
        <v>701</v>
      </c>
      <c r="O358" t="s">
        <v>707</v>
      </c>
      <c r="P358" t="s">
        <v>721</v>
      </c>
      <c r="Q358" t="s">
        <v>732</v>
      </c>
      <c r="R358" t="s">
        <v>1117</v>
      </c>
      <c r="S358" s="6">
        <v>941.35</v>
      </c>
      <c r="T358" s="6">
        <v>899.83</v>
      </c>
      <c r="U358" s="6">
        <f t="shared" si="58"/>
        <v>899.83</v>
      </c>
      <c r="V358" s="8">
        <v>5.8000000000000003E-2</v>
      </c>
      <c r="W358" s="6">
        <v>18</v>
      </c>
      <c r="X358" s="6">
        <f t="shared" si="59"/>
        <v>15257.51748</v>
      </c>
      <c r="Y358">
        <f t="shared" si="60"/>
        <v>16944.3</v>
      </c>
      <c r="Z358" s="6">
        <f t="shared" si="61"/>
        <v>-1686.7825199999988</v>
      </c>
      <c r="AA358">
        <f t="shared" si="62"/>
        <v>-0.11055419220139073</v>
      </c>
      <c r="AB358" t="str">
        <f t="shared" si="63"/>
        <v>7-2024</v>
      </c>
      <c r="AC358" t="str">
        <f t="shared" si="64"/>
        <v>Q3-2024</v>
      </c>
      <c r="AD358" t="str">
        <f t="shared" si="65"/>
        <v>Europe →France →Marseille</v>
      </c>
      <c r="AE358" t="str">
        <f t="shared" si="66"/>
        <v>Medium</v>
      </c>
      <c r="AF358" t="str">
        <f>TEXT(Table1[[#This Row],[OrderDate]],"MMM")</f>
        <v>Jul</v>
      </c>
      <c r="AG358" t="str">
        <f>TEXT(Table1[[#This Row],[OrderDate]],"YYYY")</f>
        <v>2024</v>
      </c>
      <c r="AI358" s="4">
        <f>IF(Table1[[#This Row],[RequiredDate]]&lt;Table1[[#This Row],[OrderDate]], Table1[[#This Row],[OrderDate]]+7, Table1[[#This Row],[RequiredDate]])</f>
        <v>45511</v>
      </c>
      <c r="AJ358">
        <f>IF(Dashboard!$D$3&gt;'Staging Data'!V358,'Staging Data'!V358,Dashboard!D$3)</f>
        <v>5.8000000000000003E-2</v>
      </c>
      <c r="AK358" s="19">
        <f>(100%+Dashboard!$D$4)*'Staging Data'!S358</f>
        <v>988.41750000000002</v>
      </c>
      <c r="AL358">
        <f>(100%+Dashboard!$D$5)*'Staging Data'!W358</f>
        <v>20.7</v>
      </c>
    </row>
    <row r="359" spans="1:38" x14ac:dyDescent="0.35">
      <c r="A359" s="6" t="s">
        <v>42</v>
      </c>
      <c r="B359" s="4">
        <v>45492</v>
      </c>
      <c r="C359" s="4">
        <v>45492</v>
      </c>
      <c r="D359" s="4">
        <f>IF(Table1[[#This Row],[RequiredDate]]&lt;Table1[[#This Row],[OrderDate]],Table1[[#This Row],[RequiredDate]],Table1[[#This Row],[OrderDate]])</f>
        <v>45492</v>
      </c>
      <c r="E359" s="4">
        <f>IF(Table1[[#This Row],[RequiredDate]]&gt;Table1[[#This Row],[OrderDate]],Table1[[#This Row],[RequiredDate]],Table1[[#This Row],[OrderDate]])</f>
        <v>45492</v>
      </c>
      <c r="F359" s="21">
        <f>Table1[[#This Row],[New RD]]-Table1[[#This Row],[new   od]]</f>
        <v>0</v>
      </c>
      <c r="G359" s="4">
        <f>IF(Table1[[#This Row],[RequiredDate]]&lt;Table1[[#This Row],[OrderDate]], Table1[[#This Row],[OrderDate]]+7, Table1[[#This Row],[RequiredDate]])</f>
        <v>45492</v>
      </c>
      <c r="H359" s="21">
        <f t="shared" si="56"/>
        <v>0</v>
      </c>
      <c r="I359" s="6" t="str">
        <f>IF(Table1[[#This Row],[New LTD]]&lt;=7,"Yes","No")</f>
        <v>Yes</v>
      </c>
      <c r="J359" s="6" t="str">
        <f t="shared" si="57"/>
        <v>No</v>
      </c>
      <c r="K359" t="s">
        <v>646</v>
      </c>
      <c r="L359" t="s">
        <v>650</v>
      </c>
      <c r="M359" t="s">
        <v>662</v>
      </c>
      <c r="N359" t="s">
        <v>705</v>
      </c>
      <c r="O359" t="s">
        <v>707</v>
      </c>
      <c r="P359" t="s">
        <v>720</v>
      </c>
      <c r="Q359" t="s">
        <v>730</v>
      </c>
      <c r="R359" t="s">
        <v>761</v>
      </c>
      <c r="S359" s="6">
        <v>857.24</v>
      </c>
      <c r="T359" s="6">
        <v>758.23</v>
      </c>
      <c r="U359" s="6">
        <f t="shared" si="58"/>
        <v>758.23</v>
      </c>
      <c r="V359" s="8">
        <v>0.125</v>
      </c>
      <c r="W359" s="6">
        <v>6</v>
      </c>
      <c r="X359" s="6">
        <f t="shared" si="59"/>
        <v>3980.7075</v>
      </c>
      <c r="Y359">
        <f t="shared" si="60"/>
        <v>5143.4400000000005</v>
      </c>
      <c r="Z359" s="6">
        <f t="shared" si="61"/>
        <v>-1162.7325000000005</v>
      </c>
      <c r="AA359">
        <f t="shared" si="62"/>
        <v>-0.29209192084572921</v>
      </c>
      <c r="AB359" t="str">
        <f t="shared" si="63"/>
        <v>7-2024</v>
      </c>
      <c r="AC359" t="str">
        <f t="shared" si="64"/>
        <v>Q3-2024</v>
      </c>
      <c r="AD359" t="str">
        <f t="shared" si="65"/>
        <v>Africa →Kenya →Kisumu</v>
      </c>
      <c r="AE359" t="str">
        <f t="shared" si="66"/>
        <v>Low</v>
      </c>
      <c r="AF359" t="str">
        <f>TEXT(Table1[[#This Row],[OrderDate]],"MMM")</f>
        <v>Jul</v>
      </c>
      <c r="AG359" t="str">
        <f>TEXT(Table1[[#This Row],[OrderDate]],"YYYY")</f>
        <v>2024</v>
      </c>
      <c r="AI359" s="4">
        <f>IF(Table1[[#This Row],[RequiredDate]]&lt;Table1[[#This Row],[OrderDate]], Table1[[#This Row],[OrderDate]]+7, Table1[[#This Row],[RequiredDate]])</f>
        <v>45492</v>
      </c>
      <c r="AJ359">
        <f>IF(Dashboard!$D$3&gt;'Staging Data'!V359,'Staging Data'!V359,Dashboard!D$3)</f>
        <v>0.125</v>
      </c>
      <c r="AK359" s="19">
        <f>(100%+Dashboard!$D$4)*'Staging Data'!S359</f>
        <v>900.10200000000009</v>
      </c>
      <c r="AL359">
        <f>(100%+Dashboard!$D$5)*'Staging Data'!W359</f>
        <v>6.8999999999999995</v>
      </c>
    </row>
    <row r="360" spans="1:38" x14ac:dyDescent="0.35">
      <c r="A360" s="6" t="s">
        <v>417</v>
      </c>
      <c r="B360" s="4">
        <v>45497</v>
      </c>
      <c r="C360" s="4">
        <v>45512</v>
      </c>
      <c r="D360" s="4">
        <f>IF(Table1[[#This Row],[RequiredDate]]&lt;Table1[[#This Row],[OrderDate]],Table1[[#This Row],[RequiredDate]],Table1[[#This Row],[OrderDate]])</f>
        <v>45497</v>
      </c>
      <c r="E360" s="4">
        <f>IF(Table1[[#This Row],[RequiredDate]]&gt;Table1[[#This Row],[OrderDate]],Table1[[#This Row],[RequiredDate]],Table1[[#This Row],[OrderDate]])</f>
        <v>45512</v>
      </c>
      <c r="F360" s="21">
        <f>Table1[[#This Row],[New RD]]-Table1[[#This Row],[new   od]]</f>
        <v>15</v>
      </c>
      <c r="G360" s="4">
        <f>IF(Table1[[#This Row],[RequiredDate]]&lt;Table1[[#This Row],[OrderDate]], Table1[[#This Row],[OrderDate]]+7, Table1[[#This Row],[RequiredDate]])</f>
        <v>45512</v>
      </c>
      <c r="H360" s="21">
        <f t="shared" si="56"/>
        <v>15</v>
      </c>
      <c r="I360" s="6" t="str">
        <f>IF(Table1[[#This Row],[New LTD]]&lt;=7,"Yes","No")</f>
        <v>No</v>
      </c>
      <c r="J360" s="6" t="str">
        <f t="shared" si="57"/>
        <v>No</v>
      </c>
      <c r="K360" t="s">
        <v>649</v>
      </c>
      <c r="L360" t="s">
        <v>657</v>
      </c>
      <c r="M360" t="s">
        <v>673</v>
      </c>
      <c r="N360" t="s">
        <v>706</v>
      </c>
      <c r="O360" t="s">
        <v>709</v>
      </c>
      <c r="P360" t="s">
        <v>722</v>
      </c>
      <c r="Q360" t="s">
        <v>731</v>
      </c>
      <c r="R360" t="s">
        <v>1136</v>
      </c>
      <c r="S360" s="6">
        <v>501.5</v>
      </c>
      <c r="T360" s="6">
        <v>1201.47</v>
      </c>
      <c r="U360" s="6">
        <f t="shared" si="58"/>
        <v>1201.47</v>
      </c>
      <c r="V360" s="8">
        <v>0.126</v>
      </c>
      <c r="W360" s="6">
        <v>5</v>
      </c>
      <c r="X360" s="6">
        <f t="shared" si="59"/>
        <v>5250.4239000000007</v>
      </c>
      <c r="Y360">
        <f t="shared" si="60"/>
        <v>2507.5</v>
      </c>
      <c r="Z360" s="6">
        <f t="shared" si="61"/>
        <v>2742.9239000000007</v>
      </c>
      <c r="AA360">
        <f t="shared" si="62"/>
        <v>0.52241951359394057</v>
      </c>
      <c r="AB360" t="str">
        <f t="shared" si="63"/>
        <v>7-2024</v>
      </c>
      <c r="AC360" t="str">
        <f t="shared" si="64"/>
        <v>Q3-2024</v>
      </c>
      <c r="AD360" t="str">
        <f t="shared" si="65"/>
        <v>Europe →France →Marseille</v>
      </c>
      <c r="AE360" t="str">
        <f t="shared" si="66"/>
        <v>Medium</v>
      </c>
      <c r="AF360" t="str">
        <f>TEXT(Table1[[#This Row],[OrderDate]],"MMM")</f>
        <v>Jul</v>
      </c>
      <c r="AG360" t="str">
        <f>TEXT(Table1[[#This Row],[OrderDate]],"YYYY")</f>
        <v>2024</v>
      </c>
      <c r="AI360" s="4">
        <f>IF(Table1[[#This Row],[RequiredDate]]&lt;Table1[[#This Row],[OrderDate]], Table1[[#This Row],[OrderDate]]+7, Table1[[#This Row],[RequiredDate]])</f>
        <v>45512</v>
      </c>
      <c r="AJ360">
        <f>IF(Dashboard!$D$3&gt;'Staging Data'!V360,'Staging Data'!V360,Dashboard!D$3)</f>
        <v>0.126</v>
      </c>
      <c r="AK360" s="19">
        <f>(100%+Dashboard!$D$4)*'Staging Data'!S360</f>
        <v>526.57500000000005</v>
      </c>
      <c r="AL360">
        <f>(100%+Dashboard!$D$5)*'Staging Data'!W360</f>
        <v>5.75</v>
      </c>
    </row>
    <row r="361" spans="1:38" x14ac:dyDescent="0.35">
      <c r="A361" s="6" t="s">
        <v>35</v>
      </c>
      <c r="B361" s="4">
        <v>45498</v>
      </c>
      <c r="C361" s="4">
        <v>45497</v>
      </c>
      <c r="D361" s="4">
        <f>IF(Table1[[#This Row],[RequiredDate]]&lt;Table1[[#This Row],[OrderDate]],Table1[[#This Row],[RequiredDate]],Table1[[#This Row],[OrderDate]])</f>
        <v>45497</v>
      </c>
      <c r="E361" s="4">
        <f>IF(Table1[[#This Row],[RequiredDate]]&gt;Table1[[#This Row],[OrderDate]],Table1[[#This Row],[RequiredDate]],Table1[[#This Row],[OrderDate]])</f>
        <v>45498</v>
      </c>
      <c r="F361" s="21">
        <f>Table1[[#This Row],[New RD]]-Table1[[#This Row],[new   od]]</f>
        <v>1</v>
      </c>
      <c r="G361" s="4">
        <f>IF(Table1[[#This Row],[RequiredDate]]&lt;Table1[[#This Row],[OrderDate]], Table1[[#This Row],[OrderDate]]+7, Table1[[#This Row],[RequiredDate]])</f>
        <v>45505</v>
      </c>
      <c r="H361" s="21">
        <f t="shared" si="56"/>
        <v>7</v>
      </c>
      <c r="I361" s="6" t="str">
        <f>IF(Table1[[#This Row],[New LTD]]&lt;=7,"Yes","No")</f>
        <v>Yes</v>
      </c>
      <c r="J361" s="6" t="str">
        <f t="shared" si="57"/>
        <v>No</v>
      </c>
      <c r="K361" t="s">
        <v>646</v>
      </c>
      <c r="L361" t="s">
        <v>650</v>
      </c>
      <c r="M361" t="s">
        <v>675</v>
      </c>
      <c r="N361" t="s">
        <v>703</v>
      </c>
      <c r="O361" t="s">
        <v>711</v>
      </c>
      <c r="P361" t="s">
        <v>713</v>
      </c>
      <c r="Q361" t="s">
        <v>731</v>
      </c>
      <c r="R361" t="s">
        <v>754</v>
      </c>
      <c r="S361" s="6">
        <v>1494.4</v>
      </c>
      <c r="T361" s="6">
        <v>3661.07</v>
      </c>
      <c r="U361" s="6">
        <f t="shared" si="58"/>
        <v>3661.07</v>
      </c>
      <c r="V361" s="8">
        <v>7.1999999999999995E-2</v>
      </c>
      <c r="W361" s="6">
        <v>7</v>
      </c>
      <c r="X361" s="6">
        <f t="shared" si="59"/>
        <v>23782.310720000001</v>
      </c>
      <c r="Y361">
        <f t="shared" si="60"/>
        <v>10460.800000000001</v>
      </c>
      <c r="Z361" s="6">
        <f t="shared" si="61"/>
        <v>13321.51072</v>
      </c>
      <c r="AA361">
        <f t="shared" si="62"/>
        <v>0.56014366630897339</v>
      </c>
      <c r="AB361" t="str">
        <f t="shared" si="63"/>
        <v>7-2024</v>
      </c>
      <c r="AC361" t="str">
        <f t="shared" si="64"/>
        <v>Q3-2024</v>
      </c>
      <c r="AD361" t="str">
        <f t="shared" si="65"/>
        <v>Africa →Kenya →Mombasa</v>
      </c>
      <c r="AE361" t="str">
        <f t="shared" si="66"/>
        <v>High</v>
      </c>
      <c r="AF361" t="str">
        <f>TEXT(Table1[[#This Row],[OrderDate]],"MMM")</f>
        <v>Jul</v>
      </c>
      <c r="AG361" t="str">
        <f>TEXT(Table1[[#This Row],[OrderDate]],"YYYY")</f>
        <v>2024</v>
      </c>
      <c r="AI361" s="4">
        <f>IF(Table1[[#This Row],[RequiredDate]]&lt;Table1[[#This Row],[OrderDate]], Table1[[#This Row],[OrderDate]]+7, Table1[[#This Row],[RequiredDate]])</f>
        <v>45505</v>
      </c>
      <c r="AJ361">
        <f>IF(Dashboard!$D$3&gt;'Staging Data'!V361,'Staging Data'!V361,Dashboard!D$3)</f>
        <v>7.1999999999999995E-2</v>
      </c>
      <c r="AK361" s="19">
        <f>(100%+Dashboard!$D$4)*'Staging Data'!S361</f>
        <v>1569.1200000000001</v>
      </c>
      <c r="AL361">
        <f>(100%+Dashboard!$D$5)*'Staging Data'!W361</f>
        <v>8.0499999999999989</v>
      </c>
    </row>
    <row r="362" spans="1:38" x14ac:dyDescent="0.35">
      <c r="A362" s="6" t="s">
        <v>360</v>
      </c>
      <c r="B362" s="4">
        <v>45498</v>
      </c>
      <c r="C362" s="4">
        <v>45506</v>
      </c>
      <c r="D362" s="4">
        <f>IF(Table1[[#This Row],[RequiredDate]]&lt;Table1[[#This Row],[OrderDate]],Table1[[#This Row],[RequiredDate]],Table1[[#This Row],[OrderDate]])</f>
        <v>45498</v>
      </c>
      <c r="E362" s="4">
        <f>IF(Table1[[#This Row],[RequiredDate]]&gt;Table1[[#This Row],[OrderDate]],Table1[[#This Row],[RequiredDate]],Table1[[#This Row],[OrderDate]])</f>
        <v>45506</v>
      </c>
      <c r="F362" s="21">
        <f>Table1[[#This Row],[New RD]]-Table1[[#This Row],[new   od]]</f>
        <v>8</v>
      </c>
      <c r="G362" s="4">
        <f>IF(Table1[[#This Row],[RequiredDate]]&lt;Table1[[#This Row],[OrderDate]], Table1[[#This Row],[OrderDate]]+7, Table1[[#This Row],[RequiredDate]])</f>
        <v>45506</v>
      </c>
      <c r="H362" s="21">
        <f t="shared" si="56"/>
        <v>8</v>
      </c>
      <c r="I362" s="6" t="str">
        <f>IF(Table1[[#This Row],[New LTD]]&lt;=7,"Yes","No")</f>
        <v>No</v>
      </c>
      <c r="J362" s="6" t="str">
        <f t="shared" si="57"/>
        <v>No</v>
      </c>
      <c r="K362" t="s">
        <v>648</v>
      </c>
      <c r="L362" t="s">
        <v>653</v>
      </c>
      <c r="M362" t="s">
        <v>681</v>
      </c>
      <c r="N362" t="s">
        <v>704</v>
      </c>
      <c r="O362" t="s">
        <v>711</v>
      </c>
      <c r="P362" t="s">
        <v>713</v>
      </c>
      <c r="Q362" t="s">
        <v>733</v>
      </c>
      <c r="R362" t="s">
        <v>1080</v>
      </c>
      <c r="S362" s="6">
        <v>986.81</v>
      </c>
      <c r="T362" s="6">
        <v>2050.31</v>
      </c>
      <c r="U362" s="6">
        <f t="shared" si="58"/>
        <v>2050.31</v>
      </c>
      <c r="V362" s="8">
        <v>0.10299999999999999</v>
      </c>
      <c r="W362" s="6">
        <v>43</v>
      </c>
      <c r="X362" s="6">
        <f t="shared" si="59"/>
        <v>79082.507010000001</v>
      </c>
      <c r="Y362">
        <f t="shared" si="60"/>
        <v>42432.829999999994</v>
      </c>
      <c r="Z362" s="6">
        <f t="shared" si="61"/>
        <v>36649.677010000007</v>
      </c>
      <c r="AA362">
        <f t="shared" si="62"/>
        <v>0.46343595310358138</v>
      </c>
      <c r="AB362" t="str">
        <f t="shared" si="63"/>
        <v>7-2024</v>
      </c>
      <c r="AC362" t="str">
        <f t="shared" si="64"/>
        <v>Q3-2024</v>
      </c>
      <c r="AD362" t="str">
        <f t="shared" si="65"/>
        <v>Americas →Canada →Montreal</v>
      </c>
      <c r="AE362" t="str">
        <f t="shared" si="66"/>
        <v>High</v>
      </c>
      <c r="AF362" t="str">
        <f>TEXT(Table1[[#This Row],[OrderDate]],"MMM")</f>
        <v>Jul</v>
      </c>
      <c r="AG362" t="str">
        <f>TEXT(Table1[[#This Row],[OrderDate]],"YYYY")</f>
        <v>2024</v>
      </c>
      <c r="AI362" s="4">
        <f>IF(Table1[[#This Row],[RequiredDate]]&lt;Table1[[#This Row],[OrderDate]], Table1[[#This Row],[OrderDate]]+7, Table1[[#This Row],[RequiredDate]])</f>
        <v>45506</v>
      </c>
      <c r="AJ362">
        <f>IF(Dashboard!$D$3&gt;'Staging Data'!V362,'Staging Data'!V362,Dashboard!D$3)</f>
        <v>0.10299999999999999</v>
      </c>
      <c r="AK362" s="19">
        <f>(100%+Dashboard!$D$4)*'Staging Data'!S362</f>
        <v>1036.1505</v>
      </c>
      <c r="AL362">
        <f>(100%+Dashboard!$D$5)*'Staging Data'!W362</f>
        <v>49.449999999999996</v>
      </c>
    </row>
    <row r="363" spans="1:38" x14ac:dyDescent="0.35">
      <c r="A363" s="6" t="s">
        <v>636</v>
      </c>
      <c r="B363" s="4">
        <v>45501</v>
      </c>
      <c r="C363" s="4">
        <v>45527</v>
      </c>
      <c r="D363" s="4">
        <f>IF(Table1[[#This Row],[RequiredDate]]&lt;Table1[[#This Row],[OrderDate]],Table1[[#This Row],[RequiredDate]],Table1[[#This Row],[OrderDate]])</f>
        <v>45501</v>
      </c>
      <c r="E363" s="4">
        <f>IF(Table1[[#This Row],[RequiredDate]]&gt;Table1[[#This Row],[OrderDate]],Table1[[#This Row],[RequiredDate]],Table1[[#This Row],[OrderDate]])</f>
        <v>45527</v>
      </c>
      <c r="F363" s="21">
        <f>Table1[[#This Row],[New RD]]-Table1[[#This Row],[new   od]]</f>
        <v>26</v>
      </c>
      <c r="G363" s="4">
        <f>IF(Table1[[#This Row],[RequiredDate]]&lt;Table1[[#This Row],[OrderDate]], Table1[[#This Row],[OrderDate]]+7, Table1[[#This Row],[RequiredDate]])</f>
        <v>45527</v>
      </c>
      <c r="H363" s="21">
        <f t="shared" si="56"/>
        <v>26</v>
      </c>
      <c r="I363" s="6" t="str">
        <f>IF(Table1[[#This Row],[New LTD]]&lt;=7,"Yes","No")</f>
        <v>No</v>
      </c>
      <c r="J363" s="6" t="str">
        <f t="shared" si="57"/>
        <v>No</v>
      </c>
      <c r="K363" t="s">
        <v>647</v>
      </c>
      <c r="L363" t="s">
        <v>654</v>
      </c>
      <c r="M363" t="s">
        <v>696</v>
      </c>
      <c r="N363" t="s">
        <v>701</v>
      </c>
      <c r="O363" t="s">
        <v>707</v>
      </c>
      <c r="P363" t="s">
        <v>713</v>
      </c>
      <c r="Q363" t="s">
        <v>729</v>
      </c>
      <c r="R363" t="s">
        <v>1354</v>
      </c>
      <c r="S363" s="6">
        <v>1339.24</v>
      </c>
      <c r="T363" s="6">
        <v>1558.89</v>
      </c>
      <c r="U363" s="6">
        <f t="shared" si="58"/>
        <v>1558.89</v>
      </c>
      <c r="V363" s="8">
        <v>0.192</v>
      </c>
      <c r="W363" s="6">
        <v>24</v>
      </c>
      <c r="X363" s="6">
        <f t="shared" si="59"/>
        <v>30229.994880000002</v>
      </c>
      <c r="Y363">
        <f t="shared" si="60"/>
        <v>32141.760000000002</v>
      </c>
      <c r="Z363" s="6">
        <f t="shared" si="61"/>
        <v>-1911.76512</v>
      </c>
      <c r="AA363">
        <f t="shared" si="62"/>
        <v>-6.3240669659021781E-2</v>
      </c>
      <c r="AB363" t="str">
        <f t="shared" si="63"/>
        <v>7-2024</v>
      </c>
      <c r="AC363" t="str">
        <f t="shared" si="64"/>
        <v>Q3-2024</v>
      </c>
      <c r="AD363" t="str">
        <f t="shared" si="65"/>
        <v>Asia →India →Hyderabad</v>
      </c>
      <c r="AE363" t="str">
        <f t="shared" si="66"/>
        <v>Medium</v>
      </c>
      <c r="AF363" t="str">
        <f>TEXT(Table1[[#This Row],[OrderDate]],"MMM")</f>
        <v>Jul</v>
      </c>
      <c r="AG363" t="str">
        <f>TEXT(Table1[[#This Row],[OrderDate]],"YYYY")</f>
        <v>2024</v>
      </c>
      <c r="AI363" s="4">
        <f>IF(Table1[[#This Row],[RequiredDate]]&lt;Table1[[#This Row],[OrderDate]], Table1[[#This Row],[OrderDate]]+7, Table1[[#This Row],[RequiredDate]])</f>
        <v>45527</v>
      </c>
      <c r="AJ363">
        <f>IF(Dashboard!$D$3&gt;'Staging Data'!V363,'Staging Data'!V363,Dashboard!D$3)</f>
        <v>0.192</v>
      </c>
      <c r="AK363" s="19">
        <f>(100%+Dashboard!$D$4)*'Staging Data'!S363</f>
        <v>1406.202</v>
      </c>
      <c r="AL363">
        <f>(100%+Dashboard!$D$5)*'Staging Data'!W363</f>
        <v>27.599999999999998</v>
      </c>
    </row>
    <row r="364" spans="1:38" x14ac:dyDescent="0.35">
      <c r="A364" s="6" t="s">
        <v>267</v>
      </c>
      <c r="B364" s="4">
        <v>45502</v>
      </c>
      <c r="C364" s="4">
        <v>45504</v>
      </c>
      <c r="D364" s="4">
        <f>IF(Table1[[#This Row],[RequiredDate]]&lt;Table1[[#This Row],[OrderDate]],Table1[[#This Row],[RequiredDate]],Table1[[#This Row],[OrderDate]])</f>
        <v>45502</v>
      </c>
      <c r="E364" s="4">
        <f>IF(Table1[[#This Row],[RequiredDate]]&gt;Table1[[#This Row],[OrderDate]],Table1[[#This Row],[RequiredDate]],Table1[[#This Row],[OrderDate]])</f>
        <v>45504</v>
      </c>
      <c r="F364" s="21">
        <f>Table1[[#This Row],[New RD]]-Table1[[#This Row],[new   od]]</f>
        <v>2</v>
      </c>
      <c r="G364" s="4">
        <f>IF(Table1[[#This Row],[RequiredDate]]&lt;Table1[[#This Row],[OrderDate]], Table1[[#This Row],[OrderDate]]+7, Table1[[#This Row],[RequiredDate]])</f>
        <v>45504</v>
      </c>
      <c r="H364" s="21">
        <f t="shared" si="56"/>
        <v>2</v>
      </c>
      <c r="I364" s="6" t="str">
        <f>IF(Table1[[#This Row],[New LTD]]&lt;=7,"Yes","No")</f>
        <v>Yes</v>
      </c>
      <c r="J364" s="6" t="str">
        <f t="shared" si="57"/>
        <v>No</v>
      </c>
      <c r="K364" t="s">
        <v>648</v>
      </c>
      <c r="L364" t="s">
        <v>660</v>
      </c>
      <c r="M364" t="s">
        <v>700</v>
      </c>
      <c r="N364" t="s">
        <v>702</v>
      </c>
      <c r="O364" t="s">
        <v>709</v>
      </c>
      <c r="P364" t="s">
        <v>714</v>
      </c>
      <c r="Q364" t="s">
        <v>728</v>
      </c>
      <c r="R364" t="s">
        <v>987</v>
      </c>
      <c r="S364" s="6">
        <v>798.97</v>
      </c>
      <c r="T364" s="6">
        <v>1814.06</v>
      </c>
      <c r="U364" s="6">
        <f t="shared" si="58"/>
        <v>1814.06</v>
      </c>
      <c r="V364" s="8">
        <v>0.122</v>
      </c>
      <c r="W364" s="6">
        <v>16</v>
      </c>
      <c r="X364" s="6">
        <f t="shared" si="59"/>
        <v>25483.91488</v>
      </c>
      <c r="Y364">
        <f t="shared" si="60"/>
        <v>12783.52</v>
      </c>
      <c r="Z364" s="6">
        <f t="shared" si="61"/>
        <v>12700.39488</v>
      </c>
      <c r="AA364">
        <f t="shared" si="62"/>
        <v>0.49836906691159061</v>
      </c>
      <c r="AB364" t="str">
        <f t="shared" si="63"/>
        <v>7-2024</v>
      </c>
      <c r="AC364" t="str">
        <f t="shared" si="64"/>
        <v>Q3-2024</v>
      </c>
      <c r="AD364" t="str">
        <f t="shared" si="65"/>
        <v>Americas →USA →New York</v>
      </c>
      <c r="AE364" t="str">
        <f t="shared" si="66"/>
        <v>High</v>
      </c>
      <c r="AF364" t="str">
        <f>TEXT(Table1[[#This Row],[OrderDate]],"MMM")</f>
        <v>Jul</v>
      </c>
      <c r="AG364" t="str">
        <f>TEXT(Table1[[#This Row],[OrderDate]],"YYYY")</f>
        <v>2024</v>
      </c>
      <c r="AI364" s="4">
        <f>IF(Table1[[#This Row],[RequiredDate]]&lt;Table1[[#This Row],[OrderDate]], Table1[[#This Row],[OrderDate]]+7, Table1[[#This Row],[RequiredDate]])</f>
        <v>45504</v>
      </c>
      <c r="AJ364">
        <f>IF(Dashboard!$D$3&gt;'Staging Data'!V364,'Staging Data'!V364,Dashboard!D$3)</f>
        <v>0.122</v>
      </c>
      <c r="AK364" s="19">
        <f>(100%+Dashboard!$D$4)*'Staging Data'!S364</f>
        <v>838.91850000000011</v>
      </c>
      <c r="AL364">
        <f>(100%+Dashboard!$D$5)*'Staging Data'!W364</f>
        <v>18.399999999999999</v>
      </c>
    </row>
    <row r="365" spans="1:38" x14ac:dyDescent="0.35">
      <c r="A365" s="6" t="s">
        <v>607</v>
      </c>
      <c r="B365" s="4">
        <v>45504</v>
      </c>
      <c r="C365" s="4">
        <v>45519</v>
      </c>
      <c r="D365" s="4">
        <f>IF(Table1[[#This Row],[RequiredDate]]&lt;Table1[[#This Row],[OrderDate]],Table1[[#This Row],[RequiredDate]],Table1[[#This Row],[OrderDate]])</f>
        <v>45504</v>
      </c>
      <c r="E365" s="4">
        <f>IF(Table1[[#This Row],[RequiredDate]]&gt;Table1[[#This Row],[OrderDate]],Table1[[#This Row],[RequiredDate]],Table1[[#This Row],[OrderDate]])</f>
        <v>45519</v>
      </c>
      <c r="F365" s="21">
        <f>Table1[[#This Row],[New RD]]-Table1[[#This Row],[new   od]]</f>
        <v>15</v>
      </c>
      <c r="G365" s="4">
        <f>IF(Table1[[#This Row],[RequiredDate]]&lt;Table1[[#This Row],[OrderDate]], Table1[[#This Row],[OrderDate]]+7, Table1[[#This Row],[RequiredDate]])</f>
        <v>45519</v>
      </c>
      <c r="H365" s="21">
        <f t="shared" si="56"/>
        <v>15</v>
      </c>
      <c r="I365" s="6" t="str">
        <f>IF(Table1[[#This Row],[New LTD]]&lt;=7,"Yes","No")</f>
        <v>No</v>
      </c>
      <c r="J365" s="6" t="str">
        <f t="shared" si="57"/>
        <v>No</v>
      </c>
      <c r="K365" t="s">
        <v>647</v>
      </c>
      <c r="L365" t="s">
        <v>652</v>
      </c>
      <c r="M365" t="s">
        <v>689</v>
      </c>
      <c r="N365" t="s">
        <v>701</v>
      </c>
      <c r="O365" t="s">
        <v>709</v>
      </c>
      <c r="P365" t="s">
        <v>721</v>
      </c>
      <c r="Q365" t="s">
        <v>732</v>
      </c>
      <c r="R365" t="s">
        <v>1325</v>
      </c>
      <c r="S365" s="6">
        <v>1252.52</v>
      </c>
      <c r="T365" s="6">
        <v>1417.24</v>
      </c>
      <c r="U365" s="6">
        <f t="shared" si="58"/>
        <v>1417.24</v>
      </c>
      <c r="V365" s="8">
        <v>0.192</v>
      </c>
      <c r="W365" s="6">
        <v>5</v>
      </c>
      <c r="X365" s="6">
        <f t="shared" si="59"/>
        <v>5725.6496000000006</v>
      </c>
      <c r="Y365">
        <f t="shared" si="60"/>
        <v>6262.6</v>
      </c>
      <c r="Z365" s="6">
        <f t="shared" si="61"/>
        <v>-536.95039999999972</v>
      </c>
      <c r="AA365">
        <f t="shared" si="62"/>
        <v>-9.3779821943696953E-2</v>
      </c>
      <c r="AB365" t="str">
        <f t="shared" si="63"/>
        <v>7-2024</v>
      </c>
      <c r="AC365" t="str">
        <f t="shared" si="64"/>
        <v>Q3-2024</v>
      </c>
      <c r="AD365" t="str">
        <f t="shared" si="65"/>
        <v>Asia →Japan →Tokyo</v>
      </c>
      <c r="AE365" t="str">
        <f t="shared" si="66"/>
        <v>Medium</v>
      </c>
      <c r="AF365" t="str">
        <f>TEXT(Table1[[#This Row],[OrderDate]],"MMM")</f>
        <v>Jul</v>
      </c>
      <c r="AG365" t="str">
        <f>TEXT(Table1[[#This Row],[OrderDate]],"YYYY")</f>
        <v>2024</v>
      </c>
      <c r="AI365" s="4">
        <f>IF(Table1[[#This Row],[RequiredDate]]&lt;Table1[[#This Row],[OrderDate]], Table1[[#This Row],[OrderDate]]+7, Table1[[#This Row],[RequiredDate]])</f>
        <v>45519</v>
      </c>
      <c r="AJ365">
        <f>IF(Dashboard!$D$3&gt;'Staging Data'!V365,'Staging Data'!V365,Dashboard!D$3)</f>
        <v>0.192</v>
      </c>
      <c r="AK365" s="19">
        <f>(100%+Dashboard!$D$4)*'Staging Data'!S365</f>
        <v>1315.146</v>
      </c>
      <c r="AL365">
        <f>(100%+Dashboard!$D$5)*'Staging Data'!W365</f>
        <v>5.75</v>
      </c>
    </row>
    <row r="366" spans="1:38" x14ac:dyDescent="0.35">
      <c r="A366" s="6" t="s">
        <v>598</v>
      </c>
      <c r="B366" s="4">
        <v>45507</v>
      </c>
      <c r="C366" s="4">
        <v>45513</v>
      </c>
      <c r="D366" s="4">
        <f>IF(Table1[[#This Row],[RequiredDate]]&lt;Table1[[#This Row],[OrderDate]],Table1[[#This Row],[RequiredDate]],Table1[[#This Row],[OrderDate]])</f>
        <v>45507</v>
      </c>
      <c r="E366" s="4">
        <f>IF(Table1[[#This Row],[RequiredDate]]&gt;Table1[[#This Row],[OrderDate]],Table1[[#This Row],[RequiredDate]],Table1[[#This Row],[OrderDate]])</f>
        <v>45513</v>
      </c>
      <c r="F366" s="21">
        <f>Table1[[#This Row],[New RD]]-Table1[[#This Row],[new   od]]</f>
        <v>6</v>
      </c>
      <c r="G366" s="4">
        <f>IF(Table1[[#This Row],[RequiredDate]]&lt;Table1[[#This Row],[OrderDate]], Table1[[#This Row],[OrderDate]]+7, Table1[[#This Row],[RequiredDate]])</f>
        <v>45513</v>
      </c>
      <c r="H366" s="21">
        <f t="shared" si="56"/>
        <v>6</v>
      </c>
      <c r="I366" s="6" t="str">
        <f>IF(Table1[[#This Row],[New LTD]]&lt;=7,"Yes","No")</f>
        <v>Yes</v>
      </c>
      <c r="J366" s="6" t="str">
        <f t="shared" si="57"/>
        <v>No</v>
      </c>
      <c r="K366" t="s">
        <v>646</v>
      </c>
      <c r="L366" t="s">
        <v>650</v>
      </c>
      <c r="M366" t="s">
        <v>675</v>
      </c>
      <c r="N366" t="s">
        <v>704</v>
      </c>
      <c r="O366" t="s">
        <v>709</v>
      </c>
      <c r="P366" t="s">
        <v>722</v>
      </c>
      <c r="Q366" t="s">
        <v>731</v>
      </c>
      <c r="R366" t="s">
        <v>1316</v>
      </c>
      <c r="S366" s="6">
        <v>643.21</v>
      </c>
      <c r="T366" s="6">
        <v>1112.81</v>
      </c>
      <c r="U366" s="6">
        <f t="shared" si="58"/>
        <v>1112.81</v>
      </c>
      <c r="V366" s="8">
        <v>0.14099999999999999</v>
      </c>
      <c r="W366" s="6">
        <v>4</v>
      </c>
      <c r="X366" s="6">
        <f t="shared" si="59"/>
        <v>3823.6151599999998</v>
      </c>
      <c r="Y366">
        <f t="shared" si="60"/>
        <v>2572.84</v>
      </c>
      <c r="Z366" s="6">
        <f t="shared" si="61"/>
        <v>1250.7751599999997</v>
      </c>
      <c r="AA366">
        <f t="shared" si="62"/>
        <v>0.32711847496702562</v>
      </c>
      <c r="AB366" t="str">
        <f t="shared" si="63"/>
        <v>8-2024</v>
      </c>
      <c r="AC366" t="str">
        <f t="shared" si="64"/>
        <v>Q3-2024</v>
      </c>
      <c r="AD366" t="str">
        <f t="shared" si="65"/>
        <v>Africa →Kenya →Mombasa</v>
      </c>
      <c r="AE366" t="str">
        <f t="shared" si="66"/>
        <v>Medium</v>
      </c>
      <c r="AF366" t="str">
        <f>TEXT(Table1[[#This Row],[OrderDate]],"MMM")</f>
        <v>Aug</v>
      </c>
      <c r="AG366" t="str">
        <f>TEXT(Table1[[#This Row],[OrderDate]],"YYYY")</f>
        <v>2024</v>
      </c>
      <c r="AI366" s="4">
        <f>IF(Table1[[#This Row],[RequiredDate]]&lt;Table1[[#This Row],[OrderDate]], Table1[[#This Row],[OrderDate]]+7, Table1[[#This Row],[RequiredDate]])</f>
        <v>45513</v>
      </c>
      <c r="AJ366">
        <f>IF(Dashboard!$D$3&gt;'Staging Data'!V366,'Staging Data'!V366,Dashboard!D$3)</f>
        <v>0.14099999999999999</v>
      </c>
      <c r="AK366" s="19">
        <f>(100%+Dashboard!$D$4)*'Staging Data'!S366</f>
        <v>675.37050000000011</v>
      </c>
      <c r="AL366">
        <f>(100%+Dashboard!$D$5)*'Staging Data'!W366</f>
        <v>4.5999999999999996</v>
      </c>
    </row>
    <row r="367" spans="1:38" x14ac:dyDescent="0.35">
      <c r="A367" s="6" t="s">
        <v>509</v>
      </c>
      <c r="B367" s="4">
        <v>45508</v>
      </c>
      <c r="C367" s="4">
        <v>45521</v>
      </c>
      <c r="D367" s="4">
        <f>IF(Table1[[#This Row],[RequiredDate]]&lt;Table1[[#This Row],[OrderDate]],Table1[[#This Row],[RequiredDate]],Table1[[#This Row],[OrderDate]])</f>
        <v>45508</v>
      </c>
      <c r="E367" s="4">
        <f>IF(Table1[[#This Row],[RequiredDate]]&gt;Table1[[#This Row],[OrderDate]],Table1[[#This Row],[RequiredDate]],Table1[[#This Row],[OrderDate]])</f>
        <v>45521</v>
      </c>
      <c r="F367" s="21">
        <f>Table1[[#This Row],[New RD]]-Table1[[#This Row],[new   od]]</f>
        <v>13</v>
      </c>
      <c r="G367" s="4">
        <f>IF(Table1[[#This Row],[RequiredDate]]&lt;Table1[[#This Row],[OrderDate]], Table1[[#This Row],[OrderDate]]+7, Table1[[#This Row],[RequiredDate]])</f>
        <v>45521</v>
      </c>
      <c r="H367" s="21">
        <f t="shared" si="56"/>
        <v>13</v>
      </c>
      <c r="I367" s="6" t="str">
        <f>IF(Table1[[#This Row],[New LTD]]&lt;=7,"Yes","No")</f>
        <v>No</v>
      </c>
      <c r="J367" s="6" t="str">
        <f t="shared" si="57"/>
        <v>No</v>
      </c>
      <c r="K367" t="s">
        <v>648</v>
      </c>
      <c r="L367" t="s">
        <v>660</v>
      </c>
      <c r="M367" t="s">
        <v>697</v>
      </c>
      <c r="N367" t="s">
        <v>704</v>
      </c>
      <c r="O367" t="s">
        <v>707</v>
      </c>
      <c r="P367" t="s">
        <v>726</v>
      </c>
      <c r="Q367" t="s">
        <v>732</v>
      </c>
      <c r="R367" t="s">
        <v>1228</v>
      </c>
      <c r="S367" s="6">
        <v>352.79</v>
      </c>
      <c r="T367" s="6">
        <v>754.22</v>
      </c>
      <c r="U367" s="6">
        <f t="shared" si="58"/>
        <v>754.22</v>
      </c>
      <c r="V367" s="8">
        <v>0.113</v>
      </c>
      <c r="W367" s="6">
        <v>7</v>
      </c>
      <c r="X367" s="6">
        <f t="shared" si="59"/>
        <v>4682.9519799999998</v>
      </c>
      <c r="Y367">
        <f t="shared" si="60"/>
        <v>2469.5300000000002</v>
      </c>
      <c r="Z367" s="6">
        <f t="shared" si="61"/>
        <v>2213.4219799999996</v>
      </c>
      <c r="AA367">
        <f t="shared" si="62"/>
        <v>0.47265528014233443</v>
      </c>
      <c r="AB367" t="str">
        <f t="shared" si="63"/>
        <v>8-2024</v>
      </c>
      <c r="AC367" t="str">
        <f t="shared" si="64"/>
        <v>Q3-2024</v>
      </c>
      <c r="AD367" t="str">
        <f t="shared" si="65"/>
        <v>Americas →USA →Austin</v>
      </c>
      <c r="AE367" t="str">
        <f t="shared" si="66"/>
        <v>Low</v>
      </c>
      <c r="AF367" t="str">
        <f>TEXT(Table1[[#This Row],[OrderDate]],"MMM")</f>
        <v>Aug</v>
      </c>
      <c r="AG367" t="str">
        <f>TEXT(Table1[[#This Row],[OrderDate]],"YYYY")</f>
        <v>2024</v>
      </c>
      <c r="AI367" s="4">
        <f>IF(Table1[[#This Row],[RequiredDate]]&lt;Table1[[#This Row],[OrderDate]], Table1[[#This Row],[OrderDate]]+7, Table1[[#This Row],[RequiredDate]])</f>
        <v>45521</v>
      </c>
      <c r="AJ367">
        <f>IF(Dashboard!$D$3&gt;'Staging Data'!V367,'Staging Data'!V367,Dashboard!D$3)</f>
        <v>0.113</v>
      </c>
      <c r="AK367" s="19">
        <f>(100%+Dashboard!$D$4)*'Staging Data'!S367</f>
        <v>370.42950000000002</v>
      </c>
      <c r="AL367">
        <f>(100%+Dashboard!$D$5)*'Staging Data'!W367</f>
        <v>8.0499999999999989</v>
      </c>
    </row>
    <row r="368" spans="1:38" x14ac:dyDescent="0.35">
      <c r="A368" s="6" t="s">
        <v>170</v>
      </c>
      <c r="B368" s="4">
        <v>45511</v>
      </c>
      <c r="C368" s="4">
        <v>45521</v>
      </c>
      <c r="D368" s="4">
        <f>IF(Table1[[#This Row],[RequiredDate]]&lt;Table1[[#This Row],[OrderDate]],Table1[[#This Row],[RequiredDate]],Table1[[#This Row],[OrderDate]])</f>
        <v>45511</v>
      </c>
      <c r="E368" s="4">
        <f>IF(Table1[[#This Row],[RequiredDate]]&gt;Table1[[#This Row],[OrderDate]],Table1[[#This Row],[RequiredDate]],Table1[[#This Row],[OrderDate]])</f>
        <v>45521</v>
      </c>
      <c r="F368" s="21">
        <f>Table1[[#This Row],[New RD]]-Table1[[#This Row],[new   od]]</f>
        <v>10</v>
      </c>
      <c r="G368" s="4">
        <f>IF(Table1[[#This Row],[RequiredDate]]&lt;Table1[[#This Row],[OrderDate]], Table1[[#This Row],[OrderDate]]+7, Table1[[#This Row],[RequiredDate]])</f>
        <v>45521</v>
      </c>
      <c r="H368" s="21">
        <f t="shared" si="56"/>
        <v>10</v>
      </c>
      <c r="I368" s="6" t="str">
        <f>IF(Table1[[#This Row],[New LTD]]&lt;=7,"Yes","No")</f>
        <v>No</v>
      </c>
      <c r="J368" s="6" t="str">
        <f t="shared" si="57"/>
        <v>No</v>
      </c>
      <c r="K368" t="s">
        <v>647</v>
      </c>
      <c r="L368" t="s">
        <v>652</v>
      </c>
      <c r="M368" t="s">
        <v>666</v>
      </c>
      <c r="N368" t="s">
        <v>704</v>
      </c>
      <c r="O368" t="s">
        <v>708</v>
      </c>
      <c r="P368" t="s">
        <v>723</v>
      </c>
      <c r="Q368" t="s">
        <v>729</v>
      </c>
      <c r="R368" t="s">
        <v>889</v>
      </c>
      <c r="S368" s="6">
        <v>436.58</v>
      </c>
      <c r="T368" s="6">
        <v>527.48</v>
      </c>
      <c r="U368" s="6">
        <f t="shared" si="58"/>
        <v>527.48</v>
      </c>
      <c r="V368" s="8">
        <v>0.111</v>
      </c>
      <c r="W368" s="6">
        <v>19</v>
      </c>
      <c r="X368" s="6">
        <f t="shared" si="59"/>
        <v>8909.6646800000017</v>
      </c>
      <c r="Y368">
        <f t="shared" si="60"/>
        <v>8295.02</v>
      </c>
      <c r="Z368" s="6">
        <f t="shared" si="61"/>
        <v>614.64468000000124</v>
      </c>
      <c r="AA368">
        <f t="shared" si="62"/>
        <v>6.8986286473802644E-2</v>
      </c>
      <c r="AB368" t="str">
        <f t="shared" si="63"/>
        <v>8-2024</v>
      </c>
      <c r="AC368" t="str">
        <f t="shared" si="64"/>
        <v>Q3-2024</v>
      </c>
      <c r="AD368" t="str">
        <f t="shared" si="65"/>
        <v>Asia →Japan →Osaka</v>
      </c>
      <c r="AE368" t="str">
        <f t="shared" si="66"/>
        <v>Low</v>
      </c>
      <c r="AF368" t="str">
        <f>TEXT(Table1[[#This Row],[OrderDate]],"MMM")</f>
        <v>Aug</v>
      </c>
      <c r="AG368" t="str">
        <f>TEXT(Table1[[#This Row],[OrderDate]],"YYYY")</f>
        <v>2024</v>
      </c>
      <c r="AI368" s="4">
        <f>IF(Table1[[#This Row],[RequiredDate]]&lt;Table1[[#This Row],[OrderDate]], Table1[[#This Row],[OrderDate]]+7, Table1[[#This Row],[RequiredDate]])</f>
        <v>45521</v>
      </c>
      <c r="AJ368">
        <f>IF(Dashboard!$D$3&gt;'Staging Data'!V368,'Staging Data'!V368,Dashboard!D$3)</f>
        <v>0.111</v>
      </c>
      <c r="AK368" s="19">
        <f>(100%+Dashboard!$D$4)*'Staging Data'!S368</f>
        <v>458.40899999999999</v>
      </c>
      <c r="AL368">
        <f>(100%+Dashboard!$D$5)*'Staging Data'!W368</f>
        <v>21.849999999999998</v>
      </c>
    </row>
    <row r="369" spans="1:38" x14ac:dyDescent="0.35">
      <c r="A369" s="6" t="s">
        <v>367</v>
      </c>
      <c r="B369" s="4">
        <v>45512</v>
      </c>
      <c r="C369" s="4">
        <v>45524</v>
      </c>
      <c r="D369" s="4">
        <f>IF(Table1[[#This Row],[RequiredDate]]&lt;Table1[[#This Row],[OrderDate]],Table1[[#This Row],[RequiredDate]],Table1[[#This Row],[OrderDate]])</f>
        <v>45512</v>
      </c>
      <c r="E369" s="4">
        <f>IF(Table1[[#This Row],[RequiredDate]]&gt;Table1[[#This Row],[OrderDate]],Table1[[#This Row],[RequiredDate]],Table1[[#This Row],[OrderDate]])</f>
        <v>45524</v>
      </c>
      <c r="F369" s="21">
        <f>Table1[[#This Row],[New RD]]-Table1[[#This Row],[new   od]]</f>
        <v>12</v>
      </c>
      <c r="G369" s="4">
        <f>IF(Table1[[#This Row],[RequiredDate]]&lt;Table1[[#This Row],[OrderDate]], Table1[[#This Row],[OrderDate]]+7, Table1[[#This Row],[RequiredDate]])</f>
        <v>45524</v>
      </c>
      <c r="H369" s="21">
        <f t="shared" si="56"/>
        <v>12</v>
      </c>
      <c r="I369" s="6" t="str">
        <f>IF(Table1[[#This Row],[New LTD]]&lt;=7,"Yes","No")</f>
        <v>No</v>
      </c>
      <c r="J369" s="6" t="str">
        <f t="shared" si="57"/>
        <v>No</v>
      </c>
      <c r="K369" t="s">
        <v>647</v>
      </c>
      <c r="L369" t="s">
        <v>652</v>
      </c>
      <c r="M369" t="s">
        <v>666</v>
      </c>
      <c r="N369" t="s">
        <v>705</v>
      </c>
      <c r="O369" t="s">
        <v>707</v>
      </c>
      <c r="P369" t="s">
        <v>722</v>
      </c>
      <c r="Q369" t="s">
        <v>729</v>
      </c>
      <c r="R369" t="s">
        <v>1087</v>
      </c>
      <c r="S369" s="6">
        <v>1233.3599999999999</v>
      </c>
      <c r="T369" s="6">
        <v>2120.4</v>
      </c>
      <c r="U369" s="6">
        <f t="shared" si="58"/>
        <v>2120.4</v>
      </c>
      <c r="V369" s="8">
        <v>0.17899999999999999</v>
      </c>
      <c r="W369" s="6">
        <v>20</v>
      </c>
      <c r="X369" s="6">
        <f t="shared" si="59"/>
        <v>34816.968000000001</v>
      </c>
      <c r="Y369">
        <f t="shared" si="60"/>
        <v>24667.199999999997</v>
      </c>
      <c r="Z369" s="6">
        <f t="shared" si="61"/>
        <v>10149.768000000004</v>
      </c>
      <c r="AA369">
        <f t="shared" si="62"/>
        <v>0.29151785991244278</v>
      </c>
      <c r="AB369" t="str">
        <f t="shared" si="63"/>
        <v>8-2024</v>
      </c>
      <c r="AC369" t="str">
        <f t="shared" si="64"/>
        <v>Q3-2024</v>
      </c>
      <c r="AD369" t="str">
        <f t="shared" si="65"/>
        <v>Asia →Japan →Osaka</v>
      </c>
      <c r="AE369" t="str">
        <f t="shared" si="66"/>
        <v>High</v>
      </c>
      <c r="AF369" t="str">
        <f>TEXT(Table1[[#This Row],[OrderDate]],"MMM")</f>
        <v>Aug</v>
      </c>
      <c r="AG369" t="str">
        <f>TEXT(Table1[[#This Row],[OrderDate]],"YYYY")</f>
        <v>2024</v>
      </c>
      <c r="AI369" s="4">
        <f>IF(Table1[[#This Row],[RequiredDate]]&lt;Table1[[#This Row],[OrderDate]], Table1[[#This Row],[OrderDate]]+7, Table1[[#This Row],[RequiredDate]])</f>
        <v>45524</v>
      </c>
      <c r="AJ369">
        <f>IF(Dashboard!$D$3&gt;'Staging Data'!V369,'Staging Data'!V369,Dashboard!D$3)</f>
        <v>0.17899999999999999</v>
      </c>
      <c r="AK369" s="19">
        <f>(100%+Dashboard!$D$4)*'Staging Data'!S369</f>
        <v>1295.028</v>
      </c>
      <c r="AL369">
        <f>(100%+Dashboard!$D$5)*'Staging Data'!W369</f>
        <v>23</v>
      </c>
    </row>
    <row r="370" spans="1:38" x14ac:dyDescent="0.35">
      <c r="A370" s="6" t="s">
        <v>405</v>
      </c>
      <c r="B370" s="4">
        <v>45514</v>
      </c>
      <c r="C370" s="4">
        <v>45542</v>
      </c>
      <c r="D370" s="4">
        <f>IF(Table1[[#This Row],[RequiredDate]]&lt;Table1[[#This Row],[OrderDate]],Table1[[#This Row],[RequiredDate]],Table1[[#This Row],[OrderDate]])</f>
        <v>45514</v>
      </c>
      <c r="E370" s="4">
        <f>IF(Table1[[#This Row],[RequiredDate]]&gt;Table1[[#This Row],[OrderDate]],Table1[[#This Row],[RequiredDate]],Table1[[#This Row],[OrderDate]])</f>
        <v>45542</v>
      </c>
      <c r="F370" s="21">
        <f>Table1[[#This Row],[New RD]]-Table1[[#This Row],[new   od]]</f>
        <v>28</v>
      </c>
      <c r="G370" s="4">
        <f>IF(Table1[[#This Row],[RequiredDate]]&lt;Table1[[#This Row],[OrderDate]], Table1[[#This Row],[OrderDate]]+7, Table1[[#This Row],[RequiredDate]])</f>
        <v>45542</v>
      </c>
      <c r="H370" s="21">
        <f t="shared" si="56"/>
        <v>28</v>
      </c>
      <c r="I370" s="6" t="str">
        <f>IF(Table1[[#This Row],[New LTD]]&lt;=7,"Yes","No")</f>
        <v>No</v>
      </c>
      <c r="J370" s="6" t="str">
        <f t="shared" si="57"/>
        <v>No</v>
      </c>
      <c r="K370" t="s">
        <v>649</v>
      </c>
      <c r="L370" t="s">
        <v>657</v>
      </c>
      <c r="M370" t="s">
        <v>673</v>
      </c>
      <c r="N370" t="s">
        <v>703</v>
      </c>
      <c r="O370" t="s">
        <v>711</v>
      </c>
      <c r="P370" t="s">
        <v>721</v>
      </c>
      <c r="Q370" t="s">
        <v>728</v>
      </c>
      <c r="R370" t="s">
        <v>1124</v>
      </c>
      <c r="S370" s="6">
        <v>229.96</v>
      </c>
      <c r="T370" s="6">
        <v>564.26</v>
      </c>
      <c r="U370" s="6">
        <f t="shared" si="58"/>
        <v>564.26</v>
      </c>
      <c r="V370" s="8">
        <v>0.105</v>
      </c>
      <c r="W370" s="6">
        <v>5</v>
      </c>
      <c r="X370" s="6">
        <f t="shared" si="59"/>
        <v>2525.0635000000002</v>
      </c>
      <c r="Y370">
        <f t="shared" si="60"/>
        <v>1149.8</v>
      </c>
      <c r="Z370" s="6">
        <f t="shared" si="61"/>
        <v>1375.2635000000002</v>
      </c>
      <c r="AA370">
        <f t="shared" si="62"/>
        <v>0.54464511486542821</v>
      </c>
      <c r="AB370" t="str">
        <f t="shared" si="63"/>
        <v>8-2024</v>
      </c>
      <c r="AC370" t="str">
        <f t="shared" si="64"/>
        <v>Q3-2024</v>
      </c>
      <c r="AD370" t="str">
        <f t="shared" si="65"/>
        <v>Europe →France →Marseille</v>
      </c>
      <c r="AE370" t="str">
        <f t="shared" si="66"/>
        <v>Low</v>
      </c>
      <c r="AF370" t="str">
        <f>TEXT(Table1[[#This Row],[OrderDate]],"MMM")</f>
        <v>Aug</v>
      </c>
      <c r="AG370" t="str">
        <f>TEXT(Table1[[#This Row],[OrderDate]],"YYYY")</f>
        <v>2024</v>
      </c>
      <c r="AI370" s="4">
        <f>IF(Table1[[#This Row],[RequiredDate]]&lt;Table1[[#This Row],[OrderDate]], Table1[[#This Row],[OrderDate]]+7, Table1[[#This Row],[RequiredDate]])</f>
        <v>45542</v>
      </c>
      <c r="AJ370">
        <f>IF(Dashboard!$D$3&gt;'Staging Data'!V370,'Staging Data'!V370,Dashboard!D$3)</f>
        <v>0.105</v>
      </c>
      <c r="AK370" s="19">
        <f>(100%+Dashboard!$D$4)*'Staging Data'!S370</f>
        <v>241.45800000000003</v>
      </c>
      <c r="AL370">
        <f>(100%+Dashboard!$D$5)*'Staging Data'!W370</f>
        <v>5.75</v>
      </c>
    </row>
    <row r="371" spans="1:38" x14ac:dyDescent="0.35">
      <c r="A371" s="6" t="s">
        <v>206</v>
      </c>
      <c r="B371" s="4">
        <v>45516</v>
      </c>
      <c r="C371" s="4">
        <v>45538</v>
      </c>
      <c r="D371" s="4">
        <f>IF(Table1[[#This Row],[RequiredDate]]&lt;Table1[[#This Row],[OrderDate]],Table1[[#This Row],[RequiredDate]],Table1[[#This Row],[OrderDate]])</f>
        <v>45516</v>
      </c>
      <c r="E371" s="4">
        <f>IF(Table1[[#This Row],[RequiredDate]]&gt;Table1[[#This Row],[OrderDate]],Table1[[#This Row],[RequiredDate]],Table1[[#This Row],[OrderDate]])</f>
        <v>45538</v>
      </c>
      <c r="F371" s="21">
        <f>Table1[[#This Row],[New RD]]-Table1[[#This Row],[new   od]]</f>
        <v>22</v>
      </c>
      <c r="G371" s="4">
        <f>IF(Table1[[#This Row],[RequiredDate]]&lt;Table1[[#This Row],[OrderDate]], Table1[[#This Row],[OrderDate]]+7, Table1[[#This Row],[RequiredDate]])</f>
        <v>45538</v>
      </c>
      <c r="H371" s="21">
        <f t="shared" si="56"/>
        <v>22</v>
      </c>
      <c r="I371" s="6" t="str">
        <f>IF(Table1[[#This Row],[New LTD]]&lt;=7,"Yes","No")</f>
        <v>No</v>
      </c>
      <c r="J371" s="6" t="str">
        <f t="shared" si="57"/>
        <v>Yes</v>
      </c>
      <c r="K371" t="s">
        <v>648</v>
      </c>
      <c r="L371" t="s">
        <v>660</v>
      </c>
      <c r="M371" t="s">
        <v>697</v>
      </c>
      <c r="N371" t="s">
        <v>704</v>
      </c>
      <c r="O371" t="s">
        <v>710</v>
      </c>
      <c r="P371" t="s">
        <v>714</v>
      </c>
      <c r="Q371" t="s">
        <v>731</v>
      </c>
      <c r="R371" t="s">
        <v>926</v>
      </c>
      <c r="S371" s="6">
        <v>797.8</v>
      </c>
      <c r="T371" s="6">
        <v>886.22</v>
      </c>
      <c r="U371" s="6">
        <f t="shared" si="58"/>
        <v>886.22</v>
      </c>
      <c r="V371" s="8">
        <v>0.23599999999999999</v>
      </c>
      <c r="W371" s="6">
        <v>36</v>
      </c>
      <c r="X371" s="6">
        <f t="shared" si="59"/>
        <v>24374.594880000001</v>
      </c>
      <c r="Y371">
        <f t="shared" si="60"/>
        <v>28720.799999999999</v>
      </c>
      <c r="Z371" s="6">
        <f t="shared" si="61"/>
        <v>-4346.2051199999987</v>
      </c>
      <c r="AA371">
        <f t="shared" si="62"/>
        <v>-0.17830881462428633</v>
      </c>
      <c r="AB371" t="str">
        <f t="shared" si="63"/>
        <v>8-2024</v>
      </c>
      <c r="AC371" t="str">
        <f t="shared" si="64"/>
        <v>Q3-2024</v>
      </c>
      <c r="AD371" t="str">
        <f t="shared" si="65"/>
        <v>Americas →USA →Austin</v>
      </c>
      <c r="AE371" t="str">
        <f t="shared" si="66"/>
        <v>Medium</v>
      </c>
      <c r="AF371" t="str">
        <f>TEXT(Table1[[#This Row],[OrderDate]],"MMM")</f>
        <v>Aug</v>
      </c>
      <c r="AG371" t="str">
        <f>TEXT(Table1[[#This Row],[OrderDate]],"YYYY")</f>
        <v>2024</v>
      </c>
      <c r="AI371" s="4">
        <f>IF(Table1[[#This Row],[RequiredDate]]&lt;Table1[[#This Row],[OrderDate]], Table1[[#This Row],[OrderDate]]+7, Table1[[#This Row],[RequiredDate]])</f>
        <v>45538</v>
      </c>
      <c r="AJ371">
        <f>IF(Dashboard!$D$3&gt;'Staging Data'!V371,'Staging Data'!V371,Dashboard!D$3)</f>
        <v>0.2</v>
      </c>
      <c r="AK371" s="19">
        <f>(100%+Dashboard!$D$4)*'Staging Data'!S371</f>
        <v>837.68999999999994</v>
      </c>
      <c r="AL371">
        <f>(100%+Dashboard!$D$5)*'Staging Data'!W371</f>
        <v>41.4</v>
      </c>
    </row>
    <row r="372" spans="1:38" x14ac:dyDescent="0.35">
      <c r="A372" s="6" t="s">
        <v>415</v>
      </c>
      <c r="B372" s="4">
        <v>45516</v>
      </c>
      <c r="C372" s="4">
        <v>45519</v>
      </c>
      <c r="D372" s="4">
        <f>IF(Table1[[#This Row],[RequiredDate]]&lt;Table1[[#This Row],[OrderDate]],Table1[[#This Row],[RequiredDate]],Table1[[#This Row],[OrderDate]])</f>
        <v>45516</v>
      </c>
      <c r="E372" s="4">
        <f>IF(Table1[[#This Row],[RequiredDate]]&gt;Table1[[#This Row],[OrderDate]],Table1[[#This Row],[RequiredDate]],Table1[[#This Row],[OrderDate]])</f>
        <v>45519</v>
      </c>
      <c r="F372" s="21">
        <f>Table1[[#This Row],[New RD]]-Table1[[#This Row],[new   od]]</f>
        <v>3</v>
      </c>
      <c r="G372" s="4">
        <f>IF(Table1[[#This Row],[RequiredDate]]&lt;Table1[[#This Row],[OrderDate]], Table1[[#This Row],[OrderDate]]+7, Table1[[#This Row],[RequiredDate]])</f>
        <v>45519</v>
      </c>
      <c r="H372" s="21">
        <f t="shared" si="56"/>
        <v>3</v>
      </c>
      <c r="I372" s="6" t="str">
        <f>IF(Table1[[#This Row],[New LTD]]&lt;=7,"Yes","No")</f>
        <v>Yes</v>
      </c>
      <c r="J372" s="6" t="str">
        <f t="shared" si="57"/>
        <v>No</v>
      </c>
      <c r="K372" t="s">
        <v>648</v>
      </c>
      <c r="L372" t="s">
        <v>660</v>
      </c>
      <c r="M372" t="s">
        <v>677</v>
      </c>
      <c r="N372" t="s">
        <v>701</v>
      </c>
      <c r="O372" t="s">
        <v>709</v>
      </c>
      <c r="P372" t="s">
        <v>726</v>
      </c>
      <c r="Q372" t="s">
        <v>728</v>
      </c>
      <c r="R372" t="s">
        <v>1134</v>
      </c>
      <c r="S372" s="6">
        <v>850.7</v>
      </c>
      <c r="T372" s="6">
        <v>1118.56</v>
      </c>
      <c r="U372" s="6">
        <f t="shared" si="58"/>
        <v>1118.56</v>
      </c>
      <c r="V372" s="8">
        <v>0.18</v>
      </c>
      <c r="W372" s="6">
        <v>19</v>
      </c>
      <c r="X372" s="6">
        <f t="shared" si="59"/>
        <v>17427.164800000002</v>
      </c>
      <c r="Y372">
        <f t="shared" si="60"/>
        <v>16163.300000000001</v>
      </c>
      <c r="Z372" s="6">
        <f t="shared" si="61"/>
        <v>1263.8648000000012</v>
      </c>
      <c r="AA372">
        <f t="shared" si="62"/>
        <v>7.2522685962090688E-2</v>
      </c>
      <c r="AB372" t="str">
        <f t="shared" si="63"/>
        <v>8-2024</v>
      </c>
      <c r="AC372" t="str">
        <f t="shared" si="64"/>
        <v>Q3-2024</v>
      </c>
      <c r="AD372" t="str">
        <f t="shared" si="65"/>
        <v>Americas →USA →Chicago</v>
      </c>
      <c r="AE372" t="str">
        <f t="shared" si="66"/>
        <v>Medium</v>
      </c>
      <c r="AF372" t="str">
        <f>TEXT(Table1[[#This Row],[OrderDate]],"MMM")</f>
        <v>Aug</v>
      </c>
      <c r="AG372" t="str">
        <f>TEXT(Table1[[#This Row],[OrderDate]],"YYYY")</f>
        <v>2024</v>
      </c>
      <c r="AI372" s="4">
        <f>IF(Table1[[#This Row],[RequiredDate]]&lt;Table1[[#This Row],[OrderDate]], Table1[[#This Row],[OrderDate]]+7, Table1[[#This Row],[RequiredDate]])</f>
        <v>45519</v>
      </c>
      <c r="AJ372">
        <f>IF(Dashboard!$D$3&gt;'Staging Data'!V372,'Staging Data'!V372,Dashboard!D$3)</f>
        <v>0.18</v>
      </c>
      <c r="AK372" s="19">
        <f>(100%+Dashboard!$D$4)*'Staging Data'!S372</f>
        <v>893.23500000000013</v>
      </c>
      <c r="AL372">
        <f>(100%+Dashboard!$D$5)*'Staging Data'!W372</f>
        <v>21.849999999999998</v>
      </c>
    </row>
    <row r="373" spans="1:38" x14ac:dyDescent="0.35">
      <c r="A373" s="6" t="s">
        <v>122</v>
      </c>
      <c r="B373" s="4">
        <v>45518</v>
      </c>
      <c r="C373" s="4">
        <v>45539</v>
      </c>
      <c r="D373" s="4">
        <f>IF(Table1[[#This Row],[RequiredDate]]&lt;Table1[[#This Row],[OrderDate]],Table1[[#This Row],[RequiredDate]],Table1[[#This Row],[OrderDate]])</f>
        <v>45518</v>
      </c>
      <c r="E373" s="4">
        <f>IF(Table1[[#This Row],[RequiredDate]]&gt;Table1[[#This Row],[OrderDate]],Table1[[#This Row],[RequiredDate]],Table1[[#This Row],[OrderDate]])</f>
        <v>45539</v>
      </c>
      <c r="F373" s="21">
        <f>Table1[[#This Row],[New RD]]-Table1[[#This Row],[new   od]]</f>
        <v>21</v>
      </c>
      <c r="G373" s="4">
        <f>IF(Table1[[#This Row],[RequiredDate]]&lt;Table1[[#This Row],[OrderDate]], Table1[[#This Row],[OrderDate]]+7, Table1[[#This Row],[RequiredDate]])</f>
        <v>45539</v>
      </c>
      <c r="H373" s="21">
        <f t="shared" si="56"/>
        <v>21</v>
      </c>
      <c r="I373" s="6" t="str">
        <f>IF(Table1[[#This Row],[New LTD]]&lt;=7,"Yes","No")</f>
        <v>No</v>
      </c>
      <c r="J373" s="6" t="str">
        <f t="shared" si="57"/>
        <v>No</v>
      </c>
      <c r="K373" t="s">
        <v>649</v>
      </c>
      <c r="L373" t="s">
        <v>658</v>
      </c>
      <c r="M373" t="s">
        <v>693</v>
      </c>
      <c r="N373" t="s">
        <v>703</v>
      </c>
      <c r="O373" t="s">
        <v>708</v>
      </c>
      <c r="P373" t="s">
        <v>713</v>
      </c>
      <c r="Q373" t="s">
        <v>730</v>
      </c>
      <c r="R373" t="s">
        <v>841</v>
      </c>
      <c r="S373" s="6">
        <v>1138.8</v>
      </c>
      <c r="T373" s="6">
        <v>2250.81</v>
      </c>
      <c r="U373" s="6">
        <f t="shared" si="58"/>
        <v>2250.81</v>
      </c>
      <c r="V373" s="8">
        <v>0.123</v>
      </c>
      <c r="W373" s="6">
        <v>12</v>
      </c>
      <c r="X373" s="6">
        <f t="shared" si="59"/>
        <v>23687.524440000001</v>
      </c>
      <c r="Y373">
        <f t="shared" si="60"/>
        <v>13665.599999999999</v>
      </c>
      <c r="Z373" s="6">
        <f t="shared" si="61"/>
        <v>10021.924440000003</v>
      </c>
      <c r="AA373">
        <f t="shared" si="62"/>
        <v>0.42308872188756258</v>
      </c>
      <c r="AB373" t="str">
        <f t="shared" si="63"/>
        <v>8-2024</v>
      </c>
      <c r="AC373" t="str">
        <f t="shared" si="64"/>
        <v>Q3-2024</v>
      </c>
      <c r="AD373" t="str">
        <f t="shared" si="65"/>
        <v>Europe →United Kingdom →Manchester</v>
      </c>
      <c r="AE373" t="str">
        <f t="shared" si="66"/>
        <v>High</v>
      </c>
      <c r="AF373" t="str">
        <f>TEXT(Table1[[#This Row],[OrderDate]],"MMM")</f>
        <v>Aug</v>
      </c>
      <c r="AG373" t="str">
        <f>TEXT(Table1[[#This Row],[OrderDate]],"YYYY")</f>
        <v>2024</v>
      </c>
      <c r="AI373" s="4">
        <f>IF(Table1[[#This Row],[RequiredDate]]&lt;Table1[[#This Row],[OrderDate]], Table1[[#This Row],[OrderDate]]+7, Table1[[#This Row],[RequiredDate]])</f>
        <v>45539</v>
      </c>
      <c r="AJ373">
        <f>IF(Dashboard!$D$3&gt;'Staging Data'!V373,'Staging Data'!V373,Dashboard!D$3)</f>
        <v>0.123</v>
      </c>
      <c r="AK373" s="19">
        <f>(100%+Dashboard!$D$4)*'Staging Data'!S373</f>
        <v>1195.74</v>
      </c>
      <c r="AL373">
        <f>(100%+Dashboard!$D$5)*'Staging Data'!W373</f>
        <v>13.799999999999999</v>
      </c>
    </row>
    <row r="374" spans="1:38" x14ac:dyDescent="0.35">
      <c r="A374" s="6" t="s">
        <v>551</v>
      </c>
      <c r="B374" s="4">
        <v>45520</v>
      </c>
      <c r="C374" s="4">
        <v>45530</v>
      </c>
      <c r="D374" s="4">
        <f>IF(Table1[[#This Row],[RequiredDate]]&lt;Table1[[#This Row],[OrderDate]],Table1[[#This Row],[RequiredDate]],Table1[[#This Row],[OrderDate]])</f>
        <v>45520</v>
      </c>
      <c r="E374" s="4">
        <f>IF(Table1[[#This Row],[RequiredDate]]&gt;Table1[[#This Row],[OrderDate]],Table1[[#This Row],[RequiredDate]],Table1[[#This Row],[OrderDate]])</f>
        <v>45530</v>
      </c>
      <c r="F374" s="21">
        <f>Table1[[#This Row],[New RD]]-Table1[[#This Row],[new   od]]</f>
        <v>10</v>
      </c>
      <c r="G374" s="4">
        <f>IF(Table1[[#This Row],[RequiredDate]]&lt;Table1[[#This Row],[OrderDate]], Table1[[#This Row],[OrderDate]]+7, Table1[[#This Row],[RequiredDate]])</f>
        <v>45530</v>
      </c>
      <c r="H374" s="21">
        <f t="shared" si="56"/>
        <v>10</v>
      </c>
      <c r="I374" s="6" t="str">
        <f>IF(Table1[[#This Row],[New LTD]]&lt;=7,"Yes","No")</f>
        <v>No</v>
      </c>
      <c r="J374" s="6" t="str">
        <f t="shared" si="57"/>
        <v>No</v>
      </c>
      <c r="K374" t="s">
        <v>648</v>
      </c>
      <c r="L374" t="s">
        <v>660</v>
      </c>
      <c r="M374" t="s">
        <v>677</v>
      </c>
      <c r="N374" t="s">
        <v>701</v>
      </c>
      <c r="O374" t="s">
        <v>710</v>
      </c>
      <c r="P374" t="s">
        <v>716</v>
      </c>
      <c r="Q374" t="s">
        <v>731</v>
      </c>
      <c r="R374" t="s">
        <v>1121</v>
      </c>
      <c r="S374" s="6">
        <v>1291.7</v>
      </c>
      <c r="T374" s="6">
        <v>2657.84</v>
      </c>
      <c r="U374" s="6">
        <f t="shared" si="58"/>
        <v>2657.84</v>
      </c>
      <c r="V374" s="8">
        <v>8.6999999999999994E-2</v>
      </c>
      <c r="W374" s="6">
        <v>21</v>
      </c>
      <c r="X374" s="6">
        <f t="shared" si="59"/>
        <v>50958.766320000002</v>
      </c>
      <c r="Y374">
        <f t="shared" si="60"/>
        <v>27125.7</v>
      </c>
      <c r="Z374" s="6">
        <f t="shared" si="61"/>
        <v>23833.066320000002</v>
      </c>
      <c r="AA374">
        <f t="shared" si="62"/>
        <v>0.46769315745083367</v>
      </c>
      <c r="AB374" t="str">
        <f t="shared" si="63"/>
        <v>8-2024</v>
      </c>
      <c r="AC374" t="str">
        <f t="shared" si="64"/>
        <v>Q3-2024</v>
      </c>
      <c r="AD374" t="str">
        <f t="shared" si="65"/>
        <v>Americas →USA →Chicago</v>
      </c>
      <c r="AE374" t="str">
        <f t="shared" si="66"/>
        <v>High</v>
      </c>
      <c r="AF374" t="str">
        <f>TEXT(Table1[[#This Row],[OrderDate]],"MMM")</f>
        <v>Aug</v>
      </c>
      <c r="AG374" t="str">
        <f>TEXT(Table1[[#This Row],[OrderDate]],"YYYY")</f>
        <v>2024</v>
      </c>
      <c r="AI374" s="4">
        <f>IF(Table1[[#This Row],[RequiredDate]]&lt;Table1[[#This Row],[OrderDate]], Table1[[#This Row],[OrderDate]]+7, Table1[[#This Row],[RequiredDate]])</f>
        <v>45530</v>
      </c>
      <c r="AJ374">
        <f>IF(Dashboard!$D$3&gt;'Staging Data'!V374,'Staging Data'!V374,Dashboard!D$3)</f>
        <v>8.6999999999999994E-2</v>
      </c>
      <c r="AK374" s="19">
        <f>(100%+Dashboard!$D$4)*'Staging Data'!S374</f>
        <v>1356.2850000000001</v>
      </c>
      <c r="AL374">
        <f>(100%+Dashboard!$D$5)*'Staging Data'!W374</f>
        <v>24.15</v>
      </c>
    </row>
    <row r="375" spans="1:38" x14ac:dyDescent="0.35">
      <c r="A375" s="6" t="s">
        <v>613</v>
      </c>
      <c r="B375" s="4">
        <v>45521</v>
      </c>
      <c r="C375" s="4">
        <v>45519</v>
      </c>
      <c r="D375" s="4">
        <f>IF(Table1[[#This Row],[RequiredDate]]&lt;Table1[[#This Row],[OrderDate]],Table1[[#This Row],[RequiredDate]],Table1[[#This Row],[OrderDate]])</f>
        <v>45519</v>
      </c>
      <c r="E375" s="4">
        <f>IF(Table1[[#This Row],[RequiredDate]]&gt;Table1[[#This Row],[OrderDate]],Table1[[#This Row],[RequiredDate]],Table1[[#This Row],[OrderDate]])</f>
        <v>45521</v>
      </c>
      <c r="F375" s="21">
        <f>Table1[[#This Row],[New RD]]-Table1[[#This Row],[new   od]]</f>
        <v>2</v>
      </c>
      <c r="G375" s="4">
        <f>IF(Table1[[#This Row],[RequiredDate]]&lt;Table1[[#This Row],[OrderDate]], Table1[[#This Row],[OrderDate]]+7, Table1[[#This Row],[RequiredDate]])</f>
        <v>45528</v>
      </c>
      <c r="H375" s="21">
        <f t="shared" si="56"/>
        <v>7</v>
      </c>
      <c r="I375" s="6" t="str">
        <f>IF(Table1[[#This Row],[New LTD]]&lt;=7,"Yes","No")</f>
        <v>Yes</v>
      </c>
      <c r="J375" s="6" t="str">
        <f t="shared" si="57"/>
        <v>No</v>
      </c>
      <c r="K375" t="s">
        <v>648</v>
      </c>
      <c r="L375" t="s">
        <v>655</v>
      </c>
      <c r="M375" t="s">
        <v>692</v>
      </c>
      <c r="N375" t="s">
        <v>704</v>
      </c>
      <c r="O375" t="s">
        <v>711</v>
      </c>
      <c r="P375" t="s">
        <v>724</v>
      </c>
      <c r="Q375" t="s">
        <v>732</v>
      </c>
      <c r="R375" t="s">
        <v>1331</v>
      </c>
      <c r="S375" s="6">
        <v>165.3</v>
      </c>
      <c r="T375" s="6">
        <v>275.07</v>
      </c>
      <c r="U375" s="6">
        <f t="shared" si="58"/>
        <v>275.07</v>
      </c>
      <c r="V375" s="8">
        <v>0.13300000000000001</v>
      </c>
      <c r="W375" s="6">
        <v>25</v>
      </c>
      <c r="X375" s="6">
        <f t="shared" si="59"/>
        <v>5962.1422499999999</v>
      </c>
      <c r="Y375">
        <f t="shared" si="60"/>
        <v>4132.5</v>
      </c>
      <c r="Z375" s="6">
        <f t="shared" si="61"/>
        <v>1829.6422499999999</v>
      </c>
      <c r="AA375">
        <f t="shared" si="62"/>
        <v>0.30687665159280625</v>
      </c>
      <c r="AB375" t="str">
        <f t="shared" si="63"/>
        <v>8-2024</v>
      </c>
      <c r="AC375" t="str">
        <f t="shared" si="64"/>
        <v>Q3-2024</v>
      </c>
      <c r="AD375" t="str">
        <f t="shared" si="65"/>
        <v>Americas →Brazil →Rio de Janeiro</v>
      </c>
      <c r="AE375" t="str">
        <f t="shared" si="66"/>
        <v>Low</v>
      </c>
      <c r="AF375" t="str">
        <f>TEXT(Table1[[#This Row],[OrderDate]],"MMM")</f>
        <v>Aug</v>
      </c>
      <c r="AG375" t="str">
        <f>TEXT(Table1[[#This Row],[OrderDate]],"YYYY")</f>
        <v>2024</v>
      </c>
      <c r="AI375" s="4">
        <f>IF(Table1[[#This Row],[RequiredDate]]&lt;Table1[[#This Row],[OrderDate]], Table1[[#This Row],[OrderDate]]+7, Table1[[#This Row],[RequiredDate]])</f>
        <v>45528</v>
      </c>
      <c r="AJ375">
        <f>IF(Dashboard!$D$3&gt;'Staging Data'!V375,'Staging Data'!V375,Dashboard!D$3)</f>
        <v>0.13300000000000001</v>
      </c>
      <c r="AK375" s="19">
        <f>(100%+Dashboard!$D$4)*'Staging Data'!S375</f>
        <v>173.56500000000003</v>
      </c>
      <c r="AL375">
        <f>(100%+Dashboard!$D$5)*'Staging Data'!W375</f>
        <v>28.749999999999996</v>
      </c>
    </row>
    <row r="376" spans="1:38" x14ac:dyDescent="0.35">
      <c r="A376" s="6" t="s">
        <v>441</v>
      </c>
      <c r="B376" s="4">
        <v>45522</v>
      </c>
      <c r="C376" s="4">
        <v>45547</v>
      </c>
      <c r="D376" s="4">
        <f>IF(Table1[[#This Row],[RequiredDate]]&lt;Table1[[#This Row],[OrderDate]],Table1[[#This Row],[RequiredDate]],Table1[[#This Row],[OrderDate]])</f>
        <v>45522</v>
      </c>
      <c r="E376" s="4">
        <f>IF(Table1[[#This Row],[RequiredDate]]&gt;Table1[[#This Row],[OrderDate]],Table1[[#This Row],[RequiredDate]],Table1[[#This Row],[OrderDate]])</f>
        <v>45547</v>
      </c>
      <c r="F376" s="21">
        <f>Table1[[#This Row],[New RD]]-Table1[[#This Row],[new   od]]</f>
        <v>25</v>
      </c>
      <c r="G376" s="4">
        <f>IF(Table1[[#This Row],[RequiredDate]]&lt;Table1[[#This Row],[OrderDate]], Table1[[#This Row],[OrderDate]]+7, Table1[[#This Row],[RequiredDate]])</f>
        <v>45547</v>
      </c>
      <c r="H376" s="21">
        <f t="shared" si="56"/>
        <v>25</v>
      </c>
      <c r="I376" s="6" t="str">
        <f>IF(Table1[[#This Row],[New LTD]]&lt;=7,"Yes","No")</f>
        <v>No</v>
      </c>
      <c r="J376" s="6" t="str">
        <f t="shared" si="57"/>
        <v>Yes</v>
      </c>
      <c r="K376" t="s">
        <v>647</v>
      </c>
      <c r="L376" t="s">
        <v>654</v>
      </c>
      <c r="M376" t="s">
        <v>691</v>
      </c>
      <c r="N376" t="s">
        <v>704</v>
      </c>
      <c r="O376" t="s">
        <v>709</v>
      </c>
      <c r="P376" t="s">
        <v>712</v>
      </c>
      <c r="Q376" t="s">
        <v>730</v>
      </c>
      <c r="R376" t="s">
        <v>1160</v>
      </c>
      <c r="S376" s="6">
        <v>1154.03</v>
      </c>
      <c r="T376" s="6">
        <v>1590.36</v>
      </c>
      <c r="U376" s="6">
        <f t="shared" si="58"/>
        <v>1590.36</v>
      </c>
      <c r="V376" s="8">
        <v>0.314</v>
      </c>
      <c r="W376" s="6">
        <v>18</v>
      </c>
      <c r="X376" s="6">
        <f t="shared" si="59"/>
        <v>19637.76528</v>
      </c>
      <c r="Y376">
        <f t="shared" si="60"/>
        <v>20772.54</v>
      </c>
      <c r="Z376" s="6">
        <f t="shared" si="61"/>
        <v>-1134.7747200000013</v>
      </c>
      <c r="AA376">
        <f t="shared" si="62"/>
        <v>-5.7785328616576745E-2</v>
      </c>
      <c r="AB376" t="str">
        <f t="shared" si="63"/>
        <v>8-2024</v>
      </c>
      <c r="AC376" t="str">
        <f t="shared" si="64"/>
        <v>Q3-2024</v>
      </c>
      <c r="AD376" t="str">
        <f t="shared" si="65"/>
        <v>Asia →India →Mumbai</v>
      </c>
      <c r="AE376" t="str">
        <f t="shared" si="66"/>
        <v>Medium</v>
      </c>
      <c r="AF376" t="str">
        <f>TEXT(Table1[[#This Row],[OrderDate]],"MMM")</f>
        <v>Aug</v>
      </c>
      <c r="AG376" t="str">
        <f>TEXT(Table1[[#This Row],[OrderDate]],"YYYY")</f>
        <v>2024</v>
      </c>
      <c r="AI376" s="4">
        <f>IF(Table1[[#This Row],[RequiredDate]]&lt;Table1[[#This Row],[OrderDate]], Table1[[#This Row],[OrderDate]]+7, Table1[[#This Row],[RequiredDate]])</f>
        <v>45547</v>
      </c>
      <c r="AJ376">
        <f>IF(Dashboard!$D$3&gt;'Staging Data'!V376,'Staging Data'!V376,Dashboard!D$3)</f>
        <v>0.2</v>
      </c>
      <c r="AK376" s="19">
        <f>(100%+Dashboard!$D$4)*'Staging Data'!S376</f>
        <v>1211.7315000000001</v>
      </c>
      <c r="AL376">
        <f>(100%+Dashboard!$D$5)*'Staging Data'!W376</f>
        <v>20.7</v>
      </c>
    </row>
    <row r="377" spans="1:38" x14ac:dyDescent="0.35">
      <c r="A377" s="6" t="s">
        <v>505</v>
      </c>
      <c r="B377" s="4">
        <v>45523</v>
      </c>
      <c r="C377" s="4">
        <v>45542</v>
      </c>
      <c r="D377" s="4">
        <f>IF(Table1[[#This Row],[RequiredDate]]&lt;Table1[[#This Row],[OrderDate]],Table1[[#This Row],[RequiredDate]],Table1[[#This Row],[OrderDate]])</f>
        <v>45523</v>
      </c>
      <c r="E377" s="4">
        <f>IF(Table1[[#This Row],[RequiredDate]]&gt;Table1[[#This Row],[OrderDate]],Table1[[#This Row],[RequiredDate]],Table1[[#This Row],[OrderDate]])</f>
        <v>45542</v>
      </c>
      <c r="F377" s="21">
        <f>Table1[[#This Row],[New RD]]-Table1[[#This Row],[new   od]]</f>
        <v>19</v>
      </c>
      <c r="G377" s="4">
        <f>IF(Table1[[#This Row],[RequiredDate]]&lt;Table1[[#This Row],[OrderDate]], Table1[[#This Row],[OrderDate]]+7, Table1[[#This Row],[RequiredDate]])</f>
        <v>45542</v>
      </c>
      <c r="H377" s="21">
        <f t="shared" si="56"/>
        <v>19</v>
      </c>
      <c r="I377" s="6" t="str">
        <f>IF(Table1[[#This Row],[New LTD]]&lt;=7,"Yes","No")</f>
        <v>No</v>
      </c>
      <c r="J377" s="6" t="str">
        <f t="shared" si="57"/>
        <v>No</v>
      </c>
      <c r="K377" t="s">
        <v>649</v>
      </c>
      <c r="L377" t="s">
        <v>657</v>
      </c>
      <c r="M377" t="s">
        <v>679</v>
      </c>
      <c r="N377" t="s">
        <v>701</v>
      </c>
      <c r="O377" t="s">
        <v>711</v>
      </c>
      <c r="P377" t="s">
        <v>713</v>
      </c>
      <c r="Q377" t="s">
        <v>727</v>
      </c>
      <c r="R377" t="s">
        <v>1224</v>
      </c>
      <c r="S377" s="6">
        <v>297.58999999999997</v>
      </c>
      <c r="T377" s="6">
        <v>666.41</v>
      </c>
      <c r="U377" s="6">
        <f t="shared" si="58"/>
        <v>666.41</v>
      </c>
      <c r="V377" s="8">
        <v>0</v>
      </c>
      <c r="W377" s="6">
        <v>10</v>
      </c>
      <c r="X377" s="6">
        <f t="shared" si="59"/>
        <v>6664.0999999999995</v>
      </c>
      <c r="Y377">
        <f t="shared" si="60"/>
        <v>2975.8999999999996</v>
      </c>
      <c r="Z377" s="6">
        <f t="shared" si="61"/>
        <v>3688.2</v>
      </c>
      <c r="AA377">
        <f t="shared" si="62"/>
        <v>0.55344307558409989</v>
      </c>
      <c r="AB377" t="str">
        <f t="shared" si="63"/>
        <v>8-2024</v>
      </c>
      <c r="AC377" t="str">
        <f t="shared" si="64"/>
        <v>Q3-2024</v>
      </c>
      <c r="AD377" t="str">
        <f t="shared" si="65"/>
        <v>Europe →France →Lyon</v>
      </c>
      <c r="AE377" t="str">
        <f t="shared" si="66"/>
        <v>Low</v>
      </c>
      <c r="AF377" t="str">
        <f>TEXT(Table1[[#This Row],[OrderDate]],"MMM")</f>
        <v>Aug</v>
      </c>
      <c r="AG377" t="str">
        <f>TEXT(Table1[[#This Row],[OrderDate]],"YYYY")</f>
        <v>2024</v>
      </c>
      <c r="AI377" s="4">
        <f>IF(Table1[[#This Row],[RequiredDate]]&lt;Table1[[#This Row],[OrderDate]], Table1[[#This Row],[OrderDate]]+7, Table1[[#This Row],[RequiredDate]])</f>
        <v>45542</v>
      </c>
      <c r="AJ377">
        <f>IF(Dashboard!$D$3&gt;'Staging Data'!V377,'Staging Data'!V377,Dashboard!D$3)</f>
        <v>0</v>
      </c>
      <c r="AK377" s="19">
        <f>(100%+Dashboard!$D$4)*'Staging Data'!S377</f>
        <v>312.46949999999998</v>
      </c>
      <c r="AL377">
        <f>(100%+Dashboard!$D$5)*'Staging Data'!W377</f>
        <v>11.5</v>
      </c>
    </row>
    <row r="378" spans="1:38" x14ac:dyDescent="0.35">
      <c r="A378" s="6" t="s">
        <v>615</v>
      </c>
      <c r="B378" s="4">
        <v>45523</v>
      </c>
      <c r="C378" s="4">
        <v>45537</v>
      </c>
      <c r="D378" s="4">
        <f>IF(Table1[[#This Row],[RequiredDate]]&lt;Table1[[#This Row],[OrderDate]],Table1[[#This Row],[RequiredDate]],Table1[[#This Row],[OrderDate]])</f>
        <v>45523</v>
      </c>
      <c r="E378" s="4">
        <f>IF(Table1[[#This Row],[RequiredDate]]&gt;Table1[[#This Row],[OrderDate]],Table1[[#This Row],[RequiredDate]],Table1[[#This Row],[OrderDate]])</f>
        <v>45537</v>
      </c>
      <c r="F378" s="21">
        <f>Table1[[#This Row],[New RD]]-Table1[[#This Row],[new   od]]</f>
        <v>14</v>
      </c>
      <c r="G378" s="4">
        <f>IF(Table1[[#This Row],[RequiredDate]]&lt;Table1[[#This Row],[OrderDate]], Table1[[#This Row],[OrderDate]]+7, Table1[[#This Row],[RequiredDate]])</f>
        <v>45537</v>
      </c>
      <c r="H378" s="21">
        <f t="shared" si="56"/>
        <v>14</v>
      </c>
      <c r="I378" s="6" t="str">
        <f>IF(Table1[[#This Row],[New LTD]]&lt;=7,"Yes","No")</f>
        <v>No</v>
      </c>
      <c r="J378" s="6" t="str">
        <f t="shared" si="57"/>
        <v>No</v>
      </c>
      <c r="K378" t="s">
        <v>648</v>
      </c>
      <c r="L378" t="s">
        <v>653</v>
      </c>
      <c r="M378" t="s">
        <v>667</v>
      </c>
      <c r="N378" t="s">
        <v>704</v>
      </c>
      <c r="O378" t="s">
        <v>710</v>
      </c>
      <c r="P378" t="s">
        <v>712</v>
      </c>
      <c r="Q378" t="s">
        <v>728</v>
      </c>
      <c r="R378" t="s">
        <v>1333</v>
      </c>
      <c r="S378" s="6">
        <v>1337.01</v>
      </c>
      <c r="T378" s="6">
        <v>1269.78</v>
      </c>
      <c r="U378" s="6">
        <f t="shared" si="58"/>
        <v>1269.78</v>
      </c>
      <c r="V378" s="8">
        <v>0.16</v>
      </c>
      <c r="W378" s="6">
        <v>7</v>
      </c>
      <c r="X378" s="6">
        <f t="shared" si="59"/>
        <v>7466.3063999999986</v>
      </c>
      <c r="Y378">
        <f t="shared" si="60"/>
        <v>9359.07</v>
      </c>
      <c r="Z378" s="6">
        <f t="shared" si="61"/>
        <v>-1892.7636000000011</v>
      </c>
      <c r="AA378">
        <f t="shared" si="62"/>
        <v>-0.25350735672996244</v>
      </c>
      <c r="AB378" t="str">
        <f t="shared" si="63"/>
        <v>8-2024</v>
      </c>
      <c r="AC378" t="str">
        <f t="shared" si="64"/>
        <v>Q3-2024</v>
      </c>
      <c r="AD378" t="str">
        <f t="shared" si="65"/>
        <v>Americas →Canada →Toronto</v>
      </c>
      <c r="AE378" t="str">
        <f t="shared" si="66"/>
        <v>Medium</v>
      </c>
      <c r="AF378" t="str">
        <f>TEXT(Table1[[#This Row],[OrderDate]],"MMM")</f>
        <v>Aug</v>
      </c>
      <c r="AG378" t="str">
        <f>TEXT(Table1[[#This Row],[OrderDate]],"YYYY")</f>
        <v>2024</v>
      </c>
      <c r="AI378" s="4">
        <f>IF(Table1[[#This Row],[RequiredDate]]&lt;Table1[[#This Row],[OrderDate]], Table1[[#This Row],[OrderDate]]+7, Table1[[#This Row],[RequiredDate]])</f>
        <v>45537</v>
      </c>
      <c r="AJ378">
        <f>IF(Dashboard!$D$3&gt;'Staging Data'!V378,'Staging Data'!V378,Dashboard!D$3)</f>
        <v>0.16</v>
      </c>
      <c r="AK378" s="19">
        <f>(100%+Dashboard!$D$4)*'Staging Data'!S378</f>
        <v>1403.8605</v>
      </c>
      <c r="AL378">
        <f>(100%+Dashboard!$D$5)*'Staging Data'!W378</f>
        <v>8.0499999999999989</v>
      </c>
    </row>
    <row r="379" spans="1:38" x14ac:dyDescent="0.35">
      <c r="A379" s="6" t="s">
        <v>457</v>
      </c>
      <c r="B379" s="4">
        <v>45526</v>
      </c>
      <c r="C379" s="4">
        <v>45539</v>
      </c>
      <c r="D379" s="4">
        <f>IF(Table1[[#This Row],[RequiredDate]]&lt;Table1[[#This Row],[OrderDate]],Table1[[#This Row],[RequiredDate]],Table1[[#This Row],[OrderDate]])</f>
        <v>45526</v>
      </c>
      <c r="E379" s="4">
        <f>IF(Table1[[#This Row],[RequiredDate]]&gt;Table1[[#This Row],[OrderDate]],Table1[[#This Row],[RequiredDate]],Table1[[#This Row],[OrderDate]])</f>
        <v>45539</v>
      </c>
      <c r="F379" s="21">
        <f>Table1[[#This Row],[New RD]]-Table1[[#This Row],[new   od]]</f>
        <v>13</v>
      </c>
      <c r="G379" s="4">
        <f>IF(Table1[[#This Row],[RequiredDate]]&lt;Table1[[#This Row],[OrderDate]], Table1[[#This Row],[OrderDate]]+7, Table1[[#This Row],[RequiredDate]])</f>
        <v>45539</v>
      </c>
      <c r="H379" s="21">
        <f t="shared" si="56"/>
        <v>13</v>
      </c>
      <c r="I379" s="6" t="str">
        <f>IF(Table1[[#This Row],[New LTD]]&lt;=7,"Yes","No")</f>
        <v>No</v>
      </c>
      <c r="J379" s="6" t="str">
        <f t="shared" si="57"/>
        <v>No</v>
      </c>
      <c r="K379" t="s">
        <v>649</v>
      </c>
      <c r="L379" t="s">
        <v>656</v>
      </c>
      <c r="M379" t="s">
        <v>698</v>
      </c>
      <c r="N379" t="s">
        <v>703</v>
      </c>
      <c r="O379" t="s">
        <v>707</v>
      </c>
      <c r="P379" t="s">
        <v>716</v>
      </c>
      <c r="Q379" t="s">
        <v>728</v>
      </c>
      <c r="R379" t="s">
        <v>1176</v>
      </c>
      <c r="S379" s="6">
        <v>90.04</v>
      </c>
      <c r="T379" s="6">
        <v>194.62</v>
      </c>
      <c r="U379" s="6">
        <f t="shared" si="58"/>
        <v>194.62</v>
      </c>
      <c r="V379" s="8">
        <v>4.2999999999999997E-2</v>
      </c>
      <c r="W379" s="6">
        <v>32</v>
      </c>
      <c r="X379" s="6">
        <f t="shared" si="59"/>
        <v>5960.04288</v>
      </c>
      <c r="Y379">
        <f t="shared" si="60"/>
        <v>2881.28</v>
      </c>
      <c r="Z379" s="6">
        <f t="shared" si="61"/>
        <v>3078.7628799999998</v>
      </c>
      <c r="AA379">
        <f t="shared" si="62"/>
        <v>0.51656723650954672</v>
      </c>
      <c r="AB379" t="str">
        <f t="shared" si="63"/>
        <v>8-2024</v>
      </c>
      <c r="AC379" t="str">
        <f t="shared" si="64"/>
        <v>Q3-2024</v>
      </c>
      <c r="AD379" t="str">
        <f t="shared" si="65"/>
        <v>Europe →Germany →Frankfurt</v>
      </c>
      <c r="AE379" t="str">
        <f t="shared" si="66"/>
        <v>Low</v>
      </c>
      <c r="AF379" t="str">
        <f>TEXT(Table1[[#This Row],[OrderDate]],"MMM")</f>
        <v>Aug</v>
      </c>
      <c r="AG379" t="str">
        <f>TEXT(Table1[[#This Row],[OrderDate]],"YYYY")</f>
        <v>2024</v>
      </c>
      <c r="AI379" s="4">
        <f>IF(Table1[[#This Row],[RequiredDate]]&lt;Table1[[#This Row],[OrderDate]], Table1[[#This Row],[OrderDate]]+7, Table1[[#This Row],[RequiredDate]])</f>
        <v>45539</v>
      </c>
      <c r="AJ379">
        <f>IF(Dashboard!$D$3&gt;'Staging Data'!V379,'Staging Data'!V379,Dashboard!D$3)</f>
        <v>4.2999999999999997E-2</v>
      </c>
      <c r="AK379" s="19">
        <f>(100%+Dashboard!$D$4)*'Staging Data'!S379</f>
        <v>94.542000000000016</v>
      </c>
      <c r="AL379">
        <f>(100%+Dashboard!$D$5)*'Staging Data'!W379</f>
        <v>36.799999999999997</v>
      </c>
    </row>
    <row r="380" spans="1:38" x14ac:dyDescent="0.35">
      <c r="A380" s="6" t="s">
        <v>49</v>
      </c>
      <c r="B380" s="4">
        <v>45527</v>
      </c>
      <c r="C380" s="4">
        <v>45525</v>
      </c>
      <c r="D380" s="4">
        <f>IF(Table1[[#This Row],[RequiredDate]]&lt;Table1[[#This Row],[OrderDate]],Table1[[#This Row],[RequiredDate]],Table1[[#This Row],[OrderDate]])</f>
        <v>45525</v>
      </c>
      <c r="E380" s="4">
        <f>IF(Table1[[#This Row],[RequiredDate]]&gt;Table1[[#This Row],[OrderDate]],Table1[[#This Row],[RequiredDate]],Table1[[#This Row],[OrderDate]])</f>
        <v>45527</v>
      </c>
      <c r="F380" s="21">
        <f>Table1[[#This Row],[New RD]]-Table1[[#This Row],[new   od]]</f>
        <v>2</v>
      </c>
      <c r="G380" s="4">
        <f>IF(Table1[[#This Row],[RequiredDate]]&lt;Table1[[#This Row],[OrderDate]], Table1[[#This Row],[OrderDate]]+7, Table1[[#This Row],[RequiredDate]])</f>
        <v>45534</v>
      </c>
      <c r="H380" s="21">
        <f t="shared" si="56"/>
        <v>7</v>
      </c>
      <c r="I380" s="6" t="str">
        <f>IF(Table1[[#This Row],[New LTD]]&lt;=7,"Yes","No")</f>
        <v>Yes</v>
      </c>
      <c r="J380" s="6" t="str">
        <f t="shared" si="57"/>
        <v>No</v>
      </c>
      <c r="K380" t="s">
        <v>646</v>
      </c>
      <c r="L380" t="s">
        <v>661</v>
      </c>
      <c r="M380" t="s">
        <v>682</v>
      </c>
      <c r="N380" t="s">
        <v>702</v>
      </c>
      <c r="O380" t="s">
        <v>707</v>
      </c>
      <c r="P380" t="s">
        <v>718</v>
      </c>
      <c r="Q380" t="s">
        <v>727</v>
      </c>
      <c r="R380" t="s">
        <v>768</v>
      </c>
      <c r="S380" s="6">
        <v>1432.52</v>
      </c>
      <c r="T380" s="6">
        <v>3036.87</v>
      </c>
      <c r="U380" s="6">
        <f t="shared" si="58"/>
        <v>3036.87</v>
      </c>
      <c r="V380" s="8">
        <v>0</v>
      </c>
      <c r="W380" s="6">
        <v>9</v>
      </c>
      <c r="X380" s="6">
        <f t="shared" si="59"/>
        <v>27331.829999999998</v>
      </c>
      <c r="Y380">
        <f t="shared" si="60"/>
        <v>12892.68</v>
      </c>
      <c r="Z380" s="6">
        <f t="shared" si="61"/>
        <v>14439.149999999998</v>
      </c>
      <c r="AA380">
        <f t="shared" si="62"/>
        <v>0.52829064135112791</v>
      </c>
      <c r="AB380" t="str">
        <f t="shared" si="63"/>
        <v>8-2024</v>
      </c>
      <c r="AC380" t="str">
        <f t="shared" si="64"/>
        <v>Q3-2024</v>
      </c>
      <c r="AD380" t="str">
        <f t="shared" si="65"/>
        <v>Africa →South Africa →Johannesburg</v>
      </c>
      <c r="AE380" t="str">
        <f t="shared" si="66"/>
        <v>High</v>
      </c>
      <c r="AF380" t="str">
        <f>TEXT(Table1[[#This Row],[OrderDate]],"MMM")</f>
        <v>Aug</v>
      </c>
      <c r="AG380" t="str">
        <f>TEXT(Table1[[#This Row],[OrderDate]],"YYYY")</f>
        <v>2024</v>
      </c>
      <c r="AI380" s="4">
        <f>IF(Table1[[#This Row],[RequiredDate]]&lt;Table1[[#This Row],[OrderDate]], Table1[[#This Row],[OrderDate]]+7, Table1[[#This Row],[RequiredDate]])</f>
        <v>45534</v>
      </c>
      <c r="AJ380">
        <f>IF(Dashboard!$D$3&gt;'Staging Data'!V380,'Staging Data'!V380,Dashboard!D$3)</f>
        <v>0</v>
      </c>
      <c r="AK380" s="19">
        <f>(100%+Dashboard!$D$4)*'Staging Data'!S380</f>
        <v>1504.146</v>
      </c>
      <c r="AL380">
        <f>(100%+Dashboard!$D$5)*'Staging Data'!W380</f>
        <v>10.35</v>
      </c>
    </row>
    <row r="381" spans="1:38" x14ac:dyDescent="0.35">
      <c r="A381" s="6" t="s">
        <v>55</v>
      </c>
      <c r="B381" s="4">
        <v>45531</v>
      </c>
      <c r="C381" s="4">
        <v>45554</v>
      </c>
      <c r="D381" s="4">
        <f>IF(Table1[[#This Row],[RequiredDate]]&lt;Table1[[#This Row],[OrderDate]],Table1[[#This Row],[RequiredDate]],Table1[[#This Row],[OrderDate]])</f>
        <v>45531</v>
      </c>
      <c r="E381" s="4">
        <f>IF(Table1[[#This Row],[RequiredDate]]&gt;Table1[[#This Row],[OrderDate]],Table1[[#This Row],[RequiredDate]],Table1[[#This Row],[OrderDate]])</f>
        <v>45554</v>
      </c>
      <c r="F381" s="21">
        <f>Table1[[#This Row],[New RD]]-Table1[[#This Row],[new   od]]</f>
        <v>23</v>
      </c>
      <c r="G381" s="4">
        <f>IF(Table1[[#This Row],[RequiredDate]]&lt;Table1[[#This Row],[OrderDate]], Table1[[#This Row],[OrderDate]]+7, Table1[[#This Row],[RequiredDate]])</f>
        <v>45554</v>
      </c>
      <c r="H381" s="21">
        <f t="shared" si="56"/>
        <v>23</v>
      </c>
      <c r="I381" s="6" t="str">
        <f>IF(Table1[[#This Row],[New LTD]]&lt;=7,"Yes","No")</f>
        <v>No</v>
      </c>
      <c r="J381" s="6" t="str">
        <f t="shared" si="57"/>
        <v>No</v>
      </c>
      <c r="K381" t="s">
        <v>649</v>
      </c>
      <c r="L381" t="s">
        <v>656</v>
      </c>
      <c r="M381" t="s">
        <v>671</v>
      </c>
      <c r="N381" t="s">
        <v>705</v>
      </c>
      <c r="O381" t="s">
        <v>711</v>
      </c>
      <c r="P381" t="s">
        <v>726</v>
      </c>
      <c r="Q381" t="s">
        <v>732</v>
      </c>
      <c r="R381" t="s">
        <v>774</v>
      </c>
      <c r="S381" s="6">
        <v>1024.01</v>
      </c>
      <c r="T381" s="6">
        <v>1580.97</v>
      </c>
      <c r="U381" s="6">
        <f t="shared" si="58"/>
        <v>1580.97</v>
      </c>
      <c r="V381" s="8">
        <v>3.6999999999999998E-2</v>
      </c>
      <c r="W381" s="6">
        <v>27</v>
      </c>
      <c r="X381" s="6">
        <f t="shared" si="59"/>
        <v>41106.800970000004</v>
      </c>
      <c r="Y381">
        <f t="shared" si="60"/>
        <v>27648.27</v>
      </c>
      <c r="Z381" s="6">
        <f t="shared" si="61"/>
        <v>13458.530970000003</v>
      </c>
      <c r="AA381">
        <f t="shared" si="62"/>
        <v>0.3274039976942531</v>
      </c>
      <c r="AB381" t="str">
        <f t="shared" si="63"/>
        <v>8-2024</v>
      </c>
      <c r="AC381" t="str">
        <f t="shared" si="64"/>
        <v>Q3-2024</v>
      </c>
      <c r="AD381" t="str">
        <f t="shared" si="65"/>
        <v>Europe →Germany →Berlin</v>
      </c>
      <c r="AE381" t="str">
        <f t="shared" si="66"/>
        <v>Medium</v>
      </c>
      <c r="AF381" t="str">
        <f>TEXT(Table1[[#This Row],[OrderDate]],"MMM")</f>
        <v>Aug</v>
      </c>
      <c r="AG381" t="str">
        <f>TEXT(Table1[[#This Row],[OrderDate]],"YYYY")</f>
        <v>2024</v>
      </c>
      <c r="AI381" s="4">
        <f>IF(Table1[[#This Row],[RequiredDate]]&lt;Table1[[#This Row],[OrderDate]], Table1[[#This Row],[OrderDate]]+7, Table1[[#This Row],[RequiredDate]])</f>
        <v>45554</v>
      </c>
      <c r="AJ381">
        <f>IF(Dashboard!$D$3&gt;'Staging Data'!V381,'Staging Data'!V381,Dashboard!D$3)</f>
        <v>3.6999999999999998E-2</v>
      </c>
      <c r="AK381" s="19">
        <f>(100%+Dashboard!$D$4)*'Staging Data'!S381</f>
        <v>1075.2105000000001</v>
      </c>
      <c r="AL381">
        <f>(100%+Dashboard!$D$5)*'Staging Data'!W381</f>
        <v>31.049999999999997</v>
      </c>
    </row>
    <row r="382" spans="1:38" x14ac:dyDescent="0.35">
      <c r="A382" s="6" t="s">
        <v>172</v>
      </c>
      <c r="B382" s="4">
        <v>45531</v>
      </c>
      <c r="C382" s="4">
        <v>45553</v>
      </c>
      <c r="D382" s="4">
        <f>IF(Table1[[#This Row],[RequiredDate]]&lt;Table1[[#This Row],[OrderDate]],Table1[[#This Row],[RequiredDate]],Table1[[#This Row],[OrderDate]])</f>
        <v>45531</v>
      </c>
      <c r="E382" s="4">
        <f>IF(Table1[[#This Row],[RequiredDate]]&gt;Table1[[#This Row],[OrderDate]],Table1[[#This Row],[RequiredDate]],Table1[[#This Row],[OrderDate]])</f>
        <v>45553</v>
      </c>
      <c r="F382" s="21">
        <f>Table1[[#This Row],[New RD]]-Table1[[#This Row],[new   od]]</f>
        <v>22</v>
      </c>
      <c r="G382" s="4">
        <f>IF(Table1[[#This Row],[RequiredDate]]&lt;Table1[[#This Row],[OrderDate]], Table1[[#This Row],[OrderDate]]+7, Table1[[#This Row],[RequiredDate]])</f>
        <v>45553</v>
      </c>
      <c r="H382" s="21">
        <f t="shared" si="56"/>
        <v>22</v>
      </c>
      <c r="I382" s="6" t="str">
        <f>IF(Table1[[#This Row],[New LTD]]&lt;=7,"Yes","No")</f>
        <v>No</v>
      </c>
      <c r="J382" s="6" t="str">
        <f t="shared" si="57"/>
        <v>No</v>
      </c>
      <c r="K382" t="s">
        <v>647</v>
      </c>
      <c r="L382" t="s">
        <v>654</v>
      </c>
      <c r="M382" t="s">
        <v>680</v>
      </c>
      <c r="N382" t="s">
        <v>704</v>
      </c>
      <c r="O382" t="s">
        <v>711</v>
      </c>
      <c r="P382" t="s">
        <v>717</v>
      </c>
      <c r="Q382" t="s">
        <v>727</v>
      </c>
      <c r="R382" t="s">
        <v>891</v>
      </c>
      <c r="S382" s="6">
        <v>896.75</v>
      </c>
      <c r="T382" s="6">
        <v>1651.14</v>
      </c>
      <c r="U382" s="6">
        <f t="shared" si="58"/>
        <v>1651.14</v>
      </c>
      <c r="V382" s="8">
        <v>2.5000000000000001E-2</v>
      </c>
      <c r="W382" s="6">
        <v>15</v>
      </c>
      <c r="X382" s="6">
        <f t="shared" si="59"/>
        <v>24147.922500000001</v>
      </c>
      <c r="Y382">
        <f t="shared" si="60"/>
        <v>13451.25</v>
      </c>
      <c r="Z382" s="6">
        <f t="shared" si="61"/>
        <v>10696.672500000001</v>
      </c>
      <c r="AA382">
        <f t="shared" si="62"/>
        <v>0.44296450346815552</v>
      </c>
      <c r="AB382" t="str">
        <f t="shared" si="63"/>
        <v>8-2024</v>
      </c>
      <c r="AC382" t="str">
        <f t="shared" si="64"/>
        <v>Q3-2024</v>
      </c>
      <c r="AD382" t="str">
        <f t="shared" si="65"/>
        <v>Asia →India →Delhi</v>
      </c>
      <c r="AE382" t="str">
        <f t="shared" si="66"/>
        <v>High</v>
      </c>
      <c r="AF382" t="str">
        <f>TEXT(Table1[[#This Row],[OrderDate]],"MMM")</f>
        <v>Aug</v>
      </c>
      <c r="AG382" t="str">
        <f>TEXT(Table1[[#This Row],[OrderDate]],"YYYY")</f>
        <v>2024</v>
      </c>
      <c r="AI382" s="4">
        <f>IF(Table1[[#This Row],[RequiredDate]]&lt;Table1[[#This Row],[OrderDate]], Table1[[#This Row],[OrderDate]]+7, Table1[[#This Row],[RequiredDate]])</f>
        <v>45553</v>
      </c>
      <c r="AJ382">
        <f>IF(Dashboard!$D$3&gt;'Staging Data'!V382,'Staging Data'!V382,Dashboard!D$3)</f>
        <v>2.5000000000000001E-2</v>
      </c>
      <c r="AK382" s="19">
        <f>(100%+Dashboard!$D$4)*'Staging Data'!S382</f>
        <v>941.58750000000009</v>
      </c>
      <c r="AL382">
        <f>(100%+Dashboard!$D$5)*'Staging Data'!W382</f>
        <v>17.25</v>
      </c>
    </row>
    <row r="383" spans="1:38" x14ac:dyDescent="0.35">
      <c r="A383" s="6" t="s">
        <v>91</v>
      </c>
      <c r="B383" s="4">
        <v>45532</v>
      </c>
      <c r="C383" s="4">
        <v>45560</v>
      </c>
      <c r="D383" s="4">
        <f>IF(Table1[[#This Row],[RequiredDate]]&lt;Table1[[#This Row],[OrderDate]],Table1[[#This Row],[RequiredDate]],Table1[[#This Row],[OrderDate]])</f>
        <v>45532</v>
      </c>
      <c r="E383" s="4">
        <f>IF(Table1[[#This Row],[RequiredDate]]&gt;Table1[[#This Row],[OrderDate]],Table1[[#This Row],[RequiredDate]],Table1[[#This Row],[OrderDate]])</f>
        <v>45560</v>
      </c>
      <c r="F383" s="21">
        <f>Table1[[#This Row],[New RD]]-Table1[[#This Row],[new   od]]</f>
        <v>28</v>
      </c>
      <c r="G383" s="4">
        <f>IF(Table1[[#This Row],[RequiredDate]]&lt;Table1[[#This Row],[OrderDate]], Table1[[#This Row],[OrderDate]]+7, Table1[[#This Row],[RequiredDate]])</f>
        <v>45560</v>
      </c>
      <c r="H383" s="21">
        <f t="shared" si="56"/>
        <v>28</v>
      </c>
      <c r="I383" s="6" t="str">
        <f>IF(Table1[[#This Row],[New LTD]]&lt;=7,"Yes","No")</f>
        <v>No</v>
      </c>
      <c r="J383" s="6" t="str">
        <f t="shared" si="57"/>
        <v>No</v>
      </c>
      <c r="K383" t="s">
        <v>648</v>
      </c>
      <c r="L383" t="s">
        <v>655</v>
      </c>
      <c r="M383" t="s">
        <v>692</v>
      </c>
      <c r="N383" t="s">
        <v>703</v>
      </c>
      <c r="O383" t="s">
        <v>708</v>
      </c>
      <c r="P383" t="s">
        <v>1423</v>
      </c>
      <c r="Q383" t="s">
        <v>733</v>
      </c>
      <c r="R383" t="s">
        <v>810</v>
      </c>
      <c r="S383" s="6">
        <v>1394.65</v>
      </c>
      <c r="T383" s="6">
        <v>3144.1</v>
      </c>
      <c r="U383" s="6">
        <f t="shared" si="58"/>
        <v>3144.1</v>
      </c>
      <c r="V383" s="8">
        <v>0.13400000000000001</v>
      </c>
      <c r="W383" s="6">
        <v>13</v>
      </c>
      <c r="X383" s="6">
        <f t="shared" si="59"/>
        <v>35396.277799999996</v>
      </c>
      <c r="Y383">
        <f t="shared" si="60"/>
        <v>18130.45</v>
      </c>
      <c r="Z383" s="6">
        <f t="shared" si="61"/>
        <v>17265.827799999995</v>
      </c>
      <c r="AA383">
        <f t="shared" si="62"/>
        <v>0.4877865378263021</v>
      </c>
      <c r="AB383" t="str">
        <f t="shared" si="63"/>
        <v>8-2024</v>
      </c>
      <c r="AC383" t="str">
        <f t="shared" si="64"/>
        <v>Q3-2024</v>
      </c>
      <c r="AD383" t="str">
        <f t="shared" si="65"/>
        <v>Americas →Brazil →Rio de Janeiro</v>
      </c>
      <c r="AE383" t="str">
        <f t="shared" si="66"/>
        <v>High</v>
      </c>
      <c r="AF383" t="str">
        <f>TEXT(Table1[[#This Row],[OrderDate]],"MMM")</f>
        <v>Aug</v>
      </c>
      <c r="AG383" t="str">
        <f>TEXT(Table1[[#This Row],[OrderDate]],"YYYY")</f>
        <v>2024</v>
      </c>
      <c r="AI383" s="4">
        <f>IF(Table1[[#This Row],[RequiredDate]]&lt;Table1[[#This Row],[OrderDate]], Table1[[#This Row],[OrderDate]]+7, Table1[[#This Row],[RequiredDate]])</f>
        <v>45560</v>
      </c>
      <c r="AJ383">
        <f>IF(Dashboard!$D$3&gt;'Staging Data'!V383,'Staging Data'!V383,Dashboard!D$3)</f>
        <v>0.13400000000000001</v>
      </c>
      <c r="AK383" s="19">
        <f>(100%+Dashboard!$D$4)*'Staging Data'!S383</f>
        <v>1464.3825000000002</v>
      </c>
      <c r="AL383">
        <f>(100%+Dashboard!$D$5)*'Staging Data'!W383</f>
        <v>14.95</v>
      </c>
    </row>
    <row r="384" spans="1:38" x14ac:dyDescent="0.35">
      <c r="A384" s="6" t="s">
        <v>424</v>
      </c>
      <c r="B384" s="4">
        <v>45534</v>
      </c>
      <c r="C384" s="4">
        <v>45540</v>
      </c>
      <c r="D384" s="4">
        <f>IF(Table1[[#This Row],[RequiredDate]]&lt;Table1[[#This Row],[OrderDate]],Table1[[#This Row],[RequiredDate]],Table1[[#This Row],[OrderDate]])</f>
        <v>45534</v>
      </c>
      <c r="E384" s="4">
        <f>IF(Table1[[#This Row],[RequiredDate]]&gt;Table1[[#This Row],[OrderDate]],Table1[[#This Row],[RequiredDate]],Table1[[#This Row],[OrderDate]])</f>
        <v>45540</v>
      </c>
      <c r="F384" s="21">
        <f>Table1[[#This Row],[New RD]]-Table1[[#This Row],[new   od]]</f>
        <v>6</v>
      </c>
      <c r="G384" s="4">
        <f>IF(Table1[[#This Row],[RequiredDate]]&lt;Table1[[#This Row],[OrderDate]], Table1[[#This Row],[OrderDate]]+7, Table1[[#This Row],[RequiredDate]])</f>
        <v>45540</v>
      </c>
      <c r="H384" s="21">
        <f t="shared" si="56"/>
        <v>6</v>
      </c>
      <c r="I384" s="6" t="str">
        <f>IF(Table1[[#This Row],[New LTD]]&lt;=7,"Yes","No")</f>
        <v>Yes</v>
      </c>
      <c r="J384" s="6" t="str">
        <f t="shared" si="57"/>
        <v>Yes</v>
      </c>
      <c r="K384" t="s">
        <v>647</v>
      </c>
      <c r="L384" t="s">
        <v>652</v>
      </c>
      <c r="M384" t="s">
        <v>694</v>
      </c>
      <c r="N384" t="s">
        <v>702</v>
      </c>
      <c r="O384" t="s">
        <v>708</v>
      </c>
      <c r="P384" t="s">
        <v>725</v>
      </c>
      <c r="Q384" t="s">
        <v>731</v>
      </c>
      <c r="R384" t="s">
        <v>1143</v>
      </c>
      <c r="S384" s="6">
        <v>466.16</v>
      </c>
      <c r="T384" s="6">
        <v>876.81</v>
      </c>
      <c r="U384" s="6">
        <f t="shared" si="58"/>
        <v>876.81</v>
      </c>
      <c r="V384" s="8">
        <v>0.24099999999999999</v>
      </c>
      <c r="W384" s="6">
        <v>8</v>
      </c>
      <c r="X384" s="6">
        <f t="shared" si="59"/>
        <v>5323.9903199999999</v>
      </c>
      <c r="Y384">
        <f t="shared" si="60"/>
        <v>3729.28</v>
      </c>
      <c r="Z384" s="6">
        <f t="shared" si="61"/>
        <v>1594.7103199999997</v>
      </c>
      <c r="AA384">
        <f t="shared" si="62"/>
        <v>0.29953291124691594</v>
      </c>
      <c r="AB384" t="str">
        <f t="shared" si="63"/>
        <v>8-2024</v>
      </c>
      <c r="AC384" t="str">
        <f t="shared" si="64"/>
        <v>Q3-2024</v>
      </c>
      <c r="AD384" t="str">
        <f t="shared" si="65"/>
        <v>Asia →Japan →Nagoya</v>
      </c>
      <c r="AE384" t="str">
        <f t="shared" si="66"/>
        <v>Medium</v>
      </c>
      <c r="AF384" t="str">
        <f>TEXT(Table1[[#This Row],[OrderDate]],"MMM")</f>
        <v>Aug</v>
      </c>
      <c r="AG384" t="str">
        <f>TEXT(Table1[[#This Row],[OrderDate]],"YYYY")</f>
        <v>2024</v>
      </c>
      <c r="AI384" s="4">
        <f>IF(Table1[[#This Row],[RequiredDate]]&lt;Table1[[#This Row],[OrderDate]], Table1[[#This Row],[OrderDate]]+7, Table1[[#This Row],[RequiredDate]])</f>
        <v>45540</v>
      </c>
      <c r="AJ384">
        <f>IF(Dashboard!$D$3&gt;'Staging Data'!V384,'Staging Data'!V384,Dashboard!D$3)</f>
        <v>0.2</v>
      </c>
      <c r="AK384" s="19">
        <f>(100%+Dashboard!$D$4)*'Staging Data'!S384</f>
        <v>489.46800000000007</v>
      </c>
      <c r="AL384">
        <f>(100%+Dashboard!$D$5)*'Staging Data'!W384</f>
        <v>9.1999999999999993</v>
      </c>
    </row>
    <row r="385" spans="1:38" x14ac:dyDescent="0.35">
      <c r="A385" s="6" t="s">
        <v>569</v>
      </c>
      <c r="B385" s="4">
        <v>45535</v>
      </c>
      <c r="C385" s="4">
        <v>45561</v>
      </c>
      <c r="D385" s="4">
        <f>IF(Table1[[#This Row],[RequiredDate]]&lt;Table1[[#This Row],[OrderDate]],Table1[[#This Row],[RequiredDate]],Table1[[#This Row],[OrderDate]])</f>
        <v>45535</v>
      </c>
      <c r="E385" s="4">
        <f>IF(Table1[[#This Row],[RequiredDate]]&gt;Table1[[#This Row],[OrderDate]],Table1[[#This Row],[RequiredDate]],Table1[[#This Row],[OrderDate]])</f>
        <v>45561</v>
      </c>
      <c r="F385" s="21">
        <f>Table1[[#This Row],[New RD]]-Table1[[#This Row],[new   od]]</f>
        <v>26</v>
      </c>
      <c r="G385" s="4">
        <f>IF(Table1[[#This Row],[RequiredDate]]&lt;Table1[[#This Row],[OrderDate]], Table1[[#This Row],[OrderDate]]+7, Table1[[#This Row],[RequiredDate]])</f>
        <v>45561</v>
      </c>
      <c r="H385" s="21">
        <f t="shared" si="56"/>
        <v>26</v>
      </c>
      <c r="I385" s="6" t="str">
        <f>IF(Table1[[#This Row],[New LTD]]&lt;=7,"Yes","No")</f>
        <v>No</v>
      </c>
      <c r="J385" s="6" t="str">
        <f t="shared" si="57"/>
        <v>No</v>
      </c>
      <c r="K385" t="s">
        <v>647</v>
      </c>
      <c r="L385" t="s">
        <v>652</v>
      </c>
      <c r="M385" t="s">
        <v>689</v>
      </c>
      <c r="N385" t="s">
        <v>702</v>
      </c>
      <c r="O385" t="s">
        <v>708</v>
      </c>
      <c r="P385" t="s">
        <v>714</v>
      </c>
      <c r="Q385" t="s">
        <v>730</v>
      </c>
      <c r="R385" t="s">
        <v>1287</v>
      </c>
      <c r="S385" s="6">
        <v>1189.03</v>
      </c>
      <c r="T385" s="6">
        <v>2949.62</v>
      </c>
      <c r="U385" s="6">
        <f t="shared" si="58"/>
        <v>2949.62</v>
      </c>
      <c r="V385" s="8">
        <v>0.125</v>
      </c>
      <c r="W385" s="6">
        <v>13</v>
      </c>
      <c r="X385" s="6">
        <f t="shared" si="59"/>
        <v>33551.927499999998</v>
      </c>
      <c r="Y385">
        <f t="shared" si="60"/>
        <v>15457.39</v>
      </c>
      <c r="Z385" s="6">
        <f t="shared" si="61"/>
        <v>18094.537499999999</v>
      </c>
      <c r="AA385">
        <f t="shared" si="62"/>
        <v>0.53929949330034765</v>
      </c>
      <c r="AB385" t="str">
        <f t="shared" si="63"/>
        <v>8-2024</v>
      </c>
      <c r="AC385" t="str">
        <f t="shared" si="64"/>
        <v>Q3-2024</v>
      </c>
      <c r="AD385" t="str">
        <f t="shared" si="65"/>
        <v>Asia →Japan →Tokyo</v>
      </c>
      <c r="AE385" t="str">
        <f t="shared" si="66"/>
        <v>High</v>
      </c>
      <c r="AF385" t="str">
        <f>TEXT(Table1[[#This Row],[OrderDate]],"MMM")</f>
        <v>Aug</v>
      </c>
      <c r="AG385" t="str">
        <f>TEXT(Table1[[#This Row],[OrderDate]],"YYYY")</f>
        <v>2024</v>
      </c>
      <c r="AI385" s="4">
        <f>IF(Table1[[#This Row],[RequiredDate]]&lt;Table1[[#This Row],[OrderDate]], Table1[[#This Row],[OrderDate]]+7, Table1[[#This Row],[RequiredDate]])</f>
        <v>45561</v>
      </c>
      <c r="AJ385">
        <f>IF(Dashboard!$D$3&gt;'Staging Data'!V385,'Staging Data'!V385,Dashboard!D$3)</f>
        <v>0.125</v>
      </c>
      <c r="AK385" s="19">
        <f>(100%+Dashboard!$D$4)*'Staging Data'!S385</f>
        <v>1248.4815000000001</v>
      </c>
      <c r="AL385">
        <f>(100%+Dashboard!$D$5)*'Staging Data'!W385</f>
        <v>14.95</v>
      </c>
    </row>
    <row r="386" spans="1:38" x14ac:dyDescent="0.35">
      <c r="A386" s="6" t="s">
        <v>264</v>
      </c>
      <c r="B386" s="4">
        <v>45537</v>
      </c>
      <c r="C386" s="4">
        <v>45543</v>
      </c>
      <c r="D386" s="4">
        <f>IF(Table1[[#This Row],[RequiredDate]]&lt;Table1[[#This Row],[OrderDate]],Table1[[#This Row],[RequiredDate]],Table1[[#This Row],[OrderDate]])</f>
        <v>45537</v>
      </c>
      <c r="E386" s="4">
        <f>IF(Table1[[#This Row],[RequiredDate]]&gt;Table1[[#This Row],[OrderDate]],Table1[[#This Row],[RequiredDate]],Table1[[#This Row],[OrderDate]])</f>
        <v>45543</v>
      </c>
      <c r="F386" s="21">
        <f>Table1[[#This Row],[New RD]]-Table1[[#This Row],[new   od]]</f>
        <v>6</v>
      </c>
      <c r="G386" s="4">
        <f>IF(Table1[[#This Row],[RequiredDate]]&lt;Table1[[#This Row],[OrderDate]], Table1[[#This Row],[OrderDate]]+7, Table1[[#This Row],[RequiredDate]])</f>
        <v>45543</v>
      </c>
      <c r="H386" s="21">
        <f t="shared" ref="H386:H449" si="67">G386-B386</f>
        <v>6</v>
      </c>
      <c r="I386" s="6" t="str">
        <f>IF(Table1[[#This Row],[New LTD]]&lt;=7,"Yes","No")</f>
        <v>Yes</v>
      </c>
      <c r="J386" s="6" t="str">
        <f t="shared" ref="J386:J449" si="68">IF(V386&gt;20%,"Yes","No")</f>
        <v>No</v>
      </c>
      <c r="K386" t="s">
        <v>648</v>
      </c>
      <c r="L386" t="s">
        <v>660</v>
      </c>
      <c r="M386" t="s">
        <v>697</v>
      </c>
      <c r="N386" t="s">
        <v>704</v>
      </c>
      <c r="O386" t="s">
        <v>711</v>
      </c>
      <c r="P386" t="s">
        <v>722</v>
      </c>
      <c r="Q386" t="s">
        <v>727</v>
      </c>
      <c r="R386" t="s">
        <v>984</v>
      </c>
      <c r="S386" s="6">
        <v>462.94</v>
      </c>
      <c r="T386" s="6">
        <v>1015.7</v>
      </c>
      <c r="U386" s="6">
        <f t="shared" ref="U386:U449" si="69">ABS(T386)</f>
        <v>1015.7</v>
      </c>
      <c r="V386" s="8">
        <v>0.14299999999999999</v>
      </c>
      <c r="W386" s="6">
        <v>14</v>
      </c>
      <c r="X386" s="6">
        <f t="shared" ref="X386:X449" si="70">U386*W386*(1-V386)</f>
        <v>12186.368600000002</v>
      </c>
      <c r="Y386">
        <f t="shared" ref="Y386:Y449" si="71">S386*W386</f>
        <v>6481.16</v>
      </c>
      <c r="Z386" s="6">
        <f t="shared" ref="Z386:Z449" si="72">X386-Y386</f>
        <v>5705.2086000000018</v>
      </c>
      <c r="AA386">
        <f t="shared" ref="AA386:AA449" si="73">IF(X386=0, 0, Z386/ X386)</f>
        <v>0.46816314090483041</v>
      </c>
      <c r="AB386" t="str">
        <f t="shared" ref="AB386:AB449" si="74">_xlfn.CONCAT(MONTH(B386),"-",YEAR(B386))</f>
        <v>9-2024</v>
      </c>
      <c r="AC386" t="str">
        <f t="shared" ref="AC386:AC449" si="75">"Q"&amp;ROUNDUP(MONTH(B386)/3,0)&amp;"-"&amp;YEAR(B386)</f>
        <v>Q3-2024</v>
      </c>
      <c r="AD386" t="str">
        <f t="shared" ref="AD386:AD449" si="76">_xlfn.CONCAT(K386," →",L386," →",M386)</f>
        <v>Americas →USA →Austin</v>
      </c>
      <c r="AE386" t="str">
        <f t="shared" si="66"/>
        <v>Medium</v>
      </c>
      <c r="AF386" t="str">
        <f>TEXT(Table1[[#This Row],[OrderDate]],"MMM")</f>
        <v>Sep</v>
      </c>
      <c r="AG386" t="str">
        <f>TEXT(Table1[[#This Row],[OrderDate]],"YYYY")</f>
        <v>2024</v>
      </c>
      <c r="AI386" s="4">
        <f>IF(Table1[[#This Row],[RequiredDate]]&lt;Table1[[#This Row],[OrderDate]], Table1[[#This Row],[OrderDate]]+7, Table1[[#This Row],[RequiredDate]])</f>
        <v>45543</v>
      </c>
      <c r="AJ386">
        <f>IF(Dashboard!$D$3&gt;'Staging Data'!V386,'Staging Data'!V386,Dashboard!D$3)</f>
        <v>0.14299999999999999</v>
      </c>
      <c r="AK386" s="19">
        <f>(100%+Dashboard!$D$4)*'Staging Data'!S386</f>
        <v>486.08700000000005</v>
      </c>
      <c r="AL386">
        <f>(100%+Dashboard!$D$5)*'Staging Data'!W386</f>
        <v>16.099999999999998</v>
      </c>
    </row>
    <row r="387" spans="1:38" x14ac:dyDescent="0.35">
      <c r="A387" s="6" t="s">
        <v>246</v>
      </c>
      <c r="B387" s="4">
        <v>45538</v>
      </c>
      <c r="C387" s="4">
        <v>45543</v>
      </c>
      <c r="D387" s="4">
        <f>IF(Table1[[#This Row],[RequiredDate]]&lt;Table1[[#This Row],[OrderDate]],Table1[[#This Row],[RequiredDate]],Table1[[#This Row],[OrderDate]])</f>
        <v>45538</v>
      </c>
      <c r="E387" s="4">
        <f>IF(Table1[[#This Row],[RequiredDate]]&gt;Table1[[#This Row],[OrderDate]],Table1[[#This Row],[RequiredDate]],Table1[[#This Row],[OrderDate]])</f>
        <v>45543</v>
      </c>
      <c r="F387" s="21">
        <f>Table1[[#This Row],[New RD]]-Table1[[#This Row],[new   od]]</f>
        <v>5</v>
      </c>
      <c r="G387" s="4">
        <f>IF(Table1[[#This Row],[RequiredDate]]&lt;Table1[[#This Row],[OrderDate]], Table1[[#This Row],[OrderDate]]+7, Table1[[#This Row],[RequiredDate]])</f>
        <v>45543</v>
      </c>
      <c r="H387" s="21">
        <f t="shared" si="67"/>
        <v>5</v>
      </c>
      <c r="I387" s="6" t="str">
        <f>IF(Table1[[#This Row],[New LTD]]&lt;=7,"Yes","No")</f>
        <v>Yes</v>
      </c>
      <c r="J387" s="6" t="str">
        <f t="shared" si="68"/>
        <v>No</v>
      </c>
      <c r="K387" t="s">
        <v>646</v>
      </c>
      <c r="L387" t="s">
        <v>651</v>
      </c>
      <c r="M387" t="s">
        <v>665</v>
      </c>
      <c r="N387" t="s">
        <v>705</v>
      </c>
      <c r="O387" t="s">
        <v>711</v>
      </c>
      <c r="P387" t="s">
        <v>723</v>
      </c>
      <c r="Q387" t="s">
        <v>728</v>
      </c>
      <c r="R387" t="s">
        <v>966</v>
      </c>
      <c r="S387" s="6">
        <v>197.63</v>
      </c>
      <c r="T387" s="6">
        <v>325.79000000000002</v>
      </c>
      <c r="U387" s="6">
        <f t="shared" si="69"/>
        <v>325.79000000000002</v>
      </c>
      <c r="V387" s="8">
        <v>0.11600000000000001</v>
      </c>
      <c r="W387" s="6">
        <v>10</v>
      </c>
      <c r="X387" s="6">
        <f t="shared" si="70"/>
        <v>2879.9836</v>
      </c>
      <c r="Y387">
        <f t="shared" si="71"/>
        <v>1976.3</v>
      </c>
      <c r="Z387" s="6">
        <f t="shared" si="72"/>
        <v>903.68360000000007</v>
      </c>
      <c r="AA387">
        <f t="shared" si="73"/>
        <v>0.31378081458519419</v>
      </c>
      <c r="AB387" t="str">
        <f t="shared" si="74"/>
        <v>9-2024</v>
      </c>
      <c r="AC387" t="str">
        <f t="shared" si="75"/>
        <v>Q3-2024</v>
      </c>
      <c r="AD387" t="str">
        <f t="shared" si="76"/>
        <v>Africa →Nigeria →Lagos</v>
      </c>
      <c r="AE387" t="str">
        <f t="shared" si="66"/>
        <v>Low</v>
      </c>
      <c r="AF387" t="str">
        <f>TEXT(Table1[[#This Row],[OrderDate]],"MMM")</f>
        <v>Sep</v>
      </c>
      <c r="AG387" t="str">
        <f>TEXT(Table1[[#This Row],[OrderDate]],"YYYY")</f>
        <v>2024</v>
      </c>
      <c r="AI387" s="4">
        <f>IF(Table1[[#This Row],[RequiredDate]]&lt;Table1[[#This Row],[OrderDate]], Table1[[#This Row],[OrderDate]]+7, Table1[[#This Row],[RequiredDate]])</f>
        <v>45543</v>
      </c>
      <c r="AJ387">
        <f>IF(Dashboard!$D$3&gt;'Staging Data'!V387,'Staging Data'!V387,Dashboard!D$3)</f>
        <v>0.11600000000000001</v>
      </c>
      <c r="AK387" s="19">
        <f>(100%+Dashboard!$D$4)*'Staging Data'!S387</f>
        <v>207.51150000000001</v>
      </c>
      <c r="AL387">
        <f>(100%+Dashboard!$D$5)*'Staging Data'!W387</f>
        <v>11.5</v>
      </c>
    </row>
    <row r="388" spans="1:38" x14ac:dyDescent="0.35">
      <c r="A388" s="6" t="s">
        <v>495</v>
      </c>
      <c r="B388" s="4">
        <v>45538</v>
      </c>
      <c r="C388" s="4">
        <v>45542</v>
      </c>
      <c r="D388" s="4">
        <f>IF(Table1[[#This Row],[RequiredDate]]&lt;Table1[[#This Row],[OrderDate]],Table1[[#This Row],[RequiredDate]],Table1[[#This Row],[OrderDate]])</f>
        <v>45538</v>
      </c>
      <c r="E388" s="4">
        <f>IF(Table1[[#This Row],[RequiredDate]]&gt;Table1[[#This Row],[OrderDate]],Table1[[#This Row],[RequiredDate]],Table1[[#This Row],[OrderDate]])</f>
        <v>45542</v>
      </c>
      <c r="F388" s="21">
        <f>Table1[[#This Row],[New RD]]-Table1[[#This Row],[new   od]]</f>
        <v>4</v>
      </c>
      <c r="G388" s="4">
        <f>IF(Table1[[#This Row],[RequiredDate]]&lt;Table1[[#This Row],[OrderDate]], Table1[[#This Row],[OrderDate]]+7, Table1[[#This Row],[RequiredDate]])</f>
        <v>45542</v>
      </c>
      <c r="H388" s="21">
        <f t="shared" si="67"/>
        <v>4</v>
      </c>
      <c r="I388" s="6" t="str">
        <f>IF(Table1[[#This Row],[New LTD]]&lt;=7,"Yes","No")</f>
        <v>Yes</v>
      </c>
      <c r="J388" s="6" t="str">
        <f t="shared" si="68"/>
        <v>No</v>
      </c>
      <c r="K388" t="s">
        <v>647</v>
      </c>
      <c r="L388" t="s">
        <v>652</v>
      </c>
      <c r="M388" t="s">
        <v>689</v>
      </c>
      <c r="N388" t="s">
        <v>705</v>
      </c>
      <c r="O388" t="s">
        <v>710</v>
      </c>
      <c r="P388" t="s">
        <v>725</v>
      </c>
      <c r="Q388" t="s">
        <v>728</v>
      </c>
      <c r="R388" t="s">
        <v>1214</v>
      </c>
      <c r="S388" s="6">
        <v>43.23</v>
      </c>
      <c r="T388" s="6">
        <v>94.78</v>
      </c>
      <c r="U388" s="6">
        <f t="shared" si="69"/>
        <v>94.78</v>
      </c>
      <c r="V388" s="8">
        <v>9.0999999999999998E-2</v>
      </c>
      <c r="W388" s="6">
        <v>55</v>
      </c>
      <c r="X388" s="6">
        <f t="shared" si="70"/>
        <v>4738.5261</v>
      </c>
      <c r="Y388">
        <f t="shared" si="71"/>
        <v>2377.6499999999996</v>
      </c>
      <c r="Z388" s="6">
        <f t="shared" si="72"/>
        <v>2360.8761000000004</v>
      </c>
      <c r="AA388">
        <f t="shared" si="73"/>
        <v>0.49823005090127082</v>
      </c>
      <c r="AB388" t="str">
        <f t="shared" si="74"/>
        <v>9-2024</v>
      </c>
      <c r="AC388" t="str">
        <f t="shared" si="75"/>
        <v>Q3-2024</v>
      </c>
      <c r="AD388" t="str">
        <f t="shared" si="76"/>
        <v>Asia →Japan →Tokyo</v>
      </c>
      <c r="AE388" t="str">
        <f t="shared" si="66"/>
        <v>Low</v>
      </c>
      <c r="AF388" t="str">
        <f>TEXT(Table1[[#This Row],[OrderDate]],"MMM")</f>
        <v>Sep</v>
      </c>
      <c r="AG388" t="str">
        <f>TEXT(Table1[[#This Row],[OrderDate]],"YYYY")</f>
        <v>2024</v>
      </c>
      <c r="AI388" s="4">
        <f>IF(Table1[[#This Row],[RequiredDate]]&lt;Table1[[#This Row],[OrderDate]], Table1[[#This Row],[OrderDate]]+7, Table1[[#This Row],[RequiredDate]])</f>
        <v>45542</v>
      </c>
      <c r="AJ388">
        <f>IF(Dashboard!$D$3&gt;'Staging Data'!V388,'Staging Data'!V388,Dashboard!D$3)</f>
        <v>9.0999999999999998E-2</v>
      </c>
      <c r="AK388" s="19">
        <f>(100%+Dashboard!$D$4)*'Staging Data'!S388</f>
        <v>45.391500000000001</v>
      </c>
      <c r="AL388">
        <f>(100%+Dashboard!$D$5)*'Staging Data'!W388</f>
        <v>63.249999999999993</v>
      </c>
    </row>
    <row r="389" spans="1:38" x14ac:dyDescent="0.35">
      <c r="A389" s="6" t="s">
        <v>247</v>
      </c>
      <c r="B389" s="4">
        <v>45540</v>
      </c>
      <c r="C389" s="4">
        <v>45560</v>
      </c>
      <c r="D389" s="4">
        <f>IF(Table1[[#This Row],[RequiredDate]]&lt;Table1[[#This Row],[OrderDate]],Table1[[#This Row],[RequiredDate]],Table1[[#This Row],[OrderDate]])</f>
        <v>45540</v>
      </c>
      <c r="E389" s="4">
        <f>IF(Table1[[#This Row],[RequiredDate]]&gt;Table1[[#This Row],[OrderDate]],Table1[[#This Row],[RequiredDate]],Table1[[#This Row],[OrderDate]])</f>
        <v>45560</v>
      </c>
      <c r="F389" s="21">
        <f>Table1[[#This Row],[New RD]]-Table1[[#This Row],[new   od]]</f>
        <v>20</v>
      </c>
      <c r="G389" s="4">
        <f>IF(Table1[[#This Row],[RequiredDate]]&lt;Table1[[#This Row],[OrderDate]], Table1[[#This Row],[OrderDate]]+7, Table1[[#This Row],[RequiredDate]])</f>
        <v>45560</v>
      </c>
      <c r="H389" s="21">
        <f t="shared" si="67"/>
        <v>20</v>
      </c>
      <c r="I389" s="6" t="str">
        <f>IF(Table1[[#This Row],[New LTD]]&lt;=7,"Yes","No")</f>
        <v>No</v>
      </c>
      <c r="J389" s="6" t="str">
        <f t="shared" si="68"/>
        <v>No</v>
      </c>
      <c r="K389" t="s">
        <v>647</v>
      </c>
      <c r="L389" t="s">
        <v>652</v>
      </c>
      <c r="M389" t="s">
        <v>666</v>
      </c>
      <c r="N389" t="s">
        <v>706</v>
      </c>
      <c r="O389" t="s">
        <v>710</v>
      </c>
      <c r="P389" t="s">
        <v>726</v>
      </c>
      <c r="Q389" t="s">
        <v>732</v>
      </c>
      <c r="R389" t="s">
        <v>967</v>
      </c>
      <c r="S389" s="6">
        <v>195.54</v>
      </c>
      <c r="T389" s="6">
        <v>405.97</v>
      </c>
      <c r="U389" s="6">
        <f t="shared" si="69"/>
        <v>405.97</v>
      </c>
      <c r="V389" s="8">
        <v>0.187</v>
      </c>
      <c r="W389" s="6">
        <v>16</v>
      </c>
      <c r="X389" s="6">
        <f t="shared" si="70"/>
        <v>5280.8577599999999</v>
      </c>
      <c r="Y389">
        <f t="shared" si="71"/>
        <v>3128.64</v>
      </c>
      <c r="Z389" s="6">
        <f t="shared" si="72"/>
        <v>2152.21776</v>
      </c>
      <c r="AA389">
        <f t="shared" si="73"/>
        <v>0.40755079152141377</v>
      </c>
      <c r="AB389" t="str">
        <f t="shared" si="74"/>
        <v>9-2024</v>
      </c>
      <c r="AC389" t="str">
        <f t="shared" si="75"/>
        <v>Q3-2024</v>
      </c>
      <c r="AD389" t="str">
        <f t="shared" si="76"/>
        <v>Asia →Japan →Osaka</v>
      </c>
      <c r="AE389" t="str">
        <f t="shared" si="66"/>
        <v>Low</v>
      </c>
      <c r="AF389" t="str">
        <f>TEXT(Table1[[#This Row],[OrderDate]],"MMM")</f>
        <v>Sep</v>
      </c>
      <c r="AG389" t="str">
        <f>TEXT(Table1[[#This Row],[OrderDate]],"YYYY")</f>
        <v>2024</v>
      </c>
      <c r="AI389" s="4">
        <f>IF(Table1[[#This Row],[RequiredDate]]&lt;Table1[[#This Row],[OrderDate]], Table1[[#This Row],[OrderDate]]+7, Table1[[#This Row],[RequiredDate]])</f>
        <v>45560</v>
      </c>
      <c r="AJ389">
        <f>IF(Dashboard!$D$3&gt;'Staging Data'!V389,'Staging Data'!V389,Dashboard!D$3)</f>
        <v>0.187</v>
      </c>
      <c r="AK389" s="19">
        <f>(100%+Dashboard!$D$4)*'Staging Data'!S389</f>
        <v>205.31700000000001</v>
      </c>
      <c r="AL389">
        <f>(100%+Dashboard!$D$5)*'Staging Data'!W389</f>
        <v>18.399999999999999</v>
      </c>
    </row>
    <row r="390" spans="1:38" x14ac:dyDescent="0.35">
      <c r="A390" s="6" t="s">
        <v>413</v>
      </c>
      <c r="B390" s="4">
        <v>45541</v>
      </c>
      <c r="C390" s="4">
        <v>45569</v>
      </c>
      <c r="D390" s="4">
        <f>IF(Table1[[#This Row],[RequiredDate]]&lt;Table1[[#This Row],[OrderDate]],Table1[[#This Row],[RequiredDate]],Table1[[#This Row],[OrderDate]])</f>
        <v>45541</v>
      </c>
      <c r="E390" s="4">
        <f>IF(Table1[[#This Row],[RequiredDate]]&gt;Table1[[#This Row],[OrderDate]],Table1[[#This Row],[RequiredDate]],Table1[[#This Row],[OrderDate]])</f>
        <v>45569</v>
      </c>
      <c r="F390" s="21">
        <f>Table1[[#This Row],[New RD]]-Table1[[#This Row],[new   od]]</f>
        <v>28</v>
      </c>
      <c r="G390" s="4">
        <f>IF(Table1[[#This Row],[RequiredDate]]&lt;Table1[[#This Row],[OrderDate]], Table1[[#This Row],[OrderDate]]+7, Table1[[#This Row],[RequiredDate]])</f>
        <v>45569</v>
      </c>
      <c r="H390" s="21">
        <f t="shared" si="67"/>
        <v>28</v>
      </c>
      <c r="I390" s="6" t="str">
        <f>IF(Table1[[#This Row],[New LTD]]&lt;=7,"Yes","No")</f>
        <v>No</v>
      </c>
      <c r="J390" s="6" t="str">
        <f t="shared" si="68"/>
        <v>No</v>
      </c>
      <c r="K390" t="s">
        <v>646</v>
      </c>
      <c r="L390" t="s">
        <v>661</v>
      </c>
      <c r="M390" t="s">
        <v>695</v>
      </c>
      <c r="N390" t="s">
        <v>701</v>
      </c>
      <c r="O390" t="s">
        <v>709</v>
      </c>
      <c r="P390" t="s">
        <v>726</v>
      </c>
      <c r="Q390" t="s">
        <v>732</v>
      </c>
      <c r="R390" t="s">
        <v>1132</v>
      </c>
      <c r="S390" s="6">
        <v>1174.17</v>
      </c>
      <c r="T390" s="6">
        <v>1641.61</v>
      </c>
      <c r="U390" s="6">
        <f t="shared" si="69"/>
        <v>1641.61</v>
      </c>
      <c r="V390" s="8">
        <v>0.122</v>
      </c>
      <c r="W390" s="6">
        <v>9</v>
      </c>
      <c r="X390" s="6">
        <f t="shared" si="70"/>
        <v>12972.00222</v>
      </c>
      <c r="Y390">
        <f t="shared" si="71"/>
        <v>10567.53</v>
      </c>
      <c r="Z390" s="6">
        <f t="shared" si="72"/>
        <v>2404.4722199999997</v>
      </c>
      <c r="AA390">
        <f t="shared" si="73"/>
        <v>0.18535860380079394</v>
      </c>
      <c r="AB390" t="str">
        <f t="shared" si="74"/>
        <v>9-2024</v>
      </c>
      <c r="AC390" t="str">
        <f t="shared" si="75"/>
        <v>Q3-2024</v>
      </c>
      <c r="AD390" t="str">
        <f t="shared" si="76"/>
        <v>Africa →South Africa →Cape Town</v>
      </c>
      <c r="AE390" t="str">
        <f t="shared" si="66"/>
        <v>High</v>
      </c>
      <c r="AF390" t="str">
        <f>TEXT(Table1[[#This Row],[OrderDate]],"MMM")</f>
        <v>Sep</v>
      </c>
      <c r="AG390" t="str">
        <f>TEXT(Table1[[#This Row],[OrderDate]],"YYYY")</f>
        <v>2024</v>
      </c>
      <c r="AI390" s="4">
        <f>IF(Table1[[#This Row],[RequiredDate]]&lt;Table1[[#This Row],[OrderDate]], Table1[[#This Row],[OrderDate]]+7, Table1[[#This Row],[RequiredDate]])</f>
        <v>45569</v>
      </c>
      <c r="AJ390">
        <f>IF(Dashboard!$D$3&gt;'Staging Data'!V390,'Staging Data'!V390,Dashboard!D$3)</f>
        <v>0.122</v>
      </c>
      <c r="AK390" s="19">
        <f>(100%+Dashboard!$D$4)*'Staging Data'!S390</f>
        <v>1232.8785</v>
      </c>
      <c r="AL390">
        <f>(100%+Dashboard!$D$5)*'Staging Data'!W390</f>
        <v>10.35</v>
      </c>
    </row>
    <row r="391" spans="1:38" x14ac:dyDescent="0.35">
      <c r="A391" s="6" t="s">
        <v>597</v>
      </c>
      <c r="B391" s="4">
        <v>45541</v>
      </c>
      <c r="C391" s="4">
        <v>45539</v>
      </c>
      <c r="D391" s="4">
        <f>IF(Table1[[#This Row],[RequiredDate]]&lt;Table1[[#This Row],[OrderDate]],Table1[[#This Row],[RequiredDate]],Table1[[#This Row],[OrderDate]])</f>
        <v>45539</v>
      </c>
      <c r="E391" s="4">
        <f>IF(Table1[[#This Row],[RequiredDate]]&gt;Table1[[#This Row],[OrderDate]],Table1[[#This Row],[RequiredDate]],Table1[[#This Row],[OrderDate]])</f>
        <v>45541</v>
      </c>
      <c r="F391" s="21">
        <f>Table1[[#This Row],[New RD]]-Table1[[#This Row],[new   od]]</f>
        <v>2</v>
      </c>
      <c r="G391" s="4">
        <f>IF(Table1[[#This Row],[RequiredDate]]&lt;Table1[[#This Row],[OrderDate]], Table1[[#This Row],[OrderDate]]+7, Table1[[#This Row],[RequiredDate]])</f>
        <v>45548</v>
      </c>
      <c r="H391" s="21">
        <f t="shared" si="67"/>
        <v>7</v>
      </c>
      <c r="I391" s="6" t="str">
        <f>IF(Table1[[#This Row],[New LTD]]&lt;=7,"Yes","No")</f>
        <v>Yes</v>
      </c>
      <c r="J391" s="6" t="str">
        <f t="shared" si="68"/>
        <v>No</v>
      </c>
      <c r="K391" t="s">
        <v>647</v>
      </c>
      <c r="L391" t="s">
        <v>652</v>
      </c>
      <c r="M391" t="s">
        <v>666</v>
      </c>
      <c r="N391" t="s">
        <v>701</v>
      </c>
      <c r="O391" t="s">
        <v>711</v>
      </c>
      <c r="P391" t="s">
        <v>720</v>
      </c>
      <c r="Q391" t="s">
        <v>731</v>
      </c>
      <c r="R391" t="s">
        <v>1315</v>
      </c>
      <c r="S391" s="6">
        <v>1368.17</v>
      </c>
      <c r="T391" s="6">
        <v>2307.75</v>
      </c>
      <c r="U391" s="6">
        <f t="shared" si="69"/>
        <v>2307.75</v>
      </c>
      <c r="V391" s="8">
        <v>0.16300000000000001</v>
      </c>
      <c r="W391" s="6">
        <v>21</v>
      </c>
      <c r="X391" s="6">
        <f t="shared" si="70"/>
        <v>40563.321749999996</v>
      </c>
      <c r="Y391">
        <f t="shared" si="71"/>
        <v>28731.57</v>
      </c>
      <c r="Z391" s="6">
        <f t="shared" si="72"/>
        <v>11831.751749999996</v>
      </c>
      <c r="AA391">
        <f t="shared" si="73"/>
        <v>0.29168596750831921</v>
      </c>
      <c r="AB391" t="str">
        <f t="shared" si="74"/>
        <v>9-2024</v>
      </c>
      <c r="AC391" t="str">
        <f t="shared" si="75"/>
        <v>Q3-2024</v>
      </c>
      <c r="AD391" t="str">
        <f t="shared" si="76"/>
        <v>Asia →Japan →Osaka</v>
      </c>
      <c r="AE391" t="str">
        <f t="shared" si="66"/>
        <v>High</v>
      </c>
      <c r="AF391" t="str">
        <f>TEXT(Table1[[#This Row],[OrderDate]],"MMM")</f>
        <v>Sep</v>
      </c>
      <c r="AG391" t="str">
        <f>TEXT(Table1[[#This Row],[OrderDate]],"YYYY")</f>
        <v>2024</v>
      </c>
      <c r="AI391" s="4">
        <f>IF(Table1[[#This Row],[RequiredDate]]&lt;Table1[[#This Row],[OrderDate]], Table1[[#This Row],[OrderDate]]+7, Table1[[#This Row],[RequiredDate]])</f>
        <v>45548</v>
      </c>
      <c r="AJ391">
        <f>IF(Dashboard!$D$3&gt;'Staging Data'!V391,'Staging Data'!V391,Dashboard!D$3)</f>
        <v>0.16300000000000001</v>
      </c>
      <c r="AK391" s="19">
        <f>(100%+Dashboard!$D$4)*'Staging Data'!S391</f>
        <v>1436.5785000000001</v>
      </c>
      <c r="AL391">
        <f>(100%+Dashboard!$D$5)*'Staging Data'!W391</f>
        <v>24.15</v>
      </c>
    </row>
    <row r="392" spans="1:38" x14ac:dyDescent="0.35">
      <c r="A392" s="6" t="s">
        <v>301</v>
      </c>
      <c r="B392" s="4">
        <v>45542</v>
      </c>
      <c r="C392" s="4">
        <v>45542</v>
      </c>
      <c r="D392" s="4">
        <f>IF(Table1[[#This Row],[RequiredDate]]&lt;Table1[[#This Row],[OrderDate]],Table1[[#This Row],[RequiredDate]],Table1[[#This Row],[OrderDate]])</f>
        <v>45542</v>
      </c>
      <c r="E392" s="4">
        <f>IF(Table1[[#This Row],[RequiredDate]]&gt;Table1[[#This Row],[OrderDate]],Table1[[#This Row],[RequiredDate]],Table1[[#This Row],[OrderDate]])</f>
        <v>45542</v>
      </c>
      <c r="F392" s="21">
        <f>Table1[[#This Row],[New RD]]-Table1[[#This Row],[new   od]]</f>
        <v>0</v>
      </c>
      <c r="G392" s="4">
        <f>IF(Table1[[#This Row],[RequiredDate]]&lt;Table1[[#This Row],[OrderDate]], Table1[[#This Row],[OrderDate]]+7, Table1[[#This Row],[RequiredDate]])</f>
        <v>45542</v>
      </c>
      <c r="H392" s="21">
        <f t="shared" si="67"/>
        <v>0</v>
      </c>
      <c r="I392" s="6" t="str">
        <f>IF(Table1[[#This Row],[New LTD]]&lt;=7,"Yes","No")</f>
        <v>Yes</v>
      </c>
      <c r="J392" s="6" t="str">
        <f t="shared" si="68"/>
        <v>No</v>
      </c>
      <c r="K392" t="s">
        <v>647</v>
      </c>
      <c r="L392" t="s">
        <v>654</v>
      </c>
      <c r="M392" t="s">
        <v>691</v>
      </c>
      <c r="N392" t="s">
        <v>702</v>
      </c>
      <c r="O392" t="s">
        <v>710</v>
      </c>
      <c r="P392" t="s">
        <v>717</v>
      </c>
      <c r="Q392" t="s">
        <v>729</v>
      </c>
      <c r="R392" t="s">
        <v>1021</v>
      </c>
      <c r="S392" s="6">
        <v>1066.6500000000001</v>
      </c>
      <c r="T392" s="6">
        <v>2569.77</v>
      </c>
      <c r="U392" s="6">
        <f t="shared" si="69"/>
        <v>2569.77</v>
      </c>
      <c r="V392" s="8">
        <v>0.13400000000000001</v>
      </c>
      <c r="W392" s="6">
        <v>9</v>
      </c>
      <c r="X392" s="6">
        <f t="shared" si="70"/>
        <v>20028.787380000002</v>
      </c>
      <c r="Y392">
        <f t="shared" si="71"/>
        <v>9599.85</v>
      </c>
      <c r="Z392" s="6">
        <f t="shared" si="72"/>
        <v>10428.937380000001</v>
      </c>
      <c r="AA392">
        <f t="shared" si="73"/>
        <v>0.52069739331368348</v>
      </c>
      <c r="AB392" t="str">
        <f t="shared" si="74"/>
        <v>9-2024</v>
      </c>
      <c r="AC392" t="str">
        <f t="shared" si="75"/>
        <v>Q3-2024</v>
      </c>
      <c r="AD392" t="str">
        <f t="shared" si="76"/>
        <v>Asia →India →Mumbai</v>
      </c>
      <c r="AE392" t="str">
        <f t="shared" si="66"/>
        <v>High</v>
      </c>
      <c r="AF392" t="str">
        <f>TEXT(Table1[[#This Row],[OrderDate]],"MMM")</f>
        <v>Sep</v>
      </c>
      <c r="AG392" t="str">
        <f>TEXT(Table1[[#This Row],[OrderDate]],"YYYY")</f>
        <v>2024</v>
      </c>
      <c r="AI392" s="4">
        <f>IF(Table1[[#This Row],[RequiredDate]]&lt;Table1[[#This Row],[OrderDate]], Table1[[#This Row],[OrderDate]]+7, Table1[[#This Row],[RequiredDate]])</f>
        <v>45542</v>
      </c>
      <c r="AJ392">
        <f>IF(Dashboard!$D$3&gt;'Staging Data'!V392,'Staging Data'!V392,Dashboard!D$3)</f>
        <v>0.13400000000000001</v>
      </c>
      <c r="AK392" s="19">
        <f>(100%+Dashboard!$D$4)*'Staging Data'!S392</f>
        <v>1119.9825000000001</v>
      </c>
      <c r="AL392">
        <f>(100%+Dashboard!$D$5)*'Staging Data'!W392</f>
        <v>10.35</v>
      </c>
    </row>
    <row r="393" spans="1:38" x14ac:dyDescent="0.35">
      <c r="A393" s="6" t="s">
        <v>448</v>
      </c>
      <c r="B393" s="4">
        <v>45542</v>
      </c>
      <c r="C393" s="4">
        <v>45553</v>
      </c>
      <c r="D393" s="4">
        <f>IF(Table1[[#This Row],[RequiredDate]]&lt;Table1[[#This Row],[OrderDate]],Table1[[#This Row],[RequiredDate]],Table1[[#This Row],[OrderDate]])</f>
        <v>45542</v>
      </c>
      <c r="E393" s="4">
        <f>IF(Table1[[#This Row],[RequiredDate]]&gt;Table1[[#This Row],[OrderDate]],Table1[[#This Row],[RequiredDate]],Table1[[#This Row],[OrderDate]])</f>
        <v>45553</v>
      </c>
      <c r="F393" s="21">
        <f>Table1[[#This Row],[New RD]]-Table1[[#This Row],[new   od]]</f>
        <v>11</v>
      </c>
      <c r="G393" s="4">
        <f>IF(Table1[[#This Row],[RequiredDate]]&lt;Table1[[#This Row],[OrderDate]], Table1[[#This Row],[OrderDate]]+7, Table1[[#This Row],[RequiredDate]])</f>
        <v>45553</v>
      </c>
      <c r="H393" s="21">
        <f t="shared" si="67"/>
        <v>11</v>
      </c>
      <c r="I393" s="6" t="str">
        <f>IF(Table1[[#This Row],[New LTD]]&lt;=7,"Yes","No")</f>
        <v>No</v>
      </c>
      <c r="J393" s="6" t="str">
        <f t="shared" si="68"/>
        <v>Yes</v>
      </c>
      <c r="K393" t="s">
        <v>647</v>
      </c>
      <c r="L393" t="s">
        <v>659</v>
      </c>
      <c r="M393" t="s">
        <v>699</v>
      </c>
      <c r="N393" t="s">
        <v>704</v>
      </c>
      <c r="O393" t="s">
        <v>710</v>
      </c>
      <c r="P393" t="s">
        <v>719</v>
      </c>
      <c r="Q393" t="s">
        <v>729</v>
      </c>
      <c r="R393" t="s">
        <v>1167</v>
      </c>
      <c r="S393" s="6">
        <v>181.74</v>
      </c>
      <c r="T393" s="6">
        <v>190.84</v>
      </c>
      <c r="U393" s="6">
        <f t="shared" si="69"/>
        <v>190.84</v>
      </c>
      <c r="V393" s="8">
        <v>0.214</v>
      </c>
      <c r="W393" s="6">
        <v>13</v>
      </c>
      <c r="X393" s="6">
        <f t="shared" si="70"/>
        <v>1950.0031200000001</v>
      </c>
      <c r="Y393">
        <f t="shared" si="71"/>
        <v>2362.62</v>
      </c>
      <c r="Z393" s="6">
        <f t="shared" si="72"/>
        <v>-412.61687999999981</v>
      </c>
      <c r="AA393">
        <f t="shared" si="73"/>
        <v>-0.21159806144310159</v>
      </c>
      <c r="AB393" t="str">
        <f t="shared" si="74"/>
        <v>9-2024</v>
      </c>
      <c r="AC393" t="str">
        <f t="shared" si="75"/>
        <v>Q3-2024</v>
      </c>
      <c r="AD393" t="str">
        <f t="shared" si="76"/>
        <v>Asia →China →Beijing</v>
      </c>
      <c r="AE393" t="str">
        <f t="shared" si="66"/>
        <v>Low</v>
      </c>
      <c r="AF393" t="str">
        <f>TEXT(Table1[[#This Row],[OrderDate]],"MMM")</f>
        <v>Sep</v>
      </c>
      <c r="AG393" t="str">
        <f>TEXT(Table1[[#This Row],[OrderDate]],"YYYY")</f>
        <v>2024</v>
      </c>
      <c r="AI393" s="4">
        <f>IF(Table1[[#This Row],[RequiredDate]]&lt;Table1[[#This Row],[OrderDate]], Table1[[#This Row],[OrderDate]]+7, Table1[[#This Row],[RequiredDate]])</f>
        <v>45553</v>
      </c>
      <c r="AJ393">
        <f>IF(Dashboard!$D$3&gt;'Staging Data'!V393,'Staging Data'!V393,Dashboard!D$3)</f>
        <v>0.2</v>
      </c>
      <c r="AK393" s="19">
        <f>(100%+Dashboard!$D$4)*'Staging Data'!S393</f>
        <v>190.82700000000003</v>
      </c>
      <c r="AL393">
        <f>(100%+Dashboard!$D$5)*'Staging Data'!W393</f>
        <v>14.95</v>
      </c>
    </row>
    <row r="394" spans="1:38" x14ac:dyDescent="0.35">
      <c r="A394" s="6" t="s">
        <v>226</v>
      </c>
      <c r="B394" s="4">
        <v>45544</v>
      </c>
      <c r="C394" s="4">
        <v>45566</v>
      </c>
      <c r="D394" s="4">
        <f>IF(Table1[[#This Row],[RequiredDate]]&lt;Table1[[#This Row],[OrderDate]],Table1[[#This Row],[RequiredDate]],Table1[[#This Row],[OrderDate]])</f>
        <v>45544</v>
      </c>
      <c r="E394" s="4">
        <f>IF(Table1[[#This Row],[RequiredDate]]&gt;Table1[[#This Row],[OrderDate]],Table1[[#This Row],[RequiredDate]],Table1[[#This Row],[OrderDate]])</f>
        <v>45566</v>
      </c>
      <c r="F394" s="21">
        <f>Table1[[#This Row],[New RD]]-Table1[[#This Row],[new   od]]</f>
        <v>22</v>
      </c>
      <c r="G394" s="4">
        <f>IF(Table1[[#This Row],[RequiredDate]]&lt;Table1[[#This Row],[OrderDate]], Table1[[#This Row],[OrderDate]]+7, Table1[[#This Row],[RequiredDate]])</f>
        <v>45566</v>
      </c>
      <c r="H394" s="21">
        <f t="shared" si="67"/>
        <v>22</v>
      </c>
      <c r="I394" s="6" t="str">
        <f>IF(Table1[[#This Row],[New LTD]]&lt;=7,"Yes","No")</f>
        <v>No</v>
      </c>
      <c r="J394" s="6" t="str">
        <f t="shared" si="68"/>
        <v>No</v>
      </c>
      <c r="K394" t="s">
        <v>647</v>
      </c>
      <c r="L394" t="s">
        <v>659</v>
      </c>
      <c r="M394" t="s">
        <v>676</v>
      </c>
      <c r="N394" t="s">
        <v>704</v>
      </c>
      <c r="O394" t="s">
        <v>711</v>
      </c>
      <c r="P394" t="s">
        <v>716</v>
      </c>
      <c r="Q394" t="s">
        <v>728</v>
      </c>
      <c r="R394" t="s">
        <v>946</v>
      </c>
      <c r="S394" s="6">
        <v>1166.18</v>
      </c>
      <c r="T394" s="6">
        <v>1335.02</v>
      </c>
      <c r="U394" s="6">
        <f t="shared" si="69"/>
        <v>1335.02</v>
      </c>
      <c r="V394" s="8">
        <v>0.128</v>
      </c>
      <c r="W394" s="6">
        <v>6</v>
      </c>
      <c r="X394" s="6">
        <f t="shared" si="70"/>
        <v>6984.8246399999998</v>
      </c>
      <c r="Y394">
        <f t="shared" si="71"/>
        <v>6997.08</v>
      </c>
      <c r="Z394" s="6">
        <f t="shared" si="72"/>
        <v>-12.25536000000011</v>
      </c>
      <c r="AA394">
        <f t="shared" si="73"/>
        <v>-1.7545694604582242E-3</v>
      </c>
      <c r="AB394" t="str">
        <f t="shared" si="74"/>
        <v>9-2024</v>
      </c>
      <c r="AC394" t="str">
        <f t="shared" si="75"/>
        <v>Q3-2024</v>
      </c>
      <c r="AD394" t="str">
        <f t="shared" si="76"/>
        <v>Asia →China →Shenzhen</v>
      </c>
      <c r="AE394" t="str">
        <f t="shared" si="66"/>
        <v>Medium</v>
      </c>
      <c r="AF394" t="str">
        <f>TEXT(Table1[[#This Row],[OrderDate]],"MMM")</f>
        <v>Sep</v>
      </c>
      <c r="AG394" t="str">
        <f>TEXT(Table1[[#This Row],[OrderDate]],"YYYY")</f>
        <v>2024</v>
      </c>
      <c r="AI394" s="4">
        <f>IF(Table1[[#This Row],[RequiredDate]]&lt;Table1[[#This Row],[OrderDate]], Table1[[#This Row],[OrderDate]]+7, Table1[[#This Row],[RequiredDate]])</f>
        <v>45566</v>
      </c>
      <c r="AJ394">
        <f>IF(Dashboard!$D$3&gt;'Staging Data'!V394,'Staging Data'!V394,Dashboard!D$3)</f>
        <v>0.128</v>
      </c>
      <c r="AK394" s="19">
        <f>(100%+Dashboard!$D$4)*'Staging Data'!S394</f>
        <v>1224.489</v>
      </c>
      <c r="AL394">
        <f>(100%+Dashboard!$D$5)*'Staging Data'!W394</f>
        <v>6.8999999999999995</v>
      </c>
    </row>
    <row r="395" spans="1:38" x14ac:dyDescent="0.35">
      <c r="A395" s="6" t="s">
        <v>338</v>
      </c>
      <c r="B395" s="4">
        <v>45544</v>
      </c>
      <c r="C395" s="4">
        <v>45573</v>
      </c>
      <c r="D395" s="4">
        <f>IF(Table1[[#This Row],[RequiredDate]]&lt;Table1[[#This Row],[OrderDate]],Table1[[#This Row],[RequiredDate]],Table1[[#This Row],[OrderDate]])</f>
        <v>45544</v>
      </c>
      <c r="E395" s="4">
        <f>IF(Table1[[#This Row],[RequiredDate]]&gt;Table1[[#This Row],[OrderDate]],Table1[[#This Row],[RequiredDate]],Table1[[#This Row],[OrderDate]])</f>
        <v>45573</v>
      </c>
      <c r="F395" s="21">
        <f>Table1[[#This Row],[New RD]]-Table1[[#This Row],[new   od]]</f>
        <v>29</v>
      </c>
      <c r="G395" s="4">
        <f>IF(Table1[[#This Row],[RequiredDate]]&lt;Table1[[#This Row],[OrderDate]], Table1[[#This Row],[OrderDate]]+7, Table1[[#This Row],[RequiredDate]])</f>
        <v>45573</v>
      </c>
      <c r="H395" s="21">
        <f t="shared" si="67"/>
        <v>29</v>
      </c>
      <c r="I395" s="6" t="str">
        <f>IF(Table1[[#This Row],[New LTD]]&lt;=7,"Yes","No")</f>
        <v>No</v>
      </c>
      <c r="J395" s="6" t="str">
        <f t="shared" si="68"/>
        <v>No</v>
      </c>
      <c r="K395" t="s">
        <v>648</v>
      </c>
      <c r="L395" t="s">
        <v>655</v>
      </c>
      <c r="M395" t="s">
        <v>670</v>
      </c>
      <c r="N395" t="s">
        <v>702</v>
      </c>
      <c r="O395" t="s">
        <v>711</v>
      </c>
      <c r="P395" t="s">
        <v>713</v>
      </c>
      <c r="Q395" t="s">
        <v>727</v>
      </c>
      <c r="R395" t="s">
        <v>1058</v>
      </c>
      <c r="S395" s="6">
        <v>1010.33</v>
      </c>
      <c r="T395" s="6">
        <v>2492.14</v>
      </c>
      <c r="U395" s="6">
        <f t="shared" si="69"/>
        <v>2492.14</v>
      </c>
      <c r="V395" s="8">
        <v>5.0999999999999997E-2</v>
      </c>
      <c r="W395" s="6">
        <v>11</v>
      </c>
      <c r="X395" s="6">
        <f t="shared" si="70"/>
        <v>26015.449459999996</v>
      </c>
      <c r="Y395">
        <f t="shared" si="71"/>
        <v>11113.630000000001</v>
      </c>
      <c r="Z395" s="6">
        <f t="shared" si="72"/>
        <v>14901.819459999995</v>
      </c>
      <c r="AA395">
        <f t="shared" si="73"/>
        <v>0.57280653493656752</v>
      </c>
      <c r="AB395" t="str">
        <f t="shared" si="74"/>
        <v>9-2024</v>
      </c>
      <c r="AC395" t="str">
        <f t="shared" si="75"/>
        <v>Q3-2024</v>
      </c>
      <c r="AD395" t="str">
        <f t="shared" si="76"/>
        <v>Americas →Brazil →São Paulo</v>
      </c>
      <c r="AE395" t="str">
        <f t="shared" si="66"/>
        <v>High</v>
      </c>
      <c r="AF395" t="str">
        <f>TEXT(Table1[[#This Row],[OrderDate]],"MMM")</f>
        <v>Sep</v>
      </c>
      <c r="AG395" t="str">
        <f>TEXT(Table1[[#This Row],[OrderDate]],"YYYY")</f>
        <v>2024</v>
      </c>
      <c r="AI395" s="4">
        <f>IF(Table1[[#This Row],[RequiredDate]]&lt;Table1[[#This Row],[OrderDate]], Table1[[#This Row],[OrderDate]]+7, Table1[[#This Row],[RequiredDate]])</f>
        <v>45573</v>
      </c>
      <c r="AJ395">
        <f>IF(Dashboard!$D$3&gt;'Staging Data'!V395,'Staging Data'!V395,Dashboard!D$3)</f>
        <v>5.0999999999999997E-2</v>
      </c>
      <c r="AK395" s="19">
        <f>(100%+Dashboard!$D$4)*'Staging Data'!S395</f>
        <v>1060.8465000000001</v>
      </c>
      <c r="AL395">
        <f>(100%+Dashboard!$D$5)*'Staging Data'!W395</f>
        <v>12.649999999999999</v>
      </c>
    </row>
    <row r="396" spans="1:38" x14ac:dyDescent="0.35">
      <c r="A396" s="6" t="s">
        <v>511</v>
      </c>
      <c r="B396" s="4">
        <v>45544</v>
      </c>
      <c r="C396" s="4">
        <v>45548</v>
      </c>
      <c r="D396" s="4">
        <f>IF(Table1[[#This Row],[RequiredDate]]&lt;Table1[[#This Row],[OrderDate]],Table1[[#This Row],[RequiredDate]],Table1[[#This Row],[OrderDate]])</f>
        <v>45544</v>
      </c>
      <c r="E396" s="4">
        <f>IF(Table1[[#This Row],[RequiredDate]]&gt;Table1[[#This Row],[OrderDate]],Table1[[#This Row],[RequiredDate]],Table1[[#This Row],[OrderDate]])</f>
        <v>45548</v>
      </c>
      <c r="F396" s="21">
        <f>Table1[[#This Row],[New RD]]-Table1[[#This Row],[new   od]]</f>
        <v>4</v>
      </c>
      <c r="G396" s="4">
        <f>IF(Table1[[#This Row],[RequiredDate]]&lt;Table1[[#This Row],[OrderDate]], Table1[[#This Row],[OrderDate]]+7, Table1[[#This Row],[RequiredDate]])</f>
        <v>45548</v>
      </c>
      <c r="H396" s="21">
        <f t="shared" si="67"/>
        <v>4</v>
      </c>
      <c r="I396" s="6" t="str">
        <f>IF(Table1[[#This Row],[New LTD]]&lt;=7,"Yes","No")</f>
        <v>Yes</v>
      </c>
      <c r="J396" s="6" t="str">
        <f t="shared" si="68"/>
        <v>No</v>
      </c>
      <c r="K396" t="s">
        <v>649</v>
      </c>
      <c r="L396" t="s">
        <v>658</v>
      </c>
      <c r="M396" t="s">
        <v>683</v>
      </c>
      <c r="N396" t="s">
        <v>704</v>
      </c>
      <c r="O396" t="s">
        <v>709</v>
      </c>
      <c r="P396" t="s">
        <v>721</v>
      </c>
      <c r="Q396" t="s">
        <v>729</v>
      </c>
      <c r="R396" t="s">
        <v>1230</v>
      </c>
      <c r="S396" s="6">
        <v>1133.08</v>
      </c>
      <c r="T396" s="6">
        <v>976.17</v>
      </c>
      <c r="U396" s="6">
        <f t="shared" si="69"/>
        <v>976.17</v>
      </c>
      <c r="V396" s="8">
        <v>4.2000000000000003E-2</v>
      </c>
      <c r="W396" s="6">
        <v>27</v>
      </c>
      <c r="X396" s="6">
        <f t="shared" si="70"/>
        <v>25249.613219999999</v>
      </c>
      <c r="Y396">
        <f t="shared" si="71"/>
        <v>30593.159999999996</v>
      </c>
      <c r="Z396" s="6">
        <f t="shared" si="72"/>
        <v>-5343.5467799999969</v>
      </c>
      <c r="AA396">
        <f t="shared" si="73"/>
        <v>-0.21162885678452373</v>
      </c>
      <c r="AB396" t="str">
        <f t="shared" si="74"/>
        <v>9-2024</v>
      </c>
      <c r="AC396" t="str">
        <f t="shared" si="75"/>
        <v>Q3-2024</v>
      </c>
      <c r="AD396" t="str">
        <f t="shared" si="76"/>
        <v>Europe →United Kingdom →London</v>
      </c>
      <c r="AE396" t="str">
        <f t="shared" si="66"/>
        <v>Medium</v>
      </c>
      <c r="AF396" t="str">
        <f>TEXT(Table1[[#This Row],[OrderDate]],"MMM")</f>
        <v>Sep</v>
      </c>
      <c r="AG396" t="str">
        <f>TEXT(Table1[[#This Row],[OrderDate]],"YYYY")</f>
        <v>2024</v>
      </c>
      <c r="AI396" s="4">
        <f>IF(Table1[[#This Row],[RequiredDate]]&lt;Table1[[#This Row],[OrderDate]], Table1[[#This Row],[OrderDate]]+7, Table1[[#This Row],[RequiredDate]])</f>
        <v>45548</v>
      </c>
      <c r="AJ396">
        <f>IF(Dashboard!$D$3&gt;'Staging Data'!V396,'Staging Data'!V396,Dashboard!D$3)</f>
        <v>4.2000000000000003E-2</v>
      </c>
      <c r="AK396" s="19">
        <f>(100%+Dashboard!$D$4)*'Staging Data'!S396</f>
        <v>1189.7339999999999</v>
      </c>
      <c r="AL396">
        <f>(100%+Dashboard!$D$5)*'Staging Data'!W396</f>
        <v>31.049999999999997</v>
      </c>
    </row>
    <row r="397" spans="1:38" x14ac:dyDescent="0.35">
      <c r="A397" s="6" t="s">
        <v>222</v>
      </c>
      <c r="B397" s="4">
        <v>45545</v>
      </c>
      <c r="C397" s="4">
        <v>45572</v>
      </c>
      <c r="D397" s="4">
        <f>IF(Table1[[#This Row],[RequiredDate]]&lt;Table1[[#This Row],[OrderDate]],Table1[[#This Row],[RequiredDate]],Table1[[#This Row],[OrderDate]])</f>
        <v>45545</v>
      </c>
      <c r="E397" s="4">
        <f>IF(Table1[[#This Row],[RequiredDate]]&gt;Table1[[#This Row],[OrderDate]],Table1[[#This Row],[RequiredDate]],Table1[[#This Row],[OrderDate]])</f>
        <v>45572</v>
      </c>
      <c r="F397" s="21">
        <f>Table1[[#This Row],[New RD]]-Table1[[#This Row],[new   od]]</f>
        <v>27</v>
      </c>
      <c r="G397" s="4">
        <f>IF(Table1[[#This Row],[RequiredDate]]&lt;Table1[[#This Row],[OrderDate]], Table1[[#This Row],[OrderDate]]+7, Table1[[#This Row],[RequiredDate]])</f>
        <v>45572</v>
      </c>
      <c r="H397" s="21">
        <f t="shared" si="67"/>
        <v>27</v>
      </c>
      <c r="I397" s="6" t="str">
        <f>IF(Table1[[#This Row],[New LTD]]&lt;=7,"Yes","No")</f>
        <v>No</v>
      </c>
      <c r="J397" s="6" t="str">
        <f t="shared" si="68"/>
        <v>Yes</v>
      </c>
      <c r="K397" t="s">
        <v>646</v>
      </c>
      <c r="L397" t="s">
        <v>650</v>
      </c>
      <c r="M397" t="s">
        <v>662</v>
      </c>
      <c r="N397" t="s">
        <v>704</v>
      </c>
      <c r="O397" t="s">
        <v>707</v>
      </c>
      <c r="P397" t="s">
        <v>716</v>
      </c>
      <c r="Q397" t="s">
        <v>728</v>
      </c>
      <c r="R397" t="s">
        <v>942</v>
      </c>
      <c r="S397" s="6">
        <v>1248.3900000000001</v>
      </c>
      <c r="T397" s="6">
        <v>1805.11</v>
      </c>
      <c r="U397" s="6">
        <f t="shared" si="69"/>
        <v>1805.11</v>
      </c>
      <c r="V397" s="8">
        <v>0.20300000000000001</v>
      </c>
      <c r="W397" s="6">
        <v>11</v>
      </c>
      <c r="X397" s="6">
        <f t="shared" si="70"/>
        <v>15825.399369999997</v>
      </c>
      <c r="Y397">
        <f t="shared" si="71"/>
        <v>13732.29</v>
      </c>
      <c r="Z397" s="6">
        <f t="shared" si="72"/>
        <v>2093.1093699999965</v>
      </c>
      <c r="AA397">
        <f t="shared" si="73"/>
        <v>0.13226265707820786</v>
      </c>
      <c r="AB397" t="str">
        <f t="shared" si="74"/>
        <v>9-2024</v>
      </c>
      <c r="AC397" t="str">
        <f t="shared" si="75"/>
        <v>Q3-2024</v>
      </c>
      <c r="AD397" t="str">
        <f t="shared" si="76"/>
        <v>Africa →Kenya →Kisumu</v>
      </c>
      <c r="AE397" t="str">
        <f t="shared" si="66"/>
        <v>High</v>
      </c>
      <c r="AF397" t="str">
        <f>TEXT(Table1[[#This Row],[OrderDate]],"MMM")</f>
        <v>Sep</v>
      </c>
      <c r="AG397" t="str">
        <f>TEXT(Table1[[#This Row],[OrderDate]],"YYYY")</f>
        <v>2024</v>
      </c>
      <c r="AI397" s="4">
        <f>IF(Table1[[#This Row],[RequiredDate]]&lt;Table1[[#This Row],[OrderDate]], Table1[[#This Row],[OrderDate]]+7, Table1[[#This Row],[RequiredDate]])</f>
        <v>45572</v>
      </c>
      <c r="AJ397">
        <f>IF(Dashboard!$D$3&gt;'Staging Data'!V397,'Staging Data'!V397,Dashboard!D$3)</f>
        <v>0.2</v>
      </c>
      <c r="AK397" s="19">
        <f>(100%+Dashboard!$D$4)*'Staging Data'!S397</f>
        <v>1310.8095000000001</v>
      </c>
      <c r="AL397">
        <f>(100%+Dashboard!$D$5)*'Staging Data'!W397</f>
        <v>12.649999999999999</v>
      </c>
    </row>
    <row r="398" spans="1:38" x14ac:dyDescent="0.35">
      <c r="A398" s="6" t="s">
        <v>250</v>
      </c>
      <c r="B398" s="4">
        <v>45548</v>
      </c>
      <c r="C398" s="4">
        <v>45567</v>
      </c>
      <c r="D398" s="4">
        <f>IF(Table1[[#This Row],[RequiredDate]]&lt;Table1[[#This Row],[OrderDate]],Table1[[#This Row],[RequiredDate]],Table1[[#This Row],[OrderDate]])</f>
        <v>45548</v>
      </c>
      <c r="E398" s="4">
        <f>IF(Table1[[#This Row],[RequiredDate]]&gt;Table1[[#This Row],[OrderDate]],Table1[[#This Row],[RequiredDate]],Table1[[#This Row],[OrderDate]])</f>
        <v>45567</v>
      </c>
      <c r="F398" s="21">
        <f>Table1[[#This Row],[New RD]]-Table1[[#This Row],[new   od]]</f>
        <v>19</v>
      </c>
      <c r="G398" s="4">
        <f>IF(Table1[[#This Row],[RequiredDate]]&lt;Table1[[#This Row],[OrderDate]], Table1[[#This Row],[OrderDate]]+7, Table1[[#This Row],[RequiredDate]])</f>
        <v>45567</v>
      </c>
      <c r="H398" s="21">
        <f t="shared" si="67"/>
        <v>19</v>
      </c>
      <c r="I398" s="6" t="str">
        <f>IF(Table1[[#This Row],[New LTD]]&lt;=7,"Yes","No")</f>
        <v>No</v>
      </c>
      <c r="J398" s="6" t="str">
        <f t="shared" si="68"/>
        <v>No</v>
      </c>
      <c r="K398" t="s">
        <v>646</v>
      </c>
      <c r="L398" t="s">
        <v>650</v>
      </c>
      <c r="M398" t="s">
        <v>675</v>
      </c>
      <c r="N398" t="s">
        <v>705</v>
      </c>
      <c r="O398" t="s">
        <v>707</v>
      </c>
      <c r="P398" t="s">
        <v>724</v>
      </c>
      <c r="Q398" t="s">
        <v>730</v>
      </c>
      <c r="R398" t="s">
        <v>970</v>
      </c>
      <c r="S398" s="6">
        <v>1338.99</v>
      </c>
      <c r="T398" s="6">
        <v>1765.76</v>
      </c>
      <c r="U398" s="6">
        <f t="shared" si="69"/>
        <v>1765.76</v>
      </c>
      <c r="V398" s="8">
        <v>0.126</v>
      </c>
      <c r="W398" s="6">
        <v>24</v>
      </c>
      <c r="X398" s="6">
        <f t="shared" si="70"/>
        <v>37038.581760000001</v>
      </c>
      <c r="Y398">
        <f t="shared" si="71"/>
        <v>32135.760000000002</v>
      </c>
      <c r="Z398" s="6">
        <f t="shared" si="72"/>
        <v>4902.8217599999989</v>
      </c>
      <c r="AA398">
        <f t="shared" si="73"/>
        <v>0.1323706666677725</v>
      </c>
      <c r="AB398" t="str">
        <f t="shared" si="74"/>
        <v>9-2024</v>
      </c>
      <c r="AC398" t="str">
        <f t="shared" si="75"/>
        <v>Q3-2024</v>
      </c>
      <c r="AD398" t="str">
        <f t="shared" si="76"/>
        <v>Africa →Kenya →Mombasa</v>
      </c>
      <c r="AE398" t="str">
        <f t="shared" si="66"/>
        <v>High</v>
      </c>
      <c r="AF398" t="str">
        <f>TEXT(Table1[[#This Row],[OrderDate]],"MMM")</f>
        <v>Sep</v>
      </c>
      <c r="AG398" t="str">
        <f>TEXT(Table1[[#This Row],[OrderDate]],"YYYY")</f>
        <v>2024</v>
      </c>
      <c r="AI398" s="4">
        <f>IF(Table1[[#This Row],[RequiredDate]]&lt;Table1[[#This Row],[OrderDate]], Table1[[#This Row],[OrderDate]]+7, Table1[[#This Row],[RequiredDate]])</f>
        <v>45567</v>
      </c>
      <c r="AJ398">
        <f>IF(Dashboard!$D$3&gt;'Staging Data'!V398,'Staging Data'!V398,Dashboard!D$3)</f>
        <v>0.126</v>
      </c>
      <c r="AK398" s="19">
        <f>(100%+Dashboard!$D$4)*'Staging Data'!S398</f>
        <v>1405.9395000000002</v>
      </c>
      <c r="AL398">
        <f>(100%+Dashboard!$D$5)*'Staging Data'!W398</f>
        <v>27.599999999999998</v>
      </c>
    </row>
    <row r="399" spans="1:38" x14ac:dyDescent="0.35">
      <c r="A399" s="6" t="s">
        <v>119</v>
      </c>
      <c r="B399" s="4">
        <v>45549</v>
      </c>
      <c r="C399" s="4">
        <v>45570</v>
      </c>
      <c r="D399" s="4">
        <f>IF(Table1[[#This Row],[RequiredDate]]&lt;Table1[[#This Row],[OrderDate]],Table1[[#This Row],[RequiredDate]],Table1[[#This Row],[OrderDate]])</f>
        <v>45549</v>
      </c>
      <c r="E399" s="4">
        <f>IF(Table1[[#This Row],[RequiredDate]]&gt;Table1[[#This Row],[OrderDate]],Table1[[#This Row],[RequiredDate]],Table1[[#This Row],[OrderDate]])</f>
        <v>45570</v>
      </c>
      <c r="F399" s="21">
        <f>Table1[[#This Row],[New RD]]-Table1[[#This Row],[new   od]]</f>
        <v>21</v>
      </c>
      <c r="G399" s="4">
        <f>IF(Table1[[#This Row],[RequiredDate]]&lt;Table1[[#This Row],[OrderDate]], Table1[[#This Row],[OrderDate]]+7, Table1[[#This Row],[RequiredDate]])</f>
        <v>45570</v>
      </c>
      <c r="H399" s="21">
        <f t="shared" si="67"/>
        <v>21</v>
      </c>
      <c r="I399" s="6" t="str">
        <f>IF(Table1[[#This Row],[New LTD]]&lt;=7,"Yes","No")</f>
        <v>No</v>
      </c>
      <c r="J399" s="6" t="str">
        <f t="shared" si="68"/>
        <v>No</v>
      </c>
      <c r="K399" t="s">
        <v>647</v>
      </c>
      <c r="L399" t="s">
        <v>659</v>
      </c>
      <c r="M399" t="s">
        <v>685</v>
      </c>
      <c r="N399" t="s">
        <v>705</v>
      </c>
      <c r="O399" t="s">
        <v>708</v>
      </c>
      <c r="P399" t="s">
        <v>722</v>
      </c>
      <c r="Q399" t="s">
        <v>731</v>
      </c>
      <c r="R399" t="s">
        <v>838</v>
      </c>
      <c r="S399" s="6">
        <v>1405.56</v>
      </c>
      <c r="T399" s="6">
        <v>2968.87</v>
      </c>
      <c r="U399" s="6">
        <f t="shared" si="69"/>
        <v>2968.87</v>
      </c>
      <c r="V399" s="8">
        <v>0.16900000000000001</v>
      </c>
      <c r="W399" s="6">
        <v>5</v>
      </c>
      <c r="X399" s="6">
        <f t="shared" si="70"/>
        <v>12335.654849999999</v>
      </c>
      <c r="Y399">
        <f t="shared" si="71"/>
        <v>7027.7999999999993</v>
      </c>
      <c r="Z399" s="6">
        <f t="shared" si="72"/>
        <v>5307.8548499999997</v>
      </c>
      <c r="AA399">
        <f t="shared" si="73"/>
        <v>0.4302856163327235</v>
      </c>
      <c r="AB399" t="str">
        <f t="shared" si="74"/>
        <v>9-2024</v>
      </c>
      <c r="AC399" t="str">
        <f t="shared" si="75"/>
        <v>Q3-2024</v>
      </c>
      <c r="AD399" t="str">
        <f t="shared" si="76"/>
        <v>Asia →China →Shanghai</v>
      </c>
      <c r="AE399" t="str">
        <f t="shared" si="66"/>
        <v>High</v>
      </c>
      <c r="AF399" t="str">
        <f>TEXT(Table1[[#This Row],[OrderDate]],"MMM")</f>
        <v>Sep</v>
      </c>
      <c r="AG399" t="str">
        <f>TEXT(Table1[[#This Row],[OrderDate]],"YYYY")</f>
        <v>2024</v>
      </c>
      <c r="AI399" s="4">
        <f>IF(Table1[[#This Row],[RequiredDate]]&lt;Table1[[#This Row],[OrderDate]], Table1[[#This Row],[OrderDate]]+7, Table1[[#This Row],[RequiredDate]])</f>
        <v>45570</v>
      </c>
      <c r="AJ399">
        <f>IF(Dashboard!$D$3&gt;'Staging Data'!V399,'Staging Data'!V399,Dashboard!D$3)</f>
        <v>0.16900000000000001</v>
      </c>
      <c r="AK399" s="19">
        <f>(100%+Dashboard!$D$4)*'Staging Data'!S399</f>
        <v>1475.838</v>
      </c>
      <c r="AL399">
        <f>(100%+Dashboard!$D$5)*'Staging Data'!W399</f>
        <v>5.75</v>
      </c>
    </row>
    <row r="400" spans="1:38" x14ac:dyDescent="0.35">
      <c r="A400" s="6" t="s">
        <v>233</v>
      </c>
      <c r="B400" s="4">
        <v>45554</v>
      </c>
      <c r="C400" s="4">
        <v>45579</v>
      </c>
      <c r="D400" s="4">
        <f>IF(Table1[[#This Row],[RequiredDate]]&lt;Table1[[#This Row],[OrderDate]],Table1[[#This Row],[RequiredDate]],Table1[[#This Row],[OrderDate]])</f>
        <v>45554</v>
      </c>
      <c r="E400" s="4">
        <f>IF(Table1[[#This Row],[RequiredDate]]&gt;Table1[[#This Row],[OrderDate]],Table1[[#This Row],[RequiredDate]],Table1[[#This Row],[OrderDate]])</f>
        <v>45579</v>
      </c>
      <c r="F400" s="21">
        <f>Table1[[#This Row],[New RD]]-Table1[[#This Row],[new   od]]</f>
        <v>25</v>
      </c>
      <c r="G400" s="4">
        <f>IF(Table1[[#This Row],[RequiredDate]]&lt;Table1[[#This Row],[OrderDate]], Table1[[#This Row],[OrderDate]]+7, Table1[[#This Row],[RequiredDate]])</f>
        <v>45579</v>
      </c>
      <c r="H400" s="21">
        <f t="shared" si="67"/>
        <v>25</v>
      </c>
      <c r="I400" s="6" t="str">
        <f>IF(Table1[[#This Row],[New LTD]]&lt;=7,"Yes","No")</f>
        <v>No</v>
      </c>
      <c r="J400" s="6" t="str">
        <f t="shared" si="68"/>
        <v>Yes</v>
      </c>
      <c r="K400" t="s">
        <v>648</v>
      </c>
      <c r="L400" t="s">
        <v>655</v>
      </c>
      <c r="M400" t="s">
        <v>692</v>
      </c>
      <c r="N400" t="s">
        <v>705</v>
      </c>
      <c r="O400" t="s">
        <v>707</v>
      </c>
      <c r="P400" t="s">
        <v>723</v>
      </c>
      <c r="Q400" t="s">
        <v>728</v>
      </c>
      <c r="R400" t="s">
        <v>953</v>
      </c>
      <c r="S400" s="6">
        <v>386.96</v>
      </c>
      <c r="T400" s="6">
        <v>937.46</v>
      </c>
      <c r="U400" s="6">
        <f t="shared" si="69"/>
        <v>937.46</v>
      </c>
      <c r="V400" s="8">
        <v>0.26600000000000001</v>
      </c>
      <c r="W400" s="6">
        <v>41</v>
      </c>
      <c r="X400" s="6">
        <f t="shared" si="70"/>
        <v>28211.92124</v>
      </c>
      <c r="Y400">
        <f t="shared" si="71"/>
        <v>15865.359999999999</v>
      </c>
      <c r="Z400" s="6">
        <f t="shared" si="72"/>
        <v>12346.561240000001</v>
      </c>
      <c r="AA400">
        <f t="shared" si="73"/>
        <v>0.43763631462626335</v>
      </c>
      <c r="AB400" t="str">
        <f t="shared" si="74"/>
        <v>9-2024</v>
      </c>
      <c r="AC400" t="str">
        <f t="shared" si="75"/>
        <v>Q3-2024</v>
      </c>
      <c r="AD400" t="str">
        <f t="shared" si="76"/>
        <v>Americas →Brazil →Rio de Janeiro</v>
      </c>
      <c r="AE400" t="str">
        <f t="shared" si="66"/>
        <v>Medium</v>
      </c>
      <c r="AF400" t="str">
        <f>TEXT(Table1[[#This Row],[OrderDate]],"MMM")</f>
        <v>Sep</v>
      </c>
      <c r="AG400" t="str">
        <f>TEXT(Table1[[#This Row],[OrderDate]],"YYYY")</f>
        <v>2024</v>
      </c>
      <c r="AI400" s="4">
        <f>IF(Table1[[#This Row],[RequiredDate]]&lt;Table1[[#This Row],[OrderDate]], Table1[[#This Row],[OrderDate]]+7, Table1[[#This Row],[RequiredDate]])</f>
        <v>45579</v>
      </c>
      <c r="AJ400">
        <f>IF(Dashboard!$D$3&gt;'Staging Data'!V400,'Staging Data'!V400,Dashboard!D$3)</f>
        <v>0.2</v>
      </c>
      <c r="AK400" s="19">
        <f>(100%+Dashboard!$D$4)*'Staging Data'!S400</f>
        <v>406.30799999999999</v>
      </c>
      <c r="AL400">
        <f>(100%+Dashboard!$D$5)*'Staging Data'!W400</f>
        <v>47.15</v>
      </c>
    </row>
    <row r="401" spans="1:38" x14ac:dyDescent="0.35">
      <c r="A401" s="6" t="s">
        <v>209</v>
      </c>
      <c r="B401" s="4">
        <v>45557</v>
      </c>
      <c r="C401" s="4">
        <v>45566</v>
      </c>
      <c r="D401" s="4">
        <f>IF(Table1[[#This Row],[RequiredDate]]&lt;Table1[[#This Row],[OrderDate]],Table1[[#This Row],[RequiredDate]],Table1[[#This Row],[OrderDate]])</f>
        <v>45557</v>
      </c>
      <c r="E401" s="4">
        <f>IF(Table1[[#This Row],[RequiredDate]]&gt;Table1[[#This Row],[OrderDate]],Table1[[#This Row],[RequiredDate]],Table1[[#This Row],[OrderDate]])</f>
        <v>45566</v>
      </c>
      <c r="F401" s="21">
        <f>Table1[[#This Row],[New RD]]-Table1[[#This Row],[new   od]]</f>
        <v>9</v>
      </c>
      <c r="G401" s="4">
        <f>IF(Table1[[#This Row],[RequiredDate]]&lt;Table1[[#This Row],[OrderDate]], Table1[[#This Row],[OrderDate]]+7, Table1[[#This Row],[RequiredDate]])</f>
        <v>45566</v>
      </c>
      <c r="H401" s="21">
        <f t="shared" si="67"/>
        <v>9</v>
      </c>
      <c r="I401" s="6" t="str">
        <f>IF(Table1[[#This Row],[New LTD]]&lt;=7,"Yes","No")</f>
        <v>No</v>
      </c>
      <c r="J401" s="6" t="str">
        <f t="shared" si="68"/>
        <v>No</v>
      </c>
      <c r="K401" t="s">
        <v>648</v>
      </c>
      <c r="L401" t="s">
        <v>655</v>
      </c>
      <c r="M401" t="s">
        <v>670</v>
      </c>
      <c r="N401" t="s">
        <v>703</v>
      </c>
      <c r="O401" t="s">
        <v>708</v>
      </c>
      <c r="P401" t="s">
        <v>723</v>
      </c>
      <c r="Q401" t="s">
        <v>732</v>
      </c>
      <c r="R401" t="s">
        <v>929</v>
      </c>
      <c r="S401" s="6">
        <v>1378.8</v>
      </c>
      <c r="T401" s="6">
        <v>1952.04</v>
      </c>
      <c r="U401" s="6">
        <f t="shared" si="69"/>
        <v>1952.04</v>
      </c>
      <c r="V401" s="8">
        <v>0.159</v>
      </c>
      <c r="W401" s="6">
        <v>19</v>
      </c>
      <c r="X401" s="6">
        <f t="shared" si="70"/>
        <v>31191.64716</v>
      </c>
      <c r="Y401">
        <f t="shared" si="71"/>
        <v>26197.200000000001</v>
      </c>
      <c r="Z401" s="6">
        <f t="shared" si="72"/>
        <v>4994.4471599999997</v>
      </c>
      <c r="AA401">
        <f t="shared" si="73"/>
        <v>0.16012130216723058</v>
      </c>
      <c r="AB401" t="str">
        <f t="shared" si="74"/>
        <v>9-2024</v>
      </c>
      <c r="AC401" t="str">
        <f t="shared" si="75"/>
        <v>Q3-2024</v>
      </c>
      <c r="AD401" t="str">
        <f t="shared" si="76"/>
        <v>Americas →Brazil →São Paulo</v>
      </c>
      <c r="AE401" t="str">
        <f t="shared" si="66"/>
        <v>High</v>
      </c>
      <c r="AF401" t="str">
        <f>TEXT(Table1[[#This Row],[OrderDate]],"MMM")</f>
        <v>Sep</v>
      </c>
      <c r="AG401" t="str">
        <f>TEXT(Table1[[#This Row],[OrderDate]],"YYYY")</f>
        <v>2024</v>
      </c>
      <c r="AI401" s="4">
        <f>IF(Table1[[#This Row],[RequiredDate]]&lt;Table1[[#This Row],[OrderDate]], Table1[[#This Row],[OrderDate]]+7, Table1[[#This Row],[RequiredDate]])</f>
        <v>45566</v>
      </c>
      <c r="AJ401">
        <f>IF(Dashboard!$D$3&gt;'Staging Data'!V401,'Staging Data'!V401,Dashboard!D$3)</f>
        <v>0.159</v>
      </c>
      <c r="AK401" s="19">
        <f>(100%+Dashboard!$D$4)*'Staging Data'!S401</f>
        <v>1447.74</v>
      </c>
      <c r="AL401">
        <f>(100%+Dashboard!$D$5)*'Staging Data'!W401</f>
        <v>21.849999999999998</v>
      </c>
    </row>
    <row r="402" spans="1:38" x14ac:dyDescent="0.35">
      <c r="A402" s="6" t="s">
        <v>164</v>
      </c>
      <c r="B402" s="4">
        <v>45558</v>
      </c>
      <c r="C402" s="4">
        <v>45583</v>
      </c>
      <c r="D402" s="4">
        <f>IF(Table1[[#This Row],[RequiredDate]]&lt;Table1[[#This Row],[OrderDate]],Table1[[#This Row],[RequiredDate]],Table1[[#This Row],[OrderDate]])</f>
        <v>45558</v>
      </c>
      <c r="E402" s="4">
        <f>IF(Table1[[#This Row],[RequiredDate]]&gt;Table1[[#This Row],[OrderDate]],Table1[[#This Row],[RequiredDate]],Table1[[#This Row],[OrderDate]])</f>
        <v>45583</v>
      </c>
      <c r="F402" s="21">
        <f>Table1[[#This Row],[New RD]]-Table1[[#This Row],[new   od]]</f>
        <v>25</v>
      </c>
      <c r="G402" s="4">
        <f>IF(Table1[[#This Row],[RequiredDate]]&lt;Table1[[#This Row],[OrderDate]], Table1[[#This Row],[OrderDate]]+7, Table1[[#This Row],[RequiredDate]])</f>
        <v>45583</v>
      </c>
      <c r="H402" s="21">
        <f t="shared" si="67"/>
        <v>25</v>
      </c>
      <c r="I402" s="6" t="str">
        <f>IF(Table1[[#This Row],[New LTD]]&lt;=7,"Yes","No")</f>
        <v>No</v>
      </c>
      <c r="J402" s="6" t="str">
        <f t="shared" si="68"/>
        <v>No</v>
      </c>
      <c r="K402" t="s">
        <v>648</v>
      </c>
      <c r="L402" t="s">
        <v>653</v>
      </c>
      <c r="M402" t="s">
        <v>688</v>
      </c>
      <c r="N402" t="s">
        <v>705</v>
      </c>
      <c r="O402" t="s">
        <v>708</v>
      </c>
      <c r="P402" t="s">
        <v>725</v>
      </c>
      <c r="Q402" t="s">
        <v>730</v>
      </c>
      <c r="R402" t="s">
        <v>883</v>
      </c>
      <c r="S402" s="6">
        <v>1297</v>
      </c>
      <c r="T402" s="6">
        <v>2411.52</v>
      </c>
      <c r="U402" s="6">
        <f t="shared" si="69"/>
        <v>2411.52</v>
      </c>
      <c r="V402" s="8">
        <v>2.1000000000000001E-2</v>
      </c>
      <c r="W402" s="6">
        <v>18</v>
      </c>
      <c r="X402" s="6">
        <f t="shared" si="70"/>
        <v>42495.805439999996</v>
      </c>
      <c r="Y402">
        <f t="shared" si="71"/>
        <v>23346</v>
      </c>
      <c r="Z402" s="6">
        <f t="shared" si="72"/>
        <v>19149.805439999996</v>
      </c>
      <c r="AA402">
        <f t="shared" si="73"/>
        <v>0.45062813239385913</v>
      </c>
      <c r="AB402" t="str">
        <f t="shared" si="74"/>
        <v>9-2024</v>
      </c>
      <c r="AC402" t="str">
        <f t="shared" si="75"/>
        <v>Q3-2024</v>
      </c>
      <c r="AD402" t="str">
        <f t="shared" si="76"/>
        <v>Americas →Canada →Vancouver</v>
      </c>
      <c r="AE402" t="str">
        <f t="shared" si="66"/>
        <v>High</v>
      </c>
      <c r="AF402" t="str">
        <f>TEXT(Table1[[#This Row],[OrderDate]],"MMM")</f>
        <v>Sep</v>
      </c>
      <c r="AG402" t="str">
        <f>TEXT(Table1[[#This Row],[OrderDate]],"YYYY")</f>
        <v>2024</v>
      </c>
      <c r="AI402" s="4">
        <f>IF(Table1[[#This Row],[RequiredDate]]&lt;Table1[[#This Row],[OrderDate]], Table1[[#This Row],[OrderDate]]+7, Table1[[#This Row],[RequiredDate]])</f>
        <v>45583</v>
      </c>
      <c r="AJ402">
        <f>IF(Dashboard!$D$3&gt;'Staging Data'!V402,'Staging Data'!V402,Dashboard!D$3)</f>
        <v>2.1000000000000001E-2</v>
      </c>
      <c r="AK402" s="19">
        <f>(100%+Dashboard!$D$4)*'Staging Data'!S402</f>
        <v>1361.8500000000001</v>
      </c>
      <c r="AL402">
        <f>(100%+Dashboard!$D$5)*'Staging Data'!W402</f>
        <v>20.7</v>
      </c>
    </row>
    <row r="403" spans="1:38" x14ac:dyDescent="0.35">
      <c r="A403" s="6" t="s">
        <v>458</v>
      </c>
      <c r="B403" s="4">
        <v>45560</v>
      </c>
      <c r="C403" s="4">
        <v>45568</v>
      </c>
      <c r="D403" s="4">
        <f>IF(Table1[[#This Row],[RequiredDate]]&lt;Table1[[#This Row],[OrderDate]],Table1[[#This Row],[RequiredDate]],Table1[[#This Row],[OrderDate]])</f>
        <v>45560</v>
      </c>
      <c r="E403" s="4">
        <f>IF(Table1[[#This Row],[RequiredDate]]&gt;Table1[[#This Row],[OrderDate]],Table1[[#This Row],[RequiredDate]],Table1[[#This Row],[OrderDate]])</f>
        <v>45568</v>
      </c>
      <c r="F403" s="21">
        <f>Table1[[#This Row],[New RD]]-Table1[[#This Row],[new   od]]</f>
        <v>8</v>
      </c>
      <c r="G403" s="4">
        <f>IF(Table1[[#This Row],[RequiredDate]]&lt;Table1[[#This Row],[OrderDate]], Table1[[#This Row],[OrderDate]]+7, Table1[[#This Row],[RequiredDate]])</f>
        <v>45568</v>
      </c>
      <c r="H403" s="21">
        <f t="shared" si="67"/>
        <v>8</v>
      </c>
      <c r="I403" s="6" t="str">
        <f>IF(Table1[[#This Row],[New LTD]]&lt;=7,"Yes","No")</f>
        <v>No</v>
      </c>
      <c r="J403" s="6" t="str">
        <f t="shared" si="68"/>
        <v>No</v>
      </c>
      <c r="K403" t="s">
        <v>648</v>
      </c>
      <c r="L403" t="s">
        <v>653</v>
      </c>
      <c r="M403" t="s">
        <v>667</v>
      </c>
      <c r="N403" t="s">
        <v>704</v>
      </c>
      <c r="O403" t="s">
        <v>708</v>
      </c>
      <c r="P403" t="s">
        <v>718</v>
      </c>
      <c r="Q403" t="s">
        <v>728</v>
      </c>
      <c r="R403" t="s">
        <v>1177</v>
      </c>
      <c r="S403" s="6">
        <v>558.19000000000005</v>
      </c>
      <c r="T403" s="6">
        <v>1031.6400000000001</v>
      </c>
      <c r="U403" s="6">
        <f t="shared" si="69"/>
        <v>1031.6400000000001</v>
      </c>
      <c r="V403" s="8">
        <v>0</v>
      </c>
      <c r="W403" s="6">
        <v>21</v>
      </c>
      <c r="X403" s="6">
        <f t="shared" si="70"/>
        <v>21664.440000000002</v>
      </c>
      <c r="Y403">
        <f t="shared" si="71"/>
        <v>11721.990000000002</v>
      </c>
      <c r="Z403" s="6">
        <f t="shared" si="72"/>
        <v>9942.4500000000007</v>
      </c>
      <c r="AA403">
        <f t="shared" si="73"/>
        <v>0.45892947152107322</v>
      </c>
      <c r="AB403" t="str">
        <f t="shared" si="74"/>
        <v>9-2024</v>
      </c>
      <c r="AC403" t="str">
        <f t="shared" si="75"/>
        <v>Q3-2024</v>
      </c>
      <c r="AD403" t="str">
        <f t="shared" si="76"/>
        <v>Americas →Canada →Toronto</v>
      </c>
      <c r="AE403" t="str">
        <f t="shared" si="66"/>
        <v>Medium</v>
      </c>
      <c r="AF403" t="str">
        <f>TEXT(Table1[[#This Row],[OrderDate]],"MMM")</f>
        <v>Sep</v>
      </c>
      <c r="AG403" t="str">
        <f>TEXT(Table1[[#This Row],[OrderDate]],"YYYY")</f>
        <v>2024</v>
      </c>
      <c r="AI403" s="4">
        <f>IF(Table1[[#This Row],[RequiredDate]]&lt;Table1[[#This Row],[OrderDate]], Table1[[#This Row],[OrderDate]]+7, Table1[[#This Row],[RequiredDate]])</f>
        <v>45568</v>
      </c>
      <c r="AJ403">
        <f>IF(Dashboard!$D$3&gt;'Staging Data'!V403,'Staging Data'!V403,Dashboard!D$3)</f>
        <v>0</v>
      </c>
      <c r="AK403" s="19">
        <f>(100%+Dashboard!$D$4)*'Staging Data'!S403</f>
        <v>586.09950000000003</v>
      </c>
      <c r="AL403">
        <f>(100%+Dashboard!$D$5)*'Staging Data'!W403</f>
        <v>24.15</v>
      </c>
    </row>
    <row r="404" spans="1:38" x14ac:dyDescent="0.35">
      <c r="A404" s="6" t="s">
        <v>224</v>
      </c>
      <c r="B404" s="4">
        <v>45567</v>
      </c>
      <c r="C404" s="4">
        <v>45588</v>
      </c>
      <c r="D404" s="4">
        <f>IF(Table1[[#This Row],[RequiredDate]]&lt;Table1[[#This Row],[OrderDate]],Table1[[#This Row],[RequiredDate]],Table1[[#This Row],[OrderDate]])</f>
        <v>45567</v>
      </c>
      <c r="E404" s="4">
        <f>IF(Table1[[#This Row],[RequiredDate]]&gt;Table1[[#This Row],[OrderDate]],Table1[[#This Row],[RequiredDate]],Table1[[#This Row],[OrderDate]])</f>
        <v>45588</v>
      </c>
      <c r="F404" s="21">
        <f>Table1[[#This Row],[New RD]]-Table1[[#This Row],[new   od]]</f>
        <v>21</v>
      </c>
      <c r="G404" s="4">
        <f>IF(Table1[[#This Row],[RequiredDate]]&lt;Table1[[#This Row],[OrderDate]], Table1[[#This Row],[OrderDate]]+7, Table1[[#This Row],[RequiredDate]])</f>
        <v>45588</v>
      </c>
      <c r="H404" s="21">
        <f t="shared" si="67"/>
        <v>21</v>
      </c>
      <c r="I404" s="6" t="str">
        <f>IF(Table1[[#This Row],[New LTD]]&lt;=7,"Yes","No")</f>
        <v>No</v>
      </c>
      <c r="J404" s="6" t="str">
        <f t="shared" si="68"/>
        <v>No</v>
      </c>
      <c r="K404" t="s">
        <v>646</v>
      </c>
      <c r="L404" t="s">
        <v>661</v>
      </c>
      <c r="M404" t="s">
        <v>687</v>
      </c>
      <c r="N404" t="s">
        <v>701</v>
      </c>
      <c r="O404" t="s">
        <v>709</v>
      </c>
      <c r="P404" t="s">
        <v>720</v>
      </c>
      <c r="Q404" t="s">
        <v>727</v>
      </c>
      <c r="R404" t="s">
        <v>944</v>
      </c>
      <c r="S404" s="6">
        <v>1095.6099999999999</v>
      </c>
      <c r="T404" s="6">
        <v>2366.5100000000002</v>
      </c>
      <c r="U404" s="6">
        <f t="shared" si="69"/>
        <v>2366.5100000000002</v>
      </c>
      <c r="V404" s="8">
        <v>0.152</v>
      </c>
      <c r="W404" s="6">
        <v>9</v>
      </c>
      <c r="X404" s="6">
        <f t="shared" si="70"/>
        <v>18061.204320000004</v>
      </c>
      <c r="Y404">
        <f t="shared" si="71"/>
        <v>9860.49</v>
      </c>
      <c r="Z404" s="6">
        <f t="shared" si="72"/>
        <v>8200.7143200000046</v>
      </c>
      <c r="AA404">
        <f t="shared" si="73"/>
        <v>0.4540513564158607</v>
      </c>
      <c r="AB404" t="str">
        <f t="shared" si="74"/>
        <v>10-2024</v>
      </c>
      <c r="AC404" t="str">
        <f t="shared" si="75"/>
        <v>Q4-2024</v>
      </c>
      <c r="AD404" t="str">
        <f t="shared" si="76"/>
        <v>Africa →South Africa →Durban</v>
      </c>
      <c r="AE404" t="str">
        <f t="shared" si="66"/>
        <v>High</v>
      </c>
      <c r="AF404" t="str">
        <f>TEXT(Table1[[#This Row],[OrderDate]],"MMM")</f>
        <v>Oct</v>
      </c>
      <c r="AG404" t="str">
        <f>TEXT(Table1[[#This Row],[OrderDate]],"YYYY")</f>
        <v>2024</v>
      </c>
      <c r="AI404" s="4">
        <f>IF(Table1[[#This Row],[RequiredDate]]&lt;Table1[[#This Row],[OrderDate]], Table1[[#This Row],[OrderDate]]+7, Table1[[#This Row],[RequiredDate]])</f>
        <v>45588</v>
      </c>
      <c r="AJ404">
        <f>IF(Dashboard!$D$3&gt;'Staging Data'!V404,'Staging Data'!V404,Dashboard!D$3)</f>
        <v>0.152</v>
      </c>
      <c r="AK404" s="19">
        <f>(100%+Dashboard!$D$4)*'Staging Data'!S404</f>
        <v>1150.3905</v>
      </c>
      <c r="AL404">
        <f>(100%+Dashboard!$D$5)*'Staging Data'!W404</f>
        <v>10.35</v>
      </c>
    </row>
    <row r="405" spans="1:38" x14ac:dyDescent="0.35">
      <c r="A405" s="6" t="s">
        <v>196</v>
      </c>
      <c r="B405" s="4">
        <v>45568</v>
      </c>
      <c r="C405" s="4">
        <v>45576</v>
      </c>
      <c r="D405" s="4">
        <f>IF(Table1[[#This Row],[RequiredDate]]&lt;Table1[[#This Row],[OrderDate]],Table1[[#This Row],[RequiredDate]],Table1[[#This Row],[OrderDate]])</f>
        <v>45568</v>
      </c>
      <c r="E405" s="4">
        <f>IF(Table1[[#This Row],[RequiredDate]]&gt;Table1[[#This Row],[OrderDate]],Table1[[#This Row],[RequiredDate]],Table1[[#This Row],[OrderDate]])</f>
        <v>45576</v>
      </c>
      <c r="F405" s="21">
        <f>Table1[[#This Row],[New RD]]-Table1[[#This Row],[new   od]]</f>
        <v>8</v>
      </c>
      <c r="G405" s="4">
        <f>IF(Table1[[#This Row],[RequiredDate]]&lt;Table1[[#This Row],[OrderDate]], Table1[[#This Row],[OrderDate]]+7, Table1[[#This Row],[RequiredDate]])</f>
        <v>45576</v>
      </c>
      <c r="H405" s="21">
        <f t="shared" si="67"/>
        <v>8</v>
      </c>
      <c r="I405" s="6" t="str">
        <f>IF(Table1[[#This Row],[New LTD]]&lt;=7,"Yes","No")</f>
        <v>No</v>
      </c>
      <c r="J405" s="6" t="str">
        <f t="shared" si="68"/>
        <v>No</v>
      </c>
      <c r="K405" t="s">
        <v>647</v>
      </c>
      <c r="L405" t="s">
        <v>659</v>
      </c>
      <c r="M405" t="s">
        <v>699</v>
      </c>
      <c r="N405" t="s">
        <v>706</v>
      </c>
      <c r="O405" t="s">
        <v>711</v>
      </c>
      <c r="P405" t="s">
        <v>717</v>
      </c>
      <c r="Q405" t="s">
        <v>730</v>
      </c>
      <c r="R405" t="s">
        <v>915</v>
      </c>
      <c r="S405" s="6">
        <v>1132.6099999999999</v>
      </c>
      <c r="T405" s="6">
        <v>2206.63</v>
      </c>
      <c r="U405" s="6">
        <f t="shared" si="69"/>
        <v>2206.63</v>
      </c>
      <c r="V405" s="8">
        <v>6.3E-2</v>
      </c>
      <c r="W405" s="6">
        <v>20</v>
      </c>
      <c r="X405" s="6">
        <f t="shared" si="70"/>
        <v>41352.246200000009</v>
      </c>
      <c r="Y405">
        <f t="shared" si="71"/>
        <v>22652.199999999997</v>
      </c>
      <c r="Z405" s="6">
        <f t="shared" si="72"/>
        <v>18700.046200000012</v>
      </c>
      <c r="AA405">
        <f t="shared" si="73"/>
        <v>0.45221355351671338</v>
      </c>
      <c r="AB405" t="str">
        <f t="shared" si="74"/>
        <v>10-2024</v>
      </c>
      <c r="AC405" t="str">
        <f t="shared" si="75"/>
        <v>Q4-2024</v>
      </c>
      <c r="AD405" t="str">
        <f t="shared" si="76"/>
        <v>Asia →China →Beijing</v>
      </c>
      <c r="AE405" t="str">
        <f t="shared" si="66"/>
        <v>High</v>
      </c>
      <c r="AF405" t="str">
        <f>TEXT(Table1[[#This Row],[OrderDate]],"MMM")</f>
        <v>Oct</v>
      </c>
      <c r="AG405" t="str">
        <f>TEXT(Table1[[#This Row],[OrderDate]],"YYYY")</f>
        <v>2024</v>
      </c>
      <c r="AI405" s="4">
        <f>IF(Table1[[#This Row],[RequiredDate]]&lt;Table1[[#This Row],[OrderDate]], Table1[[#This Row],[OrderDate]]+7, Table1[[#This Row],[RequiredDate]])</f>
        <v>45576</v>
      </c>
      <c r="AJ405">
        <f>IF(Dashboard!$D$3&gt;'Staging Data'!V405,'Staging Data'!V405,Dashboard!D$3)</f>
        <v>6.3E-2</v>
      </c>
      <c r="AK405" s="19">
        <f>(100%+Dashboard!$D$4)*'Staging Data'!S405</f>
        <v>1189.2404999999999</v>
      </c>
      <c r="AL405">
        <f>(100%+Dashboard!$D$5)*'Staging Data'!W405</f>
        <v>23</v>
      </c>
    </row>
    <row r="406" spans="1:38" x14ac:dyDescent="0.35">
      <c r="A406" s="6" t="s">
        <v>108</v>
      </c>
      <c r="B406" s="4">
        <v>45569</v>
      </c>
      <c r="C406" s="4">
        <v>45598</v>
      </c>
      <c r="D406" s="4">
        <f>IF(Table1[[#This Row],[RequiredDate]]&lt;Table1[[#This Row],[OrderDate]],Table1[[#This Row],[RequiredDate]],Table1[[#This Row],[OrderDate]])</f>
        <v>45569</v>
      </c>
      <c r="E406" s="4">
        <f>IF(Table1[[#This Row],[RequiredDate]]&gt;Table1[[#This Row],[OrderDate]],Table1[[#This Row],[RequiredDate]],Table1[[#This Row],[OrderDate]])</f>
        <v>45598</v>
      </c>
      <c r="F406" s="21">
        <f>Table1[[#This Row],[New RD]]-Table1[[#This Row],[new   od]]</f>
        <v>29</v>
      </c>
      <c r="G406" s="4">
        <f>IF(Table1[[#This Row],[RequiredDate]]&lt;Table1[[#This Row],[OrderDate]], Table1[[#This Row],[OrderDate]]+7, Table1[[#This Row],[RequiredDate]])</f>
        <v>45598</v>
      </c>
      <c r="H406" s="21">
        <f t="shared" si="67"/>
        <v>29</v>
      </c>
      <c r="I406" s="6" t="str">
        <f>IF(Table1[[#This Row],[New LTD]]&lt;=7,"Yes","No")</f>
        <v>No</v>
      </c>
      <c r="J406" s="6" t="str">
        <f t="shared" si="68"/>
        <v>No</v>
      </c>
      <c r="K406" t="s">
        <v>646</v>
      </c>
      <c r="L406" t="s">
        <v>651</v>
      </c>
      <c r="M406" t="s">
        <v>669</v>
      </c>
      <c r="N406" t="s">
        <v>701</v>
      </c>
      <c r="O406" t="s">
        <v>710</v>
      </c>
      <c r="P406" t="s">
        <v>721</v>
      </c>
      <c r="Q406" t="s">
        <v>733</v>
      </c>
      <c r="R406" t="s">
        <v>827</v>
      </c>
      <c r="S406" s="6">
        <v>412.09</v>
      </c>
      <c r="T406" s="6">
        <v>968.94</v>
      </c>
      <c r="U406" s="6">
        <f t="shared" si="69"/>
        <v>968.94</v>
      </c>
      <c r="V406" s="8">
        <v>9.9000000000000005E-2</v>
      </c>
      <c r="W406" s="6">
        <v>23</v>
      </c>
      <c r="X406" s="6">
        <f t="shared" si="70"/>
        <v>20079.343620000003</v>
      </c>
      <c r="Y406">
        <f t="shared" si="71"/>
        <v>9478.07</v>
      </c>
      <c r="Z406" s="6">
        <f t="shared" si="72"/>
        <v>10601.273620000004</v>
      </c>
      <c r="AA406">
        <f t="shared" si="73"/>
        <v>0.52796913189137418</v>
      </c>
      <c r="AB406" t="str">
        <f t="shared" si="74"/>
        <v>10-2024</v>
      </c>
      <c r="AC406" t="str">
        <f t="shared" si="75"/>
        <v>Q4-2024</v>
      </c>
      <c r="AD406" t="str">
        <f t="shared" si="76"/>
        <v>Africa →Nigeria →Abuja</v>
      </c>
      <c r="AE406" t="str">
        <f t="shared" si="66"/>
        <v>Medium</v>
      </c>
      <c r="AF406" t="str">
        <f>TEXT(Table1[[#This Row],[OrderDate]],"MMM")</f>
        <v>Oct</v>
      </c>
      <c r="AG406" t="str">
        <f>TEXT(Table1[[#This Row],[OrderDate]],"YYYY")</f>
        <v>2024</v>
      </c>
      <c r="AI406" s="4">
        <f>IF(Table1[[#This Row],[RequiredDate]]&lt;Table1[[#This Row],[OrderDate]], Table1[[#This Row],[OrderDate]]+7, Table1[[#This Row],[RequiredDate]])</f>
        <v>45598</v>
      </c>
      <c r="AJ406">
        <f>IF(Dashboard!$D$3&gt;'Staging Data'!V406,'Staging Data'!V406,Dashboard!D$3)</f>
        <v>9.9000000000000005E-2</v>
      </c>
      <c r="AK406" s="19">
        <f>(100%+Dashboard!$D$4)*'Staging Data'!S406</f>
        <v>432.69450000000001</v>
      </c>
      <c r="AL406">
        <f>(100%+Dashboard!$D$5)*'Staging Data'!W406</f>
        <v>26.45</v>
      </c>
    </row>
    <row r="407" spans="1:38" x14ac:dyDescent="0.35">
      <c r="A407" s="6" t="s">
        <v>280</v>
      </c>
      <c r="B407" s="4">
        <v>45573</v>
      </c>
      <c r="C407" s="4">
        <v>45573</v>
      </c>
      <c r="D407" s="4">
        <f>IF(Table1[[#This Row],[RequiredDate]]&lt;Table1[[#This Row],[OrderDate]],Table1[[#This Row],[RequiredDate]],Table1[[#This Row],[OrderDate]])</f>
        <v>45573</v>
      </c>
      <c r="E407" s="4">
        <f>IF(Table1[[#This Row],[RequiredDate]]&gt;Table1[[#This Row],[OrderDate]],Table1[[#This Row],[RequiredDate]],Table1[[#This Row],[OrderDate]])</f>
        <v>45573</v>
      </c>
      <c r="F407" s="21">
        <f>Table1[[#This Row],[New RD]]-Table1[[#This Row],[new   od]]</f>
        <v>0</v>
      </c>
      <c r="G407" s="4">
        <f>IF(Table1[[#This Row],[RequiredDate]]&lt;Table1[[#This Row],[OrderDate]], Table1[[#This Row],[OrderDate]]+7, Table1[[#This Row],[RequiredDate]])</f>
        <v>45573</v>
      </c>
      <c r="H407" s="21">
        <f t="shared" si="67"/>
        <v>0</v>
      </c>
      <c r="I407" s="6" t="str">
        <f>IF(Table1[[#This Row],[New LTD]]&lt;=7,"Yes","No")</f>
        <v>Yes</v>
      </c>
      <c r="J407" s="6" t="str">
        <f t="shared" si="68"/>
        <v>No</v>
      </c>
      <c r="K407" t="s">
        <v>649</v>
      </c>
      <c r="L407" t="s">
        <v>658</v>
      </c>
      <c r="M407" t="s">
        <v>683</v>
      </c>
      <c r="N407" t="s">
        <v>701</v>
      </c>
      <c r="O407" t="s">
        <v>708</v>
      </c>
      <c r="P407" t="s">
        <v>718</v>
      </c>
      <c r="Q407" t="s">
        <v>732</v>
      </c>
      <c r="R407" t="s">
        <v>1000</v>
      </c>
      <c r="S407" s="6">
        <v>1108.1099999999999</v>
      </c>
      <c r="T407" s="6">
        <v>2503.79</v>
      </c>
      <c r="U407" s="6">
        <f t="shared" si="69"/>
        <v>2503.79</v>
      </c>
      <c r="V407" s="8">
        <v>0.184</v>
      </c>
      <c r="W407" s="6">
        <v>19</v>
      </c>
      <c r="X407" s="6">
        <f t="shared" si="70"/>
        <v>38818.760160000005</v>
      </c>
      <c r="Y407">
        <f t="shared" si="71"/>
        <v>21054.089999999997</v>
      </c>
      <c r="Z407" s="6">
        <f t="shared" si="72"/>
        <v>17764.670160000009</v>
      </c>
      <c r="AA407">
        <f t="shared" si="73"/>
        <v>0.45763105485025896</v>
      </c>
      <c r="AB407" t="str">
        <f t="shared" si="74"/>
        <v>10-2024</v>
      </c>
      <c r="AC407" t="str">
        <f t="shared" si="75"/>
        <v>Q4-2024</v>
      </c>
      <c r="AD407" t="str">
        <f t="shared" si="76"/>
        <v>Europe →United Kingdom →London</v>
      </c>
      <c r="AE407" t="str">
        <f t="shared" si="66"/>
        <v>High</v>
      </c>
      <c r="AF407" t="str">
        <f>TEXT(Table1[[#This Row],[OrderDate]],"MMM")</f>
        <v>Oct</v>
      </c>
      <c r="AG407" t="str">
        <f>TEXT(Table1[[#This Row],[OrderDate]],"YYYY")</f>
        <v>2024</v>
      </c>
      <c r="AI407" s="4">
        <f>IF(Table1[[#This Row],[RequiredDate]]&lt;Table1[[#This Row],[OrderDate]], Table1[[#This Row],[OrderDate]]+7, Table1[[#This Row],[RequiredDate]])</f>
        <v>45573</v>
      </c>
      <c r="AJ407">
        <f>IF(Dashboard!$D$3&gt;'Staging Data'!V407,'Staging Data'!V407,Dashboard!D$3)</f>
        <v>0.184</v>
      </c>
      <c r="AK407" s="19">
        <f>(100%+Dashboard!$D$4)*'Staging Data'!S407</f>
        <v>1163.5155</v>
      </c>
      <c r="AL407">
        <f>(100%+Dashboard!$D$5)*'Staging Data'!W407</f>
        <v>21.849999999999998</v>
      </c>
    </row>
    <row r="408" spans="1:38" x14ac:dyDescent="0.35">
      <c r="A408" s="6" t="s">
        <v>184</v>
      </c>
      <c r="B408" s="4">
        <v>45574</v>
      </c>
      <c r="C408" s="4">
        <v>45604</v>
      </c>
      <c r="D408" s="4">
        <f>IF(Table1[[#This Row],[RequiredDate]]&lt;Table1[[#This Row],[OrderDate]],Table1[[#This Row],[RequiredDate]],Table1[[#This Row],[OrderDate]])</f>
        <v>45574</v>
      </c>
      <c r="E408" s="4">
        <f>IF(Table1[[#This Row],[RequiredDate]]&gt;Table1[[#This Row],[OrderDate]],Table1[[#This Row],[RequiredDate]],Table1[[#This Row],[OrderDate]])</f>
        <v>45604</v>
      </c>
      <c r="F408" s="21">
        <f>Table1[[#This Row],[New RD]]-Table1[[#This Row],[new   od]]</f>
        <v>30</v>
      </c>
      <c r="G408" s="4">
        <f>IF(Table1[[#This Row],[RequiredDate]]&lt;Table1[[#This Row],[OrderDate]], Table1[[#This Row],[OrderDate]]+7, Table1[[#This Row],[RequiredDate]])</f>
        <v>45604</v>
      </c>
      <c r="H408" s="21">
        <f t="shared" si="67"/>
        <v>30</v>
      </c>
      <c r="I408" s="6" t="str">
        <f>IF(Table1[[#This Row],[New LTD]]&lt;=7,"Yes","No")</f>
        <v>No</v>
      </c>
      <c r="J408" s="6" t="str">
        <f t="shared" si="68"/>
        <v>No</v>
      </c>
      <c r="K408" t="s">
        <v>649</v>
      </c>
      <c r="L408" t="s">
        <v>658</v>
      </c>
      <c r="M408" t="s">
        <v>693</v>
      </c>
      <c r="N408" t="s">
        <v>705</v>
      </c>
      <c r="O408" t="s">
        <v>710</v>
      </c>
      <c r="P408" t="s">
        <v>713</v>
      </c>
      <c r="Q408" t="s">
        <v>727</v>
      </c>
      <c r="R408" t="s">
        <v>903</v>
      </c>
      <c r="S408" s="6">
        <v>343.85</v>
      </c>
      <c r="T408" s="6">
        <v>538.04</v>
      </c>
      <c r="U408" s="6">
        <f t="shared" si="69"/>
        <v>538.04</v>
      </c>
      <c r="V408" s="8">
        <v>0.13900000000000001</v>
      </c>
      <c r="W408" s="6">
        <v>5</v>
      </c>
      <c r="X408" s="6">
        <f t="shared" si="70"/>
        <v>2316.2621999999997</v>
      </c>
      <c r="Y408">
        <f t="shared" si="71"/>
        <v>1719.25</v>
      </c>
      <c r="Z408" s="6">
        <f t="shared" si="72"/>
        <v>597.01219999999967</v>
      </c>
      <c r="AA408">
        <f t="shared" si="73"/>
        <v>0.25774810813732563</v>
      </c>
      <c r="AB408" t="str">
        <f t="shared" si="74"/>
        <v>10-2024</v>
      </c>
      <c r="AC408" t="str">
        <f t="shared" si="75"/>
        <v>Q4-2024</v>
      </c>
      <c r="AD408" t="str">
        <f t="shared" si="76"/>
        <v>Europe →United Kingdom →Manchester</v>
      </c>
      <c r="AE408" t="str">
        <f t="shared" si="66"/>
        <v>Low</v>
      </c>
      <c r="AF408" t="str">
        <f>TEXT(Table1[[#This Row],[OrderDate]],"MMM")</f>
        <v>Oct</v>
      </c>
      <c r="AG408" t="str">
        <f>TEXT(Table1[[#This Row],[OrderDate]],"YYYY")</f>
        <v>2024</v>
      </c>
      <c r="AI408" s="4">
        <f>IF(Table1[[#This Row],[RequiredDate]]&lt;Table1[[#This Row],[OrderDate]], Table1[[#This Row],[OrderDate]]+7, Table1[[#This Row],[RequiredDate]])</f>
        <v>45604</v>
      </c>
      <c r="AJ408">
        <f>IF(Dashboard!$D$3&gt;'Staging Data'!V408,'Staging Data'!V408,Dashboard!D$3)</f>
        <v>0.13900000000000001</v>
      </c>
      <c r="AK408" s="19">
        <f>(100%+Dashboard!$D$4)*'Staging Data'!S408</f>
        <v>361.04250000000002</v>
      </c>
      <c r="AL408">
        <f>(100%+Dashboard!$D$5)*'Staging Data'!W408</f>
        <v>5.75</v>
      </c>
    </row>
    <row r="409" spans="1:38" x14ac:dyDescent="0.35">
      <c r="A409" s="6" t="s">
        <v>526</v>
      </c>
      <c r="B409" s="4">
        <v>45575</v>
      </c>
      <c r="C409" s="4">
        <v>45576</v>
      </c>
      <c r="D409" s="4">
        <f>IF(Table1[[#This Row],[RequiredDate]]&lt;Table1[[#This Row],[OrderDate]],Table1[[#This Row],[RequiredDate]],Table1[[#This Row],[OrderDate]])</f>
        <v>45575</v>
      </c>
      <c r="E409" s="4">
        <f>IF(Table1[[#This Row],[RequiredDate]]&gt;Table1[[#This Row],[OrderDate]],Table1[[#This Row],[RequiredDate]],Table1[[#This Row],[OrderDate]])</f>
        <v>45576</v>
      </c>
      <c r="F409" s="21">
        <f>Table1[[#This Row],[New RD]]-Table1[[#This Row],[new   od]]</f>
        <v>1</v>
      </c>
      <c r="G409" s="4">
        <f>IF(Table1[[#This Row],[RequiredDate]]&lt;Table1[[#This Row],[OrderDate]], Table1[[#This Row],[OrderDate]]+7, Table1[[#This Row],[RequiredDate]])</f>
        <v>45576</v>
      </c>
      <c r="H409" s="21">
        <f t="shared" si="67"/>
        <v>1</v>
      </c>
      <c r="I409" s="6" t="str">
        <f>IF(Table1[[#This Row],[New LTD]]&lt;=7,"Yes","No")</f>
        <v>Yes</v>
      </c>
      <c r="J409" s="6" t="str">
        <f t="shared" si="68"/>
        <v>No</v>
      </c>
      <c r="K409" t="s">
        <v>649</v>
      </c>
      <c r="L409" t="s">
        <v>658</v>
      </c>
      <c r="M409" t="s">
        <v>693</v>
      </c>
      <c r="N409" t="s">
        <v>703</v>
      </c>
      <c r="O409" t="s">
        <v>710</v>
      </c>
      <c r="P409" t="s">
        <v>716</v>
      </c>
      <c r="Q409" t="s">
        <v>727</v>
      </c>
      <c r="R409" t="s">
        <v>1245</v>
      </c>
      <c r="S409" s="6">
        <v>1389.46</v>
      </c>
      <c r="T409" s="6">
        <v>1784.7</v>
      </c>
      <c r="U409" s="6">
        <f t="shared" si="69"/>
        <v>1784.7</v>
      </c>
      <c r="V409" s="8">
        <v>0.14599999999999999</v>
      </c>
      <c r="W409" s="6">
        <v>33</v>
      </c>
      <c r="X409" s="6">
        <f t="shared" si="70"/>
        <v>50296.415399999998</v>
      </c>
      <c r="Y409">
        <f t="shared" si="71"/>
        <v>45852.18</v>
      </c>
      <c r="Z409" s="6">
        <f t="shared" si="72"/>
        <v>4444.2353999999978</v>
      </c>
      <c r="AA409">
        <f t="shared" si="73"/>
        <v>8.8360877503011831E-2</v>
      </c>
      <c r="AB409" t="str">
        <f t="shared" si="74"/>
        <v>10-2024</v>
      </c>
      <c r="AC409" t="str">
        <f t="shared" si="75"/>
        <v>Q4-2024</v>
      </c>
      <c r="AD409" t="str">
        <f t="shared" si="76"/>
        <v>Europe →United Kingdom →Manchester</v>
      </c>
      <c r="AE409" t="str">
        <f t="shared" si="66"/>
        <v>High</v>
      </c>
      <c r="AF409" t="str">
        <f>TEXT(Table1[[#This Row],[OrderDate]],"MMM")</f>
        <v>Oct</v>
      </c>
      <c r="AG409" t="str">
        <f>TEXT(Table1[[#This Row],[OrderDate]],"YYYY")</f>
        <v>2024</v>
      </c>
      <c r="AI409" s="4">
        <f>IF(Table1[[#This Row],[RequiredDate]]&lt;Table1[[#This Row],[OrderDate]], Table1[[#This Row],[OrderDate]]+7, Table1[[#This Row],[RequiredDate]])</f>
        <v>45576</v>
      </c>
      <c r="AJ409">
        <f>IF(Dashboard!$D$3&gt;'Staging Data'!V409,'Staging Data'!V409,Dashboard!D$3)</f>
        <v>0.14599999999999999</v>
      </c>
      <c r="AK409" s="19">
        <f>(100%+Dashboard!$D$4)*'Staging Data'!S409</f>
        <v>1458.933</v>
      </c>
      <c r="AL409">
        <f>(100%+Dashboard!$D$5)*'Staging Data'!W409</f>
        <v>37.949999999999996</v>
      </c>
    </row>
    <row r="410" spans="1:38" x14ac:dyDescent="0.35">
      <c r="A410" s="6" t="s">
        <v>232</v>
      </c>
      <c r="B410" s="4">
        <v>45576</v>
      </c>
      <c r="C410" s="4">
        <v>45605</v>
      </c>
      <c r="D410" s="4">
        <f>IF(Table1[[#This Row],[RequiredDate]]&lt;Table1[[#This Row],[OrderDate]],Table1[[#This Row],[RequiredDate]],Table1[[#This Row],[OrderDate]])</f>
        <v>45576</v>
      </c>
      <c r="E410" s="4">
        <f>IF(Table1[[#This Row],[RequiredDate]]&gt;Table1[[#This Row],[OrderDate]],Table1[[#This Row],[RequiredDate]],Table1[[#This Row],[OrderDate]])</f>
        <v>45605</v>
      </c>
      <c r="F410" s="21">
        <f>Table1[[#This Row],[New RD]]-Table1[[#This Row],[new   od]]</f>
        <v>29</v>
      </c>
      <c r="G410" s="4">
        <f>IF(Table1[[#This Row],[RequiredDate]]&lt;Table1[[#This Row],[OrderDate]], Table1[[#This Row],[OrderDate]]+7, Table1[[#This Row],[RequiredDate]])</f>
        <v>45605</v>
      </c>
      <c r="H410" s="21">
        <f t="shared" si="67"/>
        <v>29</v>
      </c>
      <c r="I410" s="6" t="str">
        <f>IF(Table1[[#This Row],[New LTD]]&lt;=7,"Yes","No")</f>
        <v>No</v>
      </c>
      <c r="J410" s="6" t="str">
        <f t="shared" si="68"/>
        <v>No</v>
      </c>
      <c r="K410" t="s">
        <v>647</v>
      </c>
      <c r="L410" t="s">
        <v>659</v>
      </c>
      <c r="M410" t="s">
        <v>685</v>
      </c>
      <c r="N410" t="s">
        <v>703</v>
      </c>
      <c r="O410" t="s">
        <v>708</v>
      </c>
      <c r="P410" t="s">
        <v>721</v>
      </c>
      <c r="Q410" t="s">
        <v>728</v>
      </c>
      <c r="R410" t="s">
        <v>952</v>
      </c>
      <c r="S410" s="6">
        <v>391.64</v>
      </c>
      <c r="T410" s="6">
        <v>504.76</v>
      </c>
      <c r="U410" s="6">
        <f t="shared" si="69"/>
        <v>504.76</v>
      </c>
      <c r="V410" s="8">
        <v>4.0000000000000001E-3</v>
      </c>
      <c r="W410" s="6">
        <v>13</v>
      </c>
      <c r="X410" s="6">
        <f t="shared" si="70"/>
        <v>6535.6324800000002</v>
      </c>
      <c r="Y410">
        <f t="shared" si="71"/>
        <v>5091.32</v>
      </c>
      <c r="Z410" s="6">
        <f t="shared" si="72"/>
        <v>1444.3124800000005</v>
      </c>
      <c r="AA410">
        <f t="shared" si="73"/>
        <v>0.22099046793402319</v>
      </c>
      <c r="AB410" t="str">
        <f t="shared" si="74"/>
        <v>10-2024</v>
      </c>
      <c r="AC410" t="str">
        <f t="shared" si="75"/>
        <v>Q4-2024</v>
      </c>
      <c r="AD410" t="str">
        <f t="shared" si="76"/>
        <v>Asia →China →Shanghai</v>
      </c>
      <c r="AE410" t="str">
        <f t="shared" ref="AE410:AE473" si="77">IF(T410&lt;=LowerCutOff,"Low", IF(T410&lt;=HigherCutOff,"Medium","High"))</f>
        <v>Low</v>
      </c>
      <c r="AF410" t="str">
        <f>TEXT(Table1[[#This Row],[OrderDate]],"MMM")</f>
        <v>Oct</v>
      </c>
      <c r="AG410" t="str">
        <f>TEXT(Table1[[#This Row],[OrderDate]],"YYYY")</f>
        <v>2024</v>
      </c>
      <c r="AI410" s="4">
        <f>IF(Table1[[#This Row],[RequiredDate]]&lt;Table1[[#This Row],[OrderDate]], Table1[[#This Row],[OrderDate]]+7, Table1[[#This Row],[RequiredDate]])</f>
        <v>45605</v>
      </c>
      <c r="AJ410">
        <f>IF(Dashboard!$D$3&gt;'Staging Data'!V410,'Staging Data'!V410,Dashboard!D$3)</f>
        <v>4.0000000000000001E-3</v>
      </c>
      <c r="AK410" s="19">
        <f>(100%+Dashboard!$D$4)*'Staging Data'!S410</f>
        <v>411.22199999999998</v>
      </c>
      <c r="AL410">
        <f>(100%+Dashboard!$D$5)*'Staging Data'!W410</f>
        <v>14.95</v>
      </c>
    </row>
    <row r="411" spans="1:38" x14ac:dyDescent="0.35">
      <c r="A411" s="6" t="s">
        <v>633</v>
      </c>
      <c r="B411" s="4">
        <v>45578</v>
      </c>
      <c r="C411" s="4">
        <v>45589</v>
      </c>
      <c r="D411" s="4">
        <f>IF(Table1[[#This Row],[RequiredDate]]&lt;Table1[[#This Row],[OrderDate]],Table1[[#This Row],[RequiredDate]],Table1[[#This Row],[OrderDate]])</f>
        <v>45578</v>
      </c>
      <c r="E411" s="4">
        <f>IF(Table1[[#This Row],[RequiredDate]]&gt;Table1[[#This Row],[OrderDate]],Table1[[#This Row],[RequiredDate]],Table1[[#This Row],[OrderDate]])</f>
        <v>45589</v>
      </c>
      <c r="F411" s="21">
        <f>Table1[[#This Row],[New RD]]-Table1[[#This Row],[new   od]]</f>
        <v>11</v>
      </c>
      <c r="G411" s="4">
        <f>IF(Table1[[#This Row],[RequiredDate]]&lt;Table1[[#This Row],[OrderDate]], Table1[[#This Row],[OrderDate]]+7, Table1[[#This Row],[RequiredDate]])</f>
        <v>45589</v>
      </c>
      <c r="H411" s="21">
        <f t="shared" si="67"/>
        <v>11</v>
      </c>
      <c r="I411" s="6" t="str">
        <f>IF(Table1[[#This Row],[New LTD]]&lt;=7,"Yes","No")</f>
        <v>No</v>
      </c>
      <c r="J411" s="6" t="str">
        <f t="shared" si="68"/>
        <v>No</v>
      </c>
      <c r="K411" t="s">
        <v>649</v>
      </c>
      <c r="L411" t="s">
        <v>657</v>
      </c>
      <c r="M411" t="s">
        <v>690</v>
      </c>
      <c r="N411" t="s">
        <v>702</v>
      </c>
      <c r="O411" t="s">
        <v>710</v>
      </c>
      <c r="P411" t="s">
        <v>721</v>
      </c>
      <c r="Q411" t="s">
        <v>727</v>
      </c>
      <c r="R411" t="s">
        <v>1351</v>
      </c>
      <c r="S411" s="6">
        <v>816.7</v>
      </c>
      <c r="T411" s="6">
        <v>1010.75</v>
      </c>
      <c r="U411" s="6">
        <f t="shared" si="69"/>
        <v>1010.75</v>
      </c>
      <c r="V411" s="8">
        <v>4.7E-2</v>
      </c>
      <c r="W411" s="6">
        <v>43</v>
      </c>
      <c r="X411" s="6">
        <f t="shared" si="70"/>
        <v>41419.524249999995</v>
      </c>
      <c r="Y411">
        <f t="shared" si="71"/>
        <v>35118.1</v>
      </c>
      <c r="Z411" s="6">
        <f t="shared" si="72"/>
        <v>6301.4242499999964</v>
      </c>
      <c r="AA411">
        <f t="shared" si="73"/>
        <v>0.15213656757537472</v>
      </c>
      <c r="AB411" t="str">
        <f t="shared" si="74"/>
        <v>10-2024</v>
      </c>
      <c r="AC411" t="str">
        <f t="shared" si="75"/>
        <v>Q4-2024</v>
      </c>
      <c r="AD411" t="str">
        <f t="shared" si="76"/>
        <v>Europe →France →Paris</v>
      </c>
      <c r="AE411" t="str">
        <f t="shared" si="77"/>
        <v>Medium</v>
      </c>
      <c r="AF411" t="str">
        <f>TEXT(Table1[[#This Row],[OrderDate]],"MMM")</f>
        <v>Oct</v>
      </c>
      <c r="AG411" t="str">
        <f>TEXT(Table1[[#This Row],[OrderDate]],"YYYY")</f>
        <v>2024</v>
      </c>
      <c r="AI411" s="4">
        <f>IF(Table1[[#This Row],[RequiredDate]]&lt;Table1[[#This Row],[OrderDate]], Table1[[#This Row],[OrderDate]]+7, Table1[[#This Row],[RequiredDate]])</f>
        <v>45589</v>
      </c>
      <c r="AJ411">
        <f>IF(Dashboard!$D$3&gt;'Staging Data'!V411,'Staging Data'!V411,Dashboard!D$3)</f>
        <v>4.7E-2</v>
      </c>
      <c r="AK411" s="19">
        <f>(100%+Dashboard!$D$4)*'Staging Data'!S411</f>
        <v>857.53500000000008</v>
      </c>
      <c r="AL411">
        <f>(100%+Dashboard!$D$5)*'Staging Data'!W411</f>
        <v>49.449999999999996</v>
      </c>
    </row>
    <row r="412" spans="1:38" x14ac:dyDescent="0.35">
      <c r="A412" s="6" t="s">
        <v>63</v>
      </c>
      <c r="B412" s="4">
        <v>45579</v>
      </c>
      <c r="C412" s="4">
        <v>45604</v>
      </c>
      <c r="D412" s="4">
        <f>IF(Table1[[#This Row],[RequiredDate]]&lt;Table1[[#This Row],[OrderDate]],Table1[[#This Row],[RequiredDate]],Table1[[#This Row],[OrderDate]])</f>
        <v>45579</v>
      </c>
      <c r="E412" s="4">
        <f>IF(Table1[[#This Row],[RequiredDate]]&gt;Table1[[#This Row],[OrderDate]],Table1[[#This Row],[RequiredDate]],Table1[[#This Row],[OrderDate]])</f>
        <v>45604</v>
      </c>
      <c r="F412" s="21">
        <f>Table1[[#This Row],[New RD]]-Table1[[#This Row],[new   od]]</f>
        <v>25</v>
      </c>
      <c r="G412" s="4">
        <f>IF(Table1[[#This Row],[RequiredDate]]&lt;Table1[[#This Row],[OrderDate]], Table1[[#This Row],[OrderDate]]+7, Table1[[#This Row],[RequiredDate]])</f>
        <v>45604</v>
      </c>
      <c r="H412" s="21">
        <f t="shared" si="67"/>
        <v>25</v>
      </c>
      <c r="I412" s="6" t="str">
        <f>IF(Table1[[#This Row],[New LTD]]&lt;=7,"Yes","No")</f>
        <v>No</v>
      </c>
      <c r="J412" s="6" t="str">
        <f t="shared" si="68"/>
        <v>No</v>
      </c>
      <c r="K412" t="s">
        <v>646</v>
      </c>
      <c r="L412" t="s">
        <v>651</v>
      </c>
      <c r="M412" t="s">
        <v>665</v>
      </c>
      <c r="N412" t="s">
        <v>706</v>
      </c>
      <c r="O412" t="s">
        <v>708</v>
      </c>
      <c r="P412" t="s">
        <v>719</v>
      </c>
      <c r="Q412" t="s">
        <v>729</v>
      </c>
      <c r="R412" t="s">
        <v>782</v>
      </c>
      <c r="S412" s="6">
        <v>859.35</v>
      </c>
      <c r="T412" s="6">
        <v>1825.61</v>
      </c>
      <c r="U412" s="6">
        <f t="shared" si="69"/>
        <v>1825.61</v>
      </c>
      <c r="V412" s="8">
        <v>0.187</v>
      </c>
      <c r="W412" s="6">
        <v>24</v>
      </c>
      <c r="X412" s="6">
        <f t="shared" si="70"/>
        <v>35621.302319999995</v>
      </c>
      <c r="Y412">
        <f t="shared" si="71"/>
        <v>20624.400000000001</v>
      </c>
      <c r="Z412" s="6">
        <f t="shared" si="72"/>
        <v>14996.902319999994</v>
      </c>
      <c r="AA412">
        <f t="shared" si="73"/>
        <v>0.42100937762681989</v>
      </c>
      <c r="AB412" t="str">
        <f t="shared" si="74"/>
        <v>10-2024</v>
      </c>
      <c r="AC412" t="str">
        <f t="shared" si="75"/>
        <v>Q4-2024</v>
      </c>
      <c r="AD412" t="str">
        <f t="shared" si="76"/>
        <v>Africa →Nigeria →Lagos</v>
      </c>
      <c r="AE412" t="str">
        <f t="shared" si="77"/>
        <v>High</v>
      </c>
      <c r="AF412" t="str">
        <f>TEXT(Table1[[#This Row],[OrderDate]],"MMM")</f>
        <v>Oct</v>
      </c>
      <c r="AG412" t="str">
        <f>TEXT(Table1[[#This Row],[OrderDate]],"YYYY")</f>
        <v>2024</v>
      </c>
      <c r="AI412" s="4">
        <f>IF(Table1[[#This Row],[RequiredDate]]&lt;Table1[[#This Row],[OrderDate]], Table1[[#This Row],[OrderDate]]+7, Table1[[#This Row],[RequiredDate]])</f>
        <v>45604</v>
      </c>
      <c r="AJ412">
        <f>IF(Dashboard!$D$3&gt;'Staging Data'!V412,'Staging Data'!V412,Dashboard!D$3)</f>
        <v>0.187</v>
      </c>
      <c r="AK412" s="19">
        <f>(100%+Dashboard!$D$4)*'Staging Data'!S412</f>
        <v>902.31750000000011</v>
      </c>
      <c r="AL412">
        <f>(100%+Dashboard!$D$5)*'Staging Data'!W412</f>
        <v>27.599999999999998</v>
      </c>
    </row>
    <row r="413" spans="1:38" x14ac:dyDescent="0.35">
      <c r="A413" s="6" t="s">
        <v>123</v>
      </c>
      <c r="B413" s="4">
        <v>45581</v>
      </c>
      <c r="C413" s="4">
        <v>45604</v>
      </c>
      <c r="D413" s="4">
        <f>IF(Table1[[#This Row],[RequiredDate]]&lt;Table1[[#This Row],[OrderDate]],Table1[[#This Row],[RequiredDate]],Table1[[#This Row],[OrderDate]])</f>
        <v>45581</v>
      </c>
      <c r="E413" s="4">
        <f>IF(Table1[[#This Row],[RequiredDate]]&gt;Table1[[#This Row],[OrderDate]],Table1[[#This Row],[RequiredDate]],Table1[[#This Row],[OrderDate]])</f>
        <v>45604</v>
      </c>
      <c r="F413" s="21">
        <f>Table1[[#This Row],[New RD]]-Table1[[#This Row],[new   od]]</f>
        <v>23</v>
      </c>
      <c r="G413" s="4">
        <f>IF(Table1[[#This Row],[RequiredDate]]&lt;Table1[[#This Row],[OrderDate]], Table1[[#This Row],[OrderDate]]+7, Table1[[#This Row],[RequiredDate]])</f>
        <v>45604</v>
      </c>
      <c r="H413" s="21">
        <f t="shared" si="67"/>
        <v>23</v>
      </c>
      <c r="I413" s="6" t="str">
        <f>IF(Table1[[#This Row],[New LTD]]&lt;=7,"Yes","No")</f>
        <v>No</v>
      </c>
      <c r="J413" s="6" t="str">
        <f t="shared" si="68"/>
        <v>No</v>
      </c>
      <c r="K413" t="s">
        <v>647</v>
      </c>
      <c r="L413" t="s">
        <v>652</v>
      </c>
      <c r="M413" t="s">
        <v>666</v>
      </c>
      <c r="N413" t="s">
        <v>705</v>
      </c>
      <c r="O413" t="s">
        <v>707</v>
      </c>
      <c r="P413" t="s">
        <v>713</v>
      </c>
      <c r="Q413" t="s">
        <v>729</v>
      </c>
      <c r="R413" t="s">
        <v>842</v>
      </c>
      <c r="S413" s="6">
        <v>82.14</v>
      </c>
      <c r="T413" s="6">
        <v>166.04</v>
      </c>
      <c r="U413" s="6">
        <f t="shared" si="69"/>
        <v>166.04</v>
      </c>
      <c r="V413" s="8">
        <v>0</v>
      </c>
      <c r="W413" s="6">
        <v>10</v>
      </c>
      <c r="X413" s="6">
        <f t="shared" si="70"/>
        <v>1660.3999999999999</v>
      </c>
      <c r="Y413">
        <f t="shared" si="71"/>
        <v>821.4</v>
      </c>
      <c r="Z413" s="6">
        <f t="shared" si="72"/>
        <v>838.99999999999989</v>
      </c>
      <c r="AA413">
        <f t="shared" si="73"/>
        <v>0.50529992772825827</v>
      </c>
      <c r="AB413" t="str">
        <f t="shared" si="74"/>
        <v>10-2024</v>
      </c>
      <c r="AC413" t="str">
        <f t="shared" si="75"/>
        <v>Q4-2024</v>
      </c>
      <c r="AD413" t="str">
        <f t="shared" si="76"/>
        <v>Asia →Japan →Osaka</v>
      </c>
      <c r="AE413" t="str">
        <f t="shared" si="77"/>
        <v>Low</v>
      </c>
      <c r="AF413" t="str">
        <f>TEXT(Table1[[#This Row],[OrderDate]],"MMM")</f>
        <v>Oct</v>
      </c>
      <c r="AG413" t="str">
        <f>TEXT(Table1[[#This Row],[OrderDate]],"YYYY")</f>
        <v>2024</v>
      </c>
      <c r="AI413" s="4">
        <f>IF(Table1[[#This Row],[RequiredDate]]&lt;Table1[[#This Row],[OrderDate]], Table1[[#This Row],[OrderDate]]+7, Table1[[#This Row],[RequiredDate]])</f>
        <v>45604</v>
      </c>
      <c r="AJ413">
        <f>IF(Dashboard!$D$3&gt;'Staging Data'!V413,'Staging Data'!V413,Dashboard!D$3)</f>
        <v>0</v>
      </c>
      <c r="AK413" s="19">
        <f>(100%+Dashboard!$D$4)*'Staging Data'!S413</f>
        <v>86.247</v>
      </c>
      <c r="AL413">
        <f>(100%+Dashboard!$D$5)*'Staging Data'!W413</f>
        <v>11.5</v>
      </c>
    </row>
    <row r="414" spans="1:38" x14ac:dyDescent="0.35">
      <c r="A414" s="6" t="s">
        <v>66</v>
      </c>
      <c r="B414" s="4">
        <v>45582</v>
      </c>
      <c r="C414" s="4">
        <v>45602</v>
      </c>
      <c r="D414" s="4">
        <f>IF(Table1[[#This Row],[RequiredDate]]&lt;Table1[[#This Row],[OrderDate]],Table1[[#This Row],[RequiredDate]],Table1[[#This Row],[OrderDate]])</f>
        <v>45582</v>
      </c>
      <c r="E414" s="4">
        <f>IF(Table1[[#This Row],[RequiredDate]]&gt;Table1[[#This Row],[OrderDate]],Table1[[#This Row],[RequiredDate]],Table1[[#This Row],[OrderDate]])</f>
        <v>45602</v>
      </c>
      <c r="F414" s="21">
        <f>Table1[[#This Row],[New RD]]-Table1[[#This Row],[new   od]]</f>
        <v>20</v>
      </c>
      <c r="G414" s="4">
        <f>IF(Table1[[#This Row],[RequiredDate]]&lt;Table1[[#This Row],[OrderDate]], Table1[[#This Row],[OrderDate]]+7, Table1[[#This Row],[RequiredDate]])</f>
        <v>45602</v>
      </c>
      <c r="H414" s="21">
        <f t="shared" si="67"/>
        <v>20</v>
      </c>
      <c r="I414" s="6" t="str">
        <f>IF(Table1[[#This Row],[New LTD]]&lt;=7,"Yes","No")</f>
        <v>No</v>
      </c>
      <c r="J414" s="6" t="str">
        <f t="shared" si="68"/>
        <v>Yes</v>
      </c>
      <c r="K414" t="s">
        <v>647</v>
      </c>
      <c r="L414" t="s">
        <v>654</v>
      </c>
      <c r="M414" t="s">
        <v>668</v>
      </c>
      <c r="N414" t="s">
        <v>706</v>
      </c>
      <c r="O414" t="s">
        <v>710</v>
      </c>
      <c r="P414" t="s">
        <v>719</v>
      </c>
      <c r="Q414" t="s">
        <v>732</v>
      </c>
      <c r="R414" t="s">
        <v>785</v>
      </c>
      <c r="S414" s="6">
        <v>72.94</v>
      </c>
      <c r="T414" s="6">
        <v>106.3</v>
      </c>
      <c r="U414" s="6">
        <f t="shared" si="69"/>
        <v>106.3</v>
      </c>
      <c r="V414" s="8">
        <v>0.29499999999999998</v>
      </c>
      <c r="W414" s="6">
        <v>8</v>
      </c>
      <c r="X414" s="6">
        <f t="shared" si="70"/>
        <v>599.53200000000004</v>
      </c>
      <c r="Y414">
        <f t="shared" si="71"/>
        <v>583.52</v>
      </c>
      <c r="Z414" s="6">
        <f t="shared" si="72"/>
        <v>16.012000000000057</v>
      </c>
      <c r="AA414">
        <f t="shared" si="73"/>
        <v>2.6707498515508857E-2</v>
      </c>
      <c r="AB414" t="str">
        <f t="shared" si="74"/>
        <v>10-2024</v>
      </c>
      <c r="AC414" t="str">
        <f t="shared" si="75"/>
        <v>Q4-2024</v>
      </c>
      <c r="AD414" t="str">
        <f t="shared" si="76"/>
        <v>Asia →India →Bengaluru</v>
      </c>
      <c r="AE414" t="str">
        <f t="shared" si="77"/>
        <v>Low</v>
      </c>
      <c r="AF414" t="str">
        <f>TEXT(Table1[[#This Row],[OrderDate]],"MMM")</f>
        <v>Oct</v>
      </c>
      <c r="AG414" t="str">
        <f>TEXT(Table1[[#This Row],[OrderDate]],"YYYY")</f>
        <v>2024</v>
      </c>
      <c r="AI414" s="4">
        <f>IF(Table1[[#This Row],[RequiredDate]]&lt;Table1[[#This Row],[OrderDate]], Table1[[#This Row],[OrderDate]]+7, Table1[[#This Row],[RequiredDate]])</f>
        <v>45602</v>
      </c>
      <c r="AJ414">
        <f>IF(Dashboard!$D$3&gt;'Staging Data'!V414,'Staging Data'!V414,Dashboard!D$3)</f>
        <v>0.2</v>
      </c>
      <c r="AK414" s="19">
        <f>(100%+Dashboard!$D$4)*'Staging Data'!S414</f>
        <v>76.587000000000003</v>
      </c>
      <c r="AL414">
        <f>(100%+Dashboard!$D$5)*'Staging Data'!W414</f>
        <v>9.1999999999999993</v>
      </c>
    </row>
    <row r="415" spans="1:38" x14ac:dyDescent="0.35">
      <c r="A415" s="6" t="s">
        <v>626</v>
      </c>
      <c r="B415" s="4">
        <v>45584</v>
      </c>
      <c r="C415" s="4">
        <v>45602</v>
      </c>
      <c r="D415" s="4">
        <f>IF(Table1[[#This Row],[RequiredDate]]&lt;Table1[[#This Row],[OrderDate]],Table1[[#This Row],[RequiredDate]],Table1[[#This Row],[OrderDate]])</f>
        <v>45584</v>
      </c>
      <c r="E415" s="4">
        <f>IF(Table1[[#This Row],[RequiredDate]]&gt;Table1[[#This Row],[OrderDate]],Table1[[#This Row],[RequiredDate]],Table1[[#This Row],[OrderDate]])</f>
        <v>45602</v>
      </c>
      <c r="F415" s="21">
        <f>Table1[[#This Row],[New RD]]-Table1[[#This Row],[new   od]]</f>
        <v>18</v>
      </c>
      <c r="G415" s="4">
        <f>IF(Table1[[#This Row],[RequiredDate]]&lt;Table1[[#This Row],[OrderDate]], Table1[[#This Row],[OrderDate]]+7, Table1[[#This Row],[RequiredDate]])</f>
        <v>45602</v>
      </c>
      <c r="H415" s="21">
        <f t="shared" si="67"/>
        <v>18</v>
      </c>
      <c r="I415" s="6" t="str">
        <f>IF(Table1[[#This Row],[New LTD]]&lt;=7,"Yes","No")</f>
        <v>No</v>
      </c>
      <c r="J415" s="6" t="str">
        <f t="shared" si="68"/>
        <v>No</v>
      </c>
      <c r="K415" t="s">
        <v>648</v>
      </c>
      <c r="L415" t="s">
        <v>660</v>
      </c>
      <c r="M415" t="s">
        <v>677</v>
      </c>
      <c r="N415" t="s">
        <v>702</v>
      </c>
      <c r="O415" t="s">
        <v>1423</v>
      </c>
      <c r="P415" t="s">
        <v>712</v>
      </c>
      <c r="Q415" t="s">
        <v>732</v>
      </c>
      <c r="R415" t="s">
        <v>1344</v>
      </c>
      <c r="S415" s="6">
        <v>942.02</v>
      </c>
      <c r="T415" s="6">
        <v>1028.46</v>
      </c>
      <c r="U415" s="6">
        <f t="shared" si="69"/>
        <v>1028.46</v>
      </c>
      <c r="V415" s="8">
        <v>0</v>
      </c>
      <c r="W415" s="6">
        <v>9</v>
      </c>
      <c r="X415" s="6">
        <f t="shared" si="70"/>
        <v>9256.14</v>
      </c>
      <c r="Y415">
        <f t="shared" si="71"/>
        <v>8478.18</v>
      </c>
      <c r="Z415" s="6">
        <f t="shared" si="72"/>
        <v>777.95999999999913</v>
      </c>
      <c r="AA415">
        <f t="shared" si="73"/>
        <v>8.4047994088248354E-2</v>
      </c>
      <c r="AB415" t="str">
        <f t="shared" si="74"/>
        <v>10-2024</v>
      </c>
      <c r="AC415" t="str">
        <f t="shared" si="75"/>
        <v>Q4-2024</v>
      </c>
      <c r="AD415" t="str">
        <f t="shared" si="76"/>
        <v>Americas →USA →Chicago</v>
      </c>
      <c r="AE415" t="str">
        <f t="shared" si="77"/>
        <v>Medium</v>
      </c>
      <c r="AF415" t="str">
        <f>TEXT(Table1[[#This Row],[OrderDate]],"MMM")</f>
        <v>Oct</v>
      </c>
      <c r="AG415" t="str">
        <f>TEXT(Table1[[#This Row],[OrderDate]],"YYYY")</f>
        <v>2024</v>
      </c>
      <c r="AI415" s="4">
        <f>IF(Table1[[#This Row],[RequiredDate]]&lt;Table1[[#This Row],[OrderDate]], Table1[[#This Row],[OrderDate]]+7, Table1[[#This Row],[RequiredDate]])</f>
        <v>45602</v>
      </c>
      <c r="AJ415">
        <f>IF(Dashboard!$D$3&gt;'Staging Data'!V415,'Staging Data'!V415,Dashboard!D$3)</f>
        <v>0</v>
      </c>
      <c r="AK415" s="19">
        <f>(100%+Dashboard!$D$4)*'Staging Data'!S415</f>
        <v>989.12099999999998</v>
      </c>
      <c r="AL415">
        <f>(100%+Dashboard!$D$5)*'Staging Data'!W415</f>
        <v>10.35</v>
      </c>
    </row>
    <row r="416" spans="1:38" x14ac:dyDescent="0.35">
      <c r="A416" s="6" t="s">
        <v>199</v>
      </c>
      <c r="B416" s="4">
        <v>45587</v>
      </c>
      <c r="C416" s="4">
        <v>45594</v>
      </c>
      <c r="D416" s="4">
        <f>IF(Table1[[#This Row],[RequiredDate]]&lt;Table1[[#This Row],[OrderDate]],Table1[[#This Row],[RequiredDate]],Table1[[#This Row],[OrderDate]])</f>
        <v>45587</v>
      </c>
      <c r="E416" s="4">
        <f>IF(Table1[[#This Row],[RequiredDate]]&gt;Table1[[#This Row],[OrderDate]],Table1[[#This Row],[RequiredDate]],Table1[[#This Row],[OrderDate]])</f>
        <v>45594</v>
      </c>
      <c r="F416" s="21">
        <f>Table1[[#This Row],[New RD]]-Table1[[#This Row],[new   od]]</f>
        <v>7</v>
      </c>
      <c r="G416" s="4">
        <f>IF(Table1[[#This Row],[RequiredDate]]&lt;Table1[[#This Row],[OrderDate]], Table1[[#This Row],[OrderDate]]+7, Table1[[#This Row],[RequiredDate]])</f>
        <v>45594</v>
      </c>
      <c r="H416" s="21">
        <f t="shared" si="67"/>
        <v>7</v>
      </c>
      <c r="I416" s="6" t="str">
        <f>IF(Table1[[#This Row],[New LTD]]&lt;=7,"Yes","No")</f>
        <v>Yes</v>
      </c>
      <c r="J416" s="6" t="str">
        <f t="shared" si="68"/>
        <v>No</v>
      </c>
      <c r="K416" t="s">
        <v>646</v>
      </c>
      <c r="L416" t="s">
        <v>651</v>
      </c>
      <c r="M416" t="s">
        <v>663</v>
      </c>
      <c r="N416" t="s">
        <v>706</v>
      </c>
      <c r="O416" t="s">
        <v>710</v>
      </c>
      <c r="P416" t="s">
        <v>724</v>
      </c>
      <c r="Q416" t="s">
        <v>732</v>
      </c>
      <c r="R416" t="s">
        <v>918</v>
      </c>
      <c r="S416" s="6">
        <v>1023.06</v>
      </c>
      <c r="T416" s="6">
        <v>1355.61</v>
      </c>
      <c r="U416" s="6">
        <f t="shared" si="69"/>
        <v>1355.61</v>
      </c>
      <c r="V416" s="8">
        <v>0.153</v>
      </c>
      <c r="W416" s="6">
        <v>23</v>
      </c>
      <c r="X416" s="6">
        <f t="shared" si="70"/>
        <v>26408.63841</v>
      </c>
      <c r="Y416">
        <f t="shared" si="71"/>
        <v>23530.379999999997</v>
      </c>
      <c r="Z416" s="6">
        <f t="shared" si="72"/>
        <v>2878.2584100000022</v>
      </c>
      <c r="AA416">
        <f t="shared" si="73"/>
        <v>0.10898927711888809</v>
      </c>
      <c r="AB416" t="str">
        <f t="shared" si="74"/>
        <v>10-2024</v>
      </c>
      <c r="AC416" t="str">
        <f t="shared" si="75"/>
        <v>Q4-2024</v>
      </c>
      <c r="AD416" t="str">
        <f t="shared" si="76"/>
        <v>Africa →Nigeria →Port Harcourt</v>
      </c>
      <c r="AE416" t="str">
        <f t="shared" si="77"/>
        <v>Medium</v>
      </c>
      <c r="AF416" t="str">
        <f>TEXT(Table1[[#This Row],[OrderDate]],"MMM")</f>
        <v>Oct</v>
      </c>
      <c r="AG416" t="str">
        <f>TEXT(Table1[[#This Row],[OrderDate]],"YYYY")</f>
        <v>2024</v>
      </c>
      <c r="AI416" s="4">
        <f>IF(Table1[[#This Row],[RequiredDate]]&lt;Table1[[#This Row],[OrderDate]], Table1[[#This Row],[OrderDate]]+7, Table1[[#This Row],[RequiredDate]])</f>
        <v>45594</v>
      </c>
      <c r="AJ416">
        <f>IF(Dashboard!$D$3&gt;'Staging Data'!V416,'Staging Data'!V416,Dashboard!D$3)</f>
        <v>0.153</v>
      </c>
      <c r="AK416" s="19">
        <f>(100%+Dashboard!$D$4)*'Staging Data'!S416</f>
        <v>1074.213</v>
      </c>
      <c r="AL416">
        <f>(100%+Dashboard!$D$5)*'Staging Data'!W416</f>
        <v>26.45</v>
      </c>
    </row>
    <row r="417" spans="1:38" x14ac:dyDescent="0.35">
      <c r="A417" s="6" t="s">
        <v>16</v>
      </c>
      <c r="B417" s="4">
        <v>45588</v>
      </c>
      <c r="C417" s="4">
        <v>45587</v>
      </c>
      <c r="D417" s="4">
        <f>IF(Table1[[#This Row],[RequiredDate]]&lt;Table1[[#This Row],[OrderDate]],Table1[[#This Row],[RequiredDate]],Table1[[#This Row],[OrderDate]])</f>
        <v>45587</v>
      </c>
      <c r="E417" s="4">
        <f>IF(Table1[[#This Row],[RequiredDate]]&gt;Table1[[#This Row],[OrderDate]],Table1[[#This Row],[RequiredDate]],Table1[[#This Row],[OrderDate]])</f>
        <v>45588</v>
      </c>
      <c r="F417" s="21">
        <f>Table1[[#This Row],[New RD]]-Table1[[#This Row],[new   od]]</f>
        <v>1</v>
      </c>
      <c r="G417" s="4">
        <f>IF(Table1[[#This Row],[RequiredDate]]&lt;Table1[[#This Row],[OrderDate]], Table1[[#This Row],[OrderDate]]+7, Table1[[#This Row],[RequiredDate]])</f>
        <v>45595</v>
      </c>
      <c r="H417" s="21">
        <f t="shared" si="67"/>
        <v>7</v>
      </c>
      <c r="I417" s="6" t="str">
        <f>IF(Table1[[#This Row],[New LTD]]&lt;=7,"Yes","No")</f>
        <v>Yes</v>
      </c>
      <c r="J417" s="6" t="str">
        <f t="shared" si="68"/>
        <v>Yes</v>
      </c>
      <c r="K417" t="s">
        <v>646</v>
      </c>
      <c r="L417" t="s">
        <v>651</v>
      </c>
      <c r="M417" t="s">
        <v>663</v>
      </c>
      <c r="N417" t="s">
        <v>702</v>
      </c>
      <c r="O417" t="s">
        <v>708</v>
      </c>
      <c r="P417" t="s">
        <v>713</v>
      </c>
      <c r="Q417" t="s">
        <v>728</v>
      </c>
      <c r="R417" t="s">
        <v>735</v>
      </c>
      <c r="S417" s="6">
        <v>1084.3900000000001</v>
      </c>
      <c r="T417" s="6">
        <v>759.33</v>
      </c>
      <c r="U417" s="6">
        <f t="shared" si="69"/>
        <v>759.33</v>
      </c>
      <c r="V417" s="8">
        <v>0.23699999999999999</v>
      </c>
      <c r="W417" s="6">
        <v>31</v>
      </c>
      <c r="X417" s="6">
        <f t="shared" si="70"/>
        <v>17960.432489999999</v>
      </c>
      <c r="Y417">
        <f t="shared" si="71"/>
        <v>33616.090000000004</v>
      </c>
      <c r="Z417" s="6">
        <f t="shared" si="72"/>
        <v>-15655.657510000005</v>
      </c>
      <c r="AA417">
        <f t="shared" si="73"/>
        <v>-0.87167486187856302</v>
      </c>
      <c r="AB417" t="str">
        <f t="shared" si="74"/>
        <v>10-2024</v>
      </c>
      <c r="AC417" t="str">
        <f t="shared" si="75"/>
        <v>Q4-2024</v>
      </c>
      <c r="AD417" t="str">
        <f t="shared" si="76"/>
        <v>Africa →Nigeria →Port Harcourt</v>
      </c>
      <c r="AE417" t="str">
        <f t="shared" si="77"/>
        <v>Low</v>
      </c>
      <c r="AF417" t="str">
        <f>TEXT(Table1[[#This Row],[OrderDate]],"MMM")</f>
        <v>Oct</v>
      </c>
      <c r="AG417" t="str">
        <f>TEXT(Table1[[#This Row],[OrderDate]],"YYYY")</f>
        <v>2024</v>
      </c>
      <c r="AI417" s="4">
        <f>IF(Table1[[#This Row],[RequiredDate]]&lt;Table1[[#This Row],[OrderDate]], Table1[[#This Row],[OrderDate]]+7, Table1[[#This Row],[RequiredDate]])</f>
        <v>45595</v>
      </c>
      <c r="AJ417">
        <f>IF(Dashboard!$D$3&gt;'Staging Data'!V417,'Staging Data'!V417,Dashboard!D$3)</f>
        <v>0.2</v>
      </c>
      <c r="AK417" s="19">
        <f>(100%+Dashboard!$D$4)*'Staging Data'!S417</f>
        <v>1138.6095000000003</v>
      </c>
      <c r="AL417">
        <f>(100%+Dashboard!$D$5)*'Staging Data'!W417</f>
        <v>35.65</v>
      </c>
    </row>
    <row r="418" spans="1:38" x14ac:dyDescent="0.35">
      <c r="A418" s="6" t="s">
        <v>210</v>
      </c>
      <c r="B418" s="4">
        <v>45588</v>
      </c>
      <c r="C418" s="4">
        <v>45610</v>
      </c>
      <c r="D418" s="4">
        <f>IF(Table1[[#This Row],[RequiredDate]]&lt;Table1[[#This Row],[OrderDate]],Table1[[#This Row],[RequiredDate]],Table1[[#This Row],[OrderDate]])</f>
        <v>45588</v>
      </c>
      <c r="E418" s="4">
        <f>IF(Table1[[#This Row],[RequiredDate]]&gt;Table1[[#This Row],[OrderDate]],Table1[[#This Row],[RequiredDate]],Table1[[#This Row],[OrderDate]])</f>
        <v>45610</v>
      </c>
      <c r="F418" s="21">
        <f>Table1[[#This Row],[New RD]]-Table1[[#This Row],[new   od]]</f>
        <v>22</v>
      </c>
      <c r="G418" s="4">
        <f>IF(Table1[[#This Row],[RequiredDate]]&lt;Table1[[#This Row],[OrderDate]], Table1[[#This Row],[OrderDate]]+7, Table1[[#This Row],[RequiredDate]])</f>
        <v>45610</v>
      </c>
      <c r="H418" s="21">
        <f t="shared" si="67"/>
        <v>22</v>
      </c>
      <c r="I418" s="6" t="str">
        <f>IF(Table1[[#This Row],[New LTD]]&lt;=7,"Yes","No")</f>
        <v>No</v>
      </c>
      <c r="J418" s="6" t="str">
        <f t="shared" si="68"/>
        <v>No</v>
      </c>
      <c r="K418" t="s">
        <v>647</v>
      </c>
      <c r="L418" t="s">
        <v>652</v>
      </c>
      <c r="M418" t="s">
        <v>666</v>
      </c>
      <c r="N418" t="s">
        <v>703</v>
      </c>
      <c r="O418" t="s">
        <v>711</v>
      </c>
      <c r="P418" t="s">
        <v>717</v>
      </c>
      <c r="Q418" t="s">
        <v>730</v>
      </c>
      <c r="R418" t="s">
        <v>930</v>
      </c>
      <c r="S418" s="6">
        <v>1406.4</v>
      </c>
      <c r="T418" s="6">
        <v>1564.76</v>
      </c>
      <c r="U418" s="6">
        <f t="shared" si="69"/>
        <v>1564.76</v>
      </c>
      <c r="V418" s="8">
        <v>0.185</v>
      </c>
      <c r="W418" s="6">
        <v>17</v>
      </c>
      <c r="X418" s="6">
        <f t="shared" si="70"/>
        <v>21679.749799999998</v>
      </c>
      <c r="Y418">
        <f t="shared" si="71"/>
        <v>23908.800000000003</v>
      </c>
      <c r="Z418" s="6">
        <f t="shared" si="72"/>
        <v>-2229.0502000000051</v>
      </c>
      <c r="AA418">
        <f t="shared" si="73"/>
        <v>-0.10281715520536151</v>
      </c>
      <c r="AB418" t="str">
        <f t="shared" si="74"/>
        <v>10-2024</v>
      </c>
      <c r="AC418" t="str">
        <f t="shared" si="75"/>
        <v>Q4-2024</v>
      </c>
      <c r="AD418" t="str">
        <f t="shared" si="76"/>
        <v>Asia →Japan →Osaka</v>
      </c>
      <c r="AE418" t="str">
        <f t="shared" si="77"/>
        <v>Medium</v>
      </c>
      <c r="AF418" t="str">
        <f>TEXT(Table1[[#This Row],[OrderDate]],"MMM")</f>
        <v>Oct</v>
      </c>
      <c r="AG418" t="str">
        <f>TEXT(Table1[[#This Row],[OrderDate]],"YYYY")</f>
        <v>2024</v>
      </c>
      <c r="AI418" s="4">
        <f>IF(Table1[[#This Row],[RequiredDate]]&lt;Table1[[#This Row],[OrderDate]], Table1[[#This Row],[OrderDate]]+7, Table1[[#This Row],[RequiredDate]])</f>
        <v>45610</v>
      </c>
      <c r="AJ418">
        <f>IF(Dashboard!$D$3&gt;'Staging Data'!V418,'Staging Data'!V418,Dashboard!D$3)</f>
        <v>0.185</v>
      </c>
      <c r="AK418" s="19">
        <f>(100%+Dashboard!$D$4)*'Staging Data'!S418</f>
        <v>1476.7200000000003</v>
      </c>
      <c r="AL418">
        <f>(100%+Dashboard!$D$5)*'Staging Data'!W418</f>
        <v>19.549999999999997</v>
      </c>
    </row>
    <row r="419" spans="1:38" x14ac:dyDescent="0.35">
      <c r="A419" s="6" t="s">
        <v>521</v>
      </c>
      <c r="B419" s="4">
        <v>45589</v>
      </c>
      <c r="C419" s="4">
        <v>45593</v>
      </c>
      <c r="D419" s="4">
        <f>IF(Table1[[#This Row],[RequiredDate]]&lt;Table1[[#This Row],[OrderDate]],Table1[[#This Row],[RequiredDate]],Table1[[#This Row],[OrderDate]])</f>
        <v>45589</v>
      </c>
      <c r="E419" s="4">
        <f>IF(Table1[[#This Row],[RequiredDate]]&gt;Table1[[#This Row],[OrderDate]],Table1[[#This Row],[RequiredDate]],Table1[[#This Row],[OrderDate]])</f>
        <v>45593</v>
      </c>
      <c r="F419" s="21">
        <f>Table1[[#This Row],[New RD]]-Table1[[#This Row],[new   od]]</f>
        <v>4</v>
      </c>
      <c r="G419" s="4">
        <f>IF(Table1[[#This Row],[RequiredDate]]&lt;Table1[[#This Row],[OrderDate]], Table1[[#This Row],[OrderDate]]+7, Table1[[#This Row],[RequiredDate]])</f>
        <v>45593</v>
      </c>
      <c r="H419" s="21">
        <f t="shared" si="67"/>
        <v>4</v>
      </c>
      <c r="I419" s="6" t="str">
        <f>IF(Table1[[#This Row],[New LTD]]&lt;=7,"Yes","No")</f>
        <v>Yes</v>
      </c>
      <c r="J419" s="6" t="str">
        <f t="shared" si="68"/>
        <v>No</v>
      </c>
      <c r="K419" t="s">
        <v>647</v>
      </c>
      <c r="L419" t="s">
        <v>659</v>
      </c>
      <c r="M419" t="s">
        <v>685</v>
      </c>
      <c r="N419" t="s">
        <v>705</v>
      </c>
      <c r="O419" t="s">
        <v>710</v>
      </c>
      <c r="P419" t="s">
        <v>714</v>
      </c>
      <c r="Q419" t="s">
        <v>729</v>
      </c>
      <c r="R419" t="s">
        <v>1240</v>
      </c>
      <c r="S419" s="6">
        <v>1331.77</v>
      </c>
      <c r="T419" s="6">
        <v>2606.11</v>
      </c>
      <c r="U419" s="6">
        <f t="shared" si="69"/>
        <v>2606.11</v>
      </c>
      <c r="V419" s="8">
        <v>0.02</v>
      </c>
      <c r="W419" s="6">
        <v>6</v>
      </c>
      <c r="X419" s="6">
        <f t="shared" si="70"/>
        <v>15323.926799999999</v>
      </c>
      <c r="Y419">
        <f t="shared" si="71"/>
        <v>7990.62</v>
      </c>
      <c r="Z419" s="6">
        <f t="shared" si="72"/>
        <v>7333.3067999999994</v>
      </c>
      <c r="AA419">
        <f t="shared" si="73"/>
        <v>0.47855271665745619</v>
      </c>
      <c r="AB419" t="str">
        <f t="shared" si="74"/>
        <v>10-2024</v>
      </c>
      <c r="AC419" t="str">
        <f t="shared" si="75"/>
        <v>Q4-2024</v>
      </c>
      <c r="AD419" t="str">
        <f t="shared" si="76"/>
        <v>Asia →China →Shanghai</v>
      </c>
      <c r="AE419" t="str">
        <f t="shared" si="77"/>
        <v>High</v>
      </c>
      <c r="AF419" t="str">
        <f>TEXT(Table1[[#This Row],[OrderDate]],"MMM")</f>
        <v>Oct</v>
      </c>
      <c r="AG419" t="str">
        <f>TEXT(Table1[[#This Row],[OrderDate]],"YYYY")</f>
        <v>2024</v>
      </c>
      <c r="AI419" s="4">
        <f>IF(Table1[[#This Row],[RequiredDate]]&lt;Table1[[#This Row],[OrderDate]], Table1[[#This Row],[OrderDate]]+7, Table1[[#This Row],[RequiredDate]])</f>
        <v>45593</v>
      </c>
      <c r="AJ419">
        <f>IF(Dashboard!$D$3&gt;'Staging Data'!V419,'Staging Data'!V419,Dashboard!D$3)</f>
        <v>0.02</v>
      </c>
      <c r="AK419" s="19">
        <f>(100%+Dashboard!$D$4)*'Staging Data'!S419</f>
        <v>1398.3585</v>
      </c>
      <c r="AL419">
        <f>(100%+Dashboard!$D$5)*'Staging Data'!W419</f>
        <v>6.8999999999999995</v>
      </c>
    </row>
    <row r="420" spans="1:38" x14ac:dyDescent="0.35">
      <c r="A420" s="6" t="s">
        <v>57</v>
      </c>
      <c r="B420" s="4">
        <v>45590</v>
      </c>
      <c r="C420" s="4">
        <v>45610</v>
      </c>
      <c r="D420" s="4">
        <f>IF(Table1[[#This Row],[RequiredDate]]&lt;Table1[[#This Row],[OrderDate]],Table1[[#This Row],[RequiredDate]],Table1[[#This Row],[OrderDate]])</f>
        <v>45590</v>
      </c>
      <c r="E420" s="4">
        <f>IF(Table1[[#This Row],[RequiredDate]]&gt;Table1[[#This Row],[OrderDate]],Table1[[#This Row],[RequiredDate]],Table1[[#This Row],[OrderDate]])</f>
        <v>45610</v>
      </c>
      <c r="F420" s="21">
        <f>Table1[[#This Row],[New RD]]-Table1[[#This Row],[new   od]]</f>
        <v>20</v>
      </c>
      <c r="G420" s="4">
        <f>IF(Table1[[#This Row],[RequiredDate]]&lt;Table1[[#This Row],[OrderDate]], Table1[[#This Row],[OrderDate]]+7, Table1[[#This Row],[RequiredDate]])</f>
        <v>45610</v>
      </c>
      <c r="H420" s="21">
        <f t="shared" si="67"/>
        <v>20</v>
      </c>
      <c r="I420" s="6" t="str">
        <f>IF(Table1[[#This Row],[New LTD]]&lt;=7,"Yes","No")</f>
        <v>No</v>
      </c>
      <c r="J420" s="6" t="str">
        <f t="shared" si="68"/>
        <v>Yes</v>
      </c>
      <c r="K420" t="s">
        <v>646</v>
      </c>
      <c r="L420" t="s">
        <v>650</v>
      </c>
      <c r="M420" t="s">
        <v>675</v>
      </c>
      <c r="N420" t="s">
        <v>701</v>
      </c>
      <c r="O420" t="s">
        <v>711</v>
      </c>
      <c r="P420" t="s">
        <v>722</v>
      </c>
      <c r="Q420" t="s">
        <v>728</v>
      </c>
      <c r="R420" t="s">
        <v>776</v>
      </c>
      <c r="S420" s="6">
        <v>1396.48</v>
      </c>
      <c r="T420" s="6">
        <v>3204.5</v>
      </c>
      <c r="U420" s="6">
        <f t="shared" si="69"/>
        <v>3204.5</v>
      </c>
      <c r="V420" s="8">
        <v>0.318</v>
      </c>
      <c r="W420" s="6">
        <v>14</v>
      </c>
      <c r="X420" s="6">
        <f t="shared" si="70"/>
        <v>30596.565999999999</v>
      </c>
      <c r="Y420">
        <f t="shared" si="71"/>
        <v>19550.72</v>
      </c>
      <c r="Z420" s="6">
        <f t="shared" si="72"/>
        <v>11045.845999999998</v>
      </c>
      <c r="AA420">
        <f t="shared" si="73"/>
        <v>0.36101587348070363</v>
      </c>
      <c r="AB420" t="str">
        <f t="shared" si="74"/>
        <v>10-2024</v>
      </c>
      <c r="AC420" t="str">
        <f t="shared" si="75"/>
        <v>Q4-2024</v>
      </c>
      <c r="AD420" t="str">
        <f t="shared" si="76"/>
        <v>Africa →Kenya →Mombasa</v>
      </c>
      <c r="AE420" t="str">
        <f t="shared" si="77"/>
        <v>High</v>
      </c>
      <c r="AF420" t="str">
        <f>TEXT(Table1[[#This Row],[OrderDate]],"MMM")</f>
        <v>Oct</v>
      </c>
      <c r="AG420" t="str">
        <f>TEXT(Table1[[#This Row],[OrderDate]],"YYYY")</f>
        <v>2024</v>
      </c>
      <c r="AI420" s="4">
        <f>IF(Table1[[#This Row],[RequiredDate]]&lt;Table1[[#This Row],[OrderDate]], Table1[[#This Row],[OrderDate]]+7, Table1[[#This Row],[RequiredDate]])</f>
        <v>45610</v>
      </c>
      <c r="AJ420">
        <f>IF(Dashboard!$D$3&gt;'Staging Data'!V420,'Staging Data'!V420,Dashboard!D$3)</f>
        <v>0.2</v>
      </c>
      <c r="AK420" s="19">
        <f>(100%+Dashboard!$D$4)*'Staging Data'!S420</f>
        <v>1466.3040000000001</v>
      </c>
      <c r="AL420">
        <f>(100%+Dashboard!$D$5)*'Staging Data'!W420</f>
        <v>16.099999999999998</v>
      </c>
    </row>
    <row r="421" spans="1:38" x14ac:dyDescent="0.35">
      <c r="A421" s="6" t="s">
        <v>575</v>
      </c>
      <c r="B421" s="4">
        <v>45590</v>
      </c>
      <c r="C421" s="4">
        <v>45601</v>
      </c>
      <c r="D421" s="4">
        <f>IF(Table1[[#This Row],[RequiredDate]]&lt;Table1[[#This Row],[OrderDate]],Table1[[#This Row],[RequiredDate]],Table1[[#This Row],[OrderDate]])</f>
        <v>45590</v>
      </c>
      <c r="E421" s="4">
        <f>IF(Table1[[#This Row],[RequiredDate]]&gt;Table1[[#This Row],[OrderDate]],Table1[[#This Row],[RequiredDate]],Table1[[#This Row],[OrderDate]])</f>
        <v>45601</v>
      </c>
      <c r="F421" s="21">
        <f>Table1[[#This Row],[New RD]]-Table1[[#This Row],[new   od]]</f>
        <v>11</v>
      </c>
      <c r="G421" s="4">
        <f>IF(Table1[[#This Row],[RequiredDate]]&lt;Table1[[#This Row],[OrderDate]], Table1[[#This Row],[OrderDate]]+7, Table1[[#This Row],[RequiredDate]])</f>
        <v>45601</v>
      </c>
      <c r="H421" s="21">
        <f t="shared" si="67"/>
        <v>11</v>
      </c>
      <c r="I421" s="6" t="str">
        <f>IF(Table1[[#This Row],[New LTD]]&lt;=7,"Yes","No")</f>
        <v>No</v>
      </c>
      <c r="J421" s="6" t="str">
        <f t="shared" si="68"/>
        <v>No</v>
      </c>
      <c r="K421" t="s">
        <v>648</v>
      </c>
      <c r="L421" t="s">
        <v>660</v>
      </c>
      <c r="M421" t="s">
        <v>700</v>
      </c>
      <c r="N421" t="s">
        <v>701</v>
      </c>
      <c r="O421" t="s">
        <v>710</v>
      </c>
      <c r="P421" t="s">
        <v>725</v>
      </c>
      <c r="Q421" t="s">
        <v>727</v>
      </c>
      <c r="R421" t="s">
        <v>1293</v>
      </c>
      <c r="S421" s="6">
        <v>446.66</v>
      </c>
      <c r="T421" s="6">
        <v>527.64</v>
      </c>
      <c r="U421" s="6">
        <f t="shared" si="69"/>
        <v>527.64</v>
      </c>
      <c r="V421" s="8">
        <v>0.14499999999999999</v>
      </c>
      <c r="W421" s="6">
        <v>15</v>
      </c>
      <c r="X421" s="6">
        <f t="shared" si="70"/>
        <v>6766.9829999999993</v>
      </c>
      <c r="Y421">
        <f t="shared" si="71"/>
        <v>6699.9000000000005</v>
      </c>
      <c r="Z421" s="6">
        <f t="shared" si="72"/>
        <v>67.082999999998719</v>
      </c>
      <c r="AA421">
        <f t="shared" si="73"/>
        <v>9.9132804087137105E-3</v>
      </c>
      <c r="AB421" t="str">
        <f t="shared" si="74"/>
        <v>10-2024</v>
      </c>
      <c r="AC421" t="str">
        <f t="shared" si="75"/>
        <v>Q4-2024</v>
      </c>
      <c r="AD421" t="str">
        <f t="shared" si="76"/>
        <v>Americas →USA →New York</v>
      </c>
      <c r="AE421" t="str">
        <f t="shared" si="77"/>
        <v>Low</v>
      </c>
      <c r="AF421" t="str">
        <f>TEXT(Table1[[#This Row],[OrderDate]],"MMM")</f>
        <v>Oct</v>
      </c>
      <c r="AG421" t="str">
        <f>TEXT(Table1[[#This Row],[OrderDate]],"YYYY")</f>
        <v>2024</v>
      </c>
      <c r="AI421" s="4">
        <f>IF(Table1[[#This Row],[RequiredDate]]&lt;Table1[[#This Row],[OrderDate]], Table1[[#This Row],[OrderDate]]+7, Table1[[#This Row],[RequiredDate]])</f>
        <v>45601</v>
      </c>
      <c r="AJ421">
        <f>IF(Dashboard!$D$3&gt;'Staging Data'!V421,'Staging Data'!V421,Dashboard!D$3)</f>
        <v>0.14499999999999999</v>
      </c>
      <c r="AK421" s="19">
        <f>(100%+Dashboard!$D$4)*'Staging Data'!S421</f>
        <v>468.99300000000005</v>
      </c>
      <c r="AL421">
        <f>(100%+Dashboard!$D$5)*'Staging Data'!W421</f>
        <v>17.25</v>
      </c>
    </row>
    <row r="422" spans="1:38" x14ac:dyDescent="0.35">
      <c r="A422" s="6" t="s">
        <v>268</v>
      </c>
      <c r="B422" s="4">
        <v>45592</v>
      </c>
      <c r="C422" s="4">
        <v>45616</v>
      </c>
      <c r="D422" s="4">
        <f>IF(Table1[[#This Row],[RequiredDate]]&lt;Table1[[#This Row],[OrderDate]],Table1[[#This Row],[RequiredDate]],Table1[[#This Row],[OrderDate]])</f>
        <v>45592</v>
      </c>
      <c r="E422" s="4">
        <f>IF(Table1[[#This Row],[RequiredDate]]&gt;Table1[[#This Row],[OrderDate]],Table1[[#This Row],[RequiredDate]],Table1[[#This Row],[OrderDate]])</f>
        <v>45616</v>
      </c>
      <c r="F422" s="21">
        <f>Table1[[#This Row],[New RD]]-Table1[[#This Row],[new   od]]</f>
        <v>24</v>
      </c>
      <c r="G422" s="4">
        <f>IF(Table1[[#This Row],[RequiredDate]]&lt;Table1[[#This Row],[OrderDate]], Table1[[#This Row],[OrderDate]]+7, Table1[[#This Row],[RequiredDate]])</f>
        <v>45616</v>
      </c>
      <c r="H422" s="21">
        <f t="shared" si="67"/>
        <v>24</v>
      </c>
      <c r="I422" s="6" t="str">
        <f>IF(Table1[[#This Row],[New LTD]]&lt;=7,"Yes","No")</f>
        <v>No</v>
      </c>
      <c r="J422" s="6" t="str">
        <f t="shared" si="68"/>
        <v>No</v>
      </c>
      <c r="K422" t="s">
        <v>647</v>
      </c>
      <c r="L422" t="s">
        <v>652</v>
      </c>
      <c r="M422" t="s">
        <v>694</v>
      </c>
      <c r="N422" t="s">
        <v>703</v>
      </c>
      <c r="O422" t="s">
        <v>708</v>
      </c>
      <c r="P422" t="s">
        <v>722</v>
      </c>
      <c r="Q422" t="s">
        <v>732</v>
      </c>
      <c r="R422" t="s">
        <v>988</v>
      </c>
      <c r="S422" s="6">
        <v>317.25</v>
      </c>
      <c r="T422" s="6">
        <v>758.92</v>
      </c>
      <c r="U422" s="6">
        <f t="shared" si="69"/>
        <v>758.92</v>
      </c>
      <c r="V422" s="8">
        <v>5.2999999999999999E-2</v>
      </c>
      <c r="W422" s="6">
        <v>9</v>
      </c>
      <c r="X422" s="6">
        <f t="shared" si="70"/>
        <v>6468.2751599999992</v>
      </c>
      <c r="Y422">
        <f t="shared" si="71"/>
        <v>2855.25</v>
      </c>
      <c r="Z422" s="6">
        <f t="shared" si="72"/>
        <v>3613.0251599999992</v>
      </c>
      <c r="AA422">
        <f t="shared" si="73"/>
        <v>0.5585762928489888</v>
      </c>
      <c r="AB422" t="str">
        <f t="shared" si="74"/>
        <v>10-2024</v>
      </c>
      <c r="AC422" t="str">
        <f t="shared" si="75"/>
        <v>Q4-2024</v>
      </c>
      <c r="AD422" t="str">
        <f t="shared" si="76"/>
        <v>Asia →Japan →Nagoya</v>
      </c>
      <c r="AE422" t="str">
        <f t="shared" si="77"/>
        <v>Low</v>
      </c>
      <c r="AF422" t="str">
        <f>TEXT(Table1[[#This Row],[OrderDate]],"MMM")</f>
        <v>Oct</v>
      </c>
      <c r="AG422" t="str">
        <f>TEXT(Table1[[#This Row],[OrderDate]],"YYYY")</f>
        <v>2024</v>
      </c>
      <c r="AI422" s="4">
        <f>IF(Table1[[#This Row],[RequiredDate]]&lt;Table1[[#This Row],[OrderDate]], Table1[[#This Row],[OrderDate]]+7, Table1[[#This Row],[RequiredDate]])</f>
        <v>45616</v>
      </c>
      <c r="AJ422">
        <f>IF(Dashboard!$D$3&gt;'Staging Data'!V422,'Staging Data'!V422,Dashboard!D$3)</f>
        <v>5.2999999999999999E-2</v>
      </c>
      <c r="AK422" s="19">
        <f>(100%+Dashboard!$D$4)*'Staging Data'!S422</f>
        <v>333.11250000000001</v>
      </c>
      <c r="AL422">
        <f>(100%+Dashboard!$D$5)*'Staging Data'!W422</f>
        <v>10.35</v>
      </c>
    </row>
    <row r="423" spans="1:38" x14ac:dyDescent="0.35">
      <c r="A423" s="6" t="s">
        <v>356</v>
      </c>
      <c r="B423" s="4">
        <v>45594</v>
      </c>
      <c r="C423" s="4">
        <v>45600</v>
      </c>
      <c r="D423" s="4">
        <f>IF(Table1[[#This Row],[RequiredDate]]&lt;Table1[[#This Row],[OrderDate]],Table1[[#This Row],[RequiredDate]],Table1[[#This Row],[OrderDate]])</f>
        <v>45594</v>
      </c>
      <c r="E423" s="4">
        <f>IF(Table1[[#This Row],[RequiredDate]]&gt;Table1[[#This Row],[OrderDate]],Table1[[#This Row],[RequiredDate]],Table1[[#This Row],[OrderDate]])</f>
        <v>45600</v>
      </c>
      <c r="F423" s="21">
        <f>Table1[[#This Row],[New RD]]-Table1[[#This Row],[new   od]]</f>
        <v>6</v>
      </c>
      <c r="G423" s="4">
        <f>IF(Table1[[#This Row],[RequiredDate]]&lt;Table1[[#This Row],[OrderDate]], Table1[[#This Row],[OrderDate]]+7, Table1[[#This Row],[RequiredDate]])</f>
        <v>45600</v>
      </c>
      <c r="H423" s="21">
        <f t="shared" si="67"/>
        <v>6</v>
      </c>
      <c r="I423" s="6" t="str">
        <f>IF(Table1[[#This Row],[New LTD]]&lt;=7,"Yes","No")</f>
        <v>Yes</v>
      </c>
      <c r="J423" s="6" t="str">
        <f t="shared" si="68"/>
        <v>No</v>
      </c>
      <c r="K423" t="s">
        <v>646</v>
      </c>
      <c r="L423" t="s">
        <v>650</v>
      </c>
      <c r="M423" t="s">
        <v>664</v>
      </c>
      <c r="N423" t="s">
        <v>701</v>
      </c>
      <c r="O423" t="s">
        <v>710</v>
      </c>
      <c r="P423" t="s">
        <v>724</v>
      </c>
      <c r="Q423" t="s">
        <v>728</v>
      </c>
      <c r="R423" t="s">
        <v>1076</v>
      </c>
      <c r="S423" s="6">
        <v>805.81</v>
      </c>
      <c r="T423" s="6">
        <v>1823.04</v>
      </c>
      <c r="U423" s="6">
        <f t="shared" si="69"/>
        <v>1823.04</v>
      </c>
      <c r="V423" s="8">
        <v>0</v>
      </c>
      <c r="W423" s="6">
        <v>11</v>
      </c>
      <c r="X423" s="6">
        <f t="shared" si="70"/>
        <v>20053.439999999999</v>
      </c>
      <c r="Y423">
        <f t="shared" si="71"/>
        <v>8863.91</v>
      </c>
      <c r="Z423" s="6">
        <f t="shared" si="72"/>
        <v>11189.529999999999</v>
      </c>
      <c r="AA423">
        <f t="shared" si="73"/>
        <v>0.55798556257679477</v>
      </c>
      <c r="AB423" t="str">
        <f t="shared" si="74"/>
        <v>10-2024</v>
      </c>
      <c r="AC423" t="str">
        <f t="shared" si="75"/>
        <v>Q4-2024</v>
      </c>
      <c r="AD423" t="str">
        <f t="shared" si="76"/>
        <v>Africa →Kenya →Nairobi</v>
      </c>
      <c r="AE423" t="str">
        <f t="shared" si="77"/>
        <v>High</v>
      </c>
      <c r="AF423" t="str">
        <f>TEXT(Table1[[#This Row],[OrderDate]],"MMM")</f>
        <v>Oct</v>
      </c>
      <c r="AG423" t="str">
        <f>TEXT(Table1[[#This Row],[OrderDate]],"YYYY")</f>
        <v>2024</v>
      </c>
      <c r="AI423" s="4">
        <f>IF(Table1[[#This Row],[RequiredDate]]&lt;Table1[[#This Row],[OrderDate]], Table1[[#This Row],[OrderDate]]+7, Table1[[#This Row],[RequiredDate]])</f>
        <v>45600</v>
      </c>
      <c r="AJ423">
        <f>IF(Dashboard!$D$3&gt;'Staging Data'!V423,'Staging Data'!V423,Dashboard!D$3)</f>
        <v>0</v>
      </c>
      <c r="AK423" s="19">
        <f>(100%+Dashboard!$D$4)*'Staging Data'!S423</f>
        <v>846.10050000000001</v>
      </c>
      <c r="AL423">
        <f>(100%+Dashboard!$D$5)*'Staging Data'!W423</f>
        <v>12.649999999999999</v>
      </c>
    </row>
    <row r="424" spans="1:38" x14ac:dyDescent="0.35">
      <c r="A424" s="6" t="s">
        <v>176</v>
      </c>
      <c r="B424" s="4">
        <v>45595</v>
      </c>
      <c r="C424" s="4">
        <v>45620</v>
      </c>
      <c r="D424" s="4">
        <f>IF(Table1[[#This Row],[RequiredDate]]&lt;Table1[[#This Row],[OrderDate]],Table1[[#This Row],[RequiredDate]],Table1[[#This Row],[OrderDate]])</f>
        <v>45595</v>
      </c>
      <c r="E424" s="4">
        <f>IF(Table1[[#This Row],[RequiredDate]]&gt;Table1[[#This Row],[OrderDate]],Table1[[#This Row],[RequiredDate]],Table1[[#This Row],[OrderDate]])</f>
        <v>45620</v>
      </c>
      <c r="F424" s="21">
        <f>Table1[[#This Row],[New RD]]-Table1[[#This Row],[new   od]]</f>
        <v>25</v>
      </c>
      <c r="G424" s="4">
        <f>IF(Table1[[#This Row],[RequiredDate]]&lt;Table1[[#This Row],[OrderDate]], Table1[[#This Row],[OrderDate]]+7, Table1[[#This Row],[RequiredDate]])</f>
        <v>45620</v>
      </c>
      <c r="H424" s="21">
        <f t="shared" si="67"/>
        <v>25</v>
      </c>
      <c r="I424" s="6" t="str">
        <f>IF(Table1[[#This Row],[New LTD]]&lt;=7,"Yes","No")</f>
        <v>No</v>
      </c>
      <c r="J424" s="6" t="str">
        <f t="shared" si="68"/>
        <v>No</v>
      </c>
      <c r="K424" t="s">
        <v>647</v>
      </c>
      <c r="L424" t="s">
        <v>659</v>
      </c>
      <c r="M424" t="s">
        <v>676</v>
      </c>
      <c r="N424" t="s">
        <v>705</v>
      </c>
      <c r="O424" t="s">
        <v>708</v>
      </c>
      <c r="P424" t="s">
        <v>718</v>
      </c>
      <c r="Q424" t="s">
        <v>727</v>
      </c>
      <c r="R424" t="s">
        <v>895</v>
      </c>
      <c r="S424" s="6">
        <v>811.05</v>
      </c>
      <c r="T424" s="6">
        <v>1217.71</v>
      </c>
      <c r="U424" s="6">
        <f t="shared" si="69"/>
        <v>1217.71</v>
      </c>
      <c r="V424" s="8">
        <v>7.1999999999999995E-2</v>
      </c>
      <c r="W424" s="6">
        <v>5</v>
      </c>
      <c r="X424" s="6">
        <f t="shared" si="70"/>
        <v>5650.1744000000008</v>
      </c>
      <c r="Y424">
        <f t="shared" si="71"/>
        <v>4055.25</v>
      </c>
      <c r="Z424" s="6">
        <f t="shared" si="72"/>
        <v>1594.9244000000008</v>
      </c>
      <c r="AA424">
        <f t="shared" si="73"/>
        <v>0.28227879125288602</v>
      </c>
      <c r="AB424" t="str">
        <f t="shared" si="74"/>
        <v>10-2024</v>
      </c>
      <c r="AC424" t="str">
        <f t="shared" si="75"/>
        <v>Q4-2024</v>
      </c>
      <c r="AD424" t="str">
        <f t="shared" si="76"/>
        <v>Asia →China →Shenzhen</v>
      </c>
      <c r="AE424" t="str">
        <f t="shared" si="77"/>
        <v>Medium</v>
      </c>
      <c r="AF424" t="str">
        <f>TEXT(Table1[[#This Row],[OrderDate]],"MMM")</f>
        <v>Oct</v>
      </c>
      <c r="AG424" t="str">
        <f>TEXT(Table1[[#This Row],[OrderDate]],"YYYY")</f>
        <v>2024</v>
      </c>
      <c r="AI424" s="4">
        <f>IF(Table1[[#This Row],[RequiredDate]]&lt;Table1[[#This Row],[OrderDate]], Table1[[#This Row],[OrderDate]]+7, Table1[[#This Row],[RequiredDate]])</f>
        <v>45620</v>
      </c>
      <c r="AJ424">
        <f>IF(Dashboard!$D$3&gt;'Staging Data'!V424,'Staging Data'!V424,Dashboard!D$3)</f>
        <v>7.1999999999999995E-2</v>
      </c>
      <c r="AK424" s="19">
        <f>(100%+Dashboard!$D$4)*'Staging Data'!S424</f>
        <v>851.60249999999996</v>
      </c>
      <c r="AL424">
        <f>(100%+Dashboard!$D$5)*'Staging Data'!W424</f>
        <v>5.75</v>
      </c>
    </row>
    <row r="425" spans="1:38" x14ac:dyDescent="0.35">
      <c r="A425" s="6" t="s">
        <v>444</v>
      </c>
      <c r="B425" s="4">
        <v>45597</v>
      </c>
      <c r="C425" s="4">
        <v>45608</v>
      </c>
      <c r="D425" s="4">
        <f>IF(Table1[[#This Row],[RequiredDate]]&lt;Table1[[#This Row],[OrderDate]],Table1[[#This Row],[RequiredDate]],Table1[[#This Row],[OrderDate]])</f>
        <v>45597</v>
      </c>
      <c r="E425" s="4">
        <f>IF(Table1[[#This Row],[RequiredDate]]&gt;Table1[[#This Row],[OrderDate]],Table1[[#This Row],[RequiredDate]],Table1[[#This Row],[OrderDate]])</f>
        <v>45608</v>
      </c>
      <c r="F425" s="21">
        <f>Table1[[#This Row],[New RD]]-Table1[[#This Row],[new   od]]</f>
        <v>11</v>
      </c>
      <c r="G425" s="4">
        <f>IF(Table1[[#This Row],[RequiredDate]]&lt;Table1[[#This Row],[OrderDate]], Table1[[#This Row],[OrderDate]]+7, Table1[[#This Row],[RequiredDate]])</f>
        <v>45608</v>
      </c>
      <c r="H425" s="21">
        <f t="shared" si="67"/>
        <v>11</v>
      </c>
      <c r="I425" s="6" t="str">
        <f>IF(Table1[[#This Row],[New LTD]]&lt;=7,"Yes","No")</f>
        <v>No</v>
      </c>
      <c r="J425" s="6" t="str">
        <f t="shared" si="68"/>
        <v>No</v>
      </c>
      <c r="K425" t="s">
        <v>649</v>
      </c>
      <c r="L425" t="s">
        <v>656</v>
      </c>
      <c r="M425" t="s">
        <v>698</v>
      </c>
      <c r="N425" t="s">
        <v>704</v>
      </c>
      <c r="O425" t="s">
        <v>708</v>
      </c>
      <c r="P425" t="s">
        <v>717</v>
      </c>
      <c r="Q425" t="s">
        <v>728</v>
      </c>
      <c r="R425" t="s">
        <v>1163</v>
      </c>
      <c r="S425" s="6">
        <v>599.84</v>
      </c>
      <c r="T425" s="6">
        <v>1330.85</v>
      </c>
      <c r="U425" s="6">
        <f t="shared" si="69"/>
        <v>1330.85</v>
      </c>
      <c r="V425" s="8">
        <v>0.115</v>
      </c>
      <c r="W425" s="6">
        <v>11</v>
      </c>
      <c r="X425" s="6">
        <f t="shared" si="70"/>
        <v>12955.824749999998</v>
      </c>
      <c r="Y425">
        <f t="shared" si="71"/>
        <v>6598.2400000000007</v>
      </c>
      <c r="Z425" s="6">
        <f t="shared" si="72"/>
        <v>6357.5847499999973</v>
      </c>
      <c r="AA425">
        <f t="shared" si="73"/>
        <v>0.49071246892252063</v>
      </c>
      <c r="AB425" t="str">
        <f t="shared" si="74"/>
        <v>11-2024</v>
      </c>
      <c r="AC425" t="str">
        <f t="shared" si="75"/>
        <v>Q4-2024</v>
      </c>
      <c r="AD425" t="str">
        <f t="shared" si="76"/>
        <v>Europe →Germany →Frankfurt</v>
      </c>
      <c r="AE425" t="str">
        <f t="shared" si="77"/>
        <v>Medium</v>
      </c>
      <c r="AF425" t="str">
        <f>TEXT(Table1[[#This Row],[OrderDate]],"MMM")</f>
        <v>Nov</v>
      </c>
      <c r="AG425" t="str">
        <f>TEXT(Table1[[#This Row],[OrderDate]],"YYYY")</f>
        <v>2024</v>
      </c>
      <c r="AI425" s="4">
        <f>IF(Table1[[#This Row],[RequiredDate]]&lt;Table1[[#This Row],[OrderDate]], Table1[[#This Row],[OrderDate]]+7, Table1[[#This Row],[RequiredDate]])</f>
        <v>45608</v>
      </c>
      <c r="AJ425">
        <f>IF(Dashboard!$D$3&gt;'Staging Data'!V425,'Staging Data'!V425,Dashboard!D$3)</f>
        <v>0.115</v>
      </c>
      <c r="AK425" s="19">
        <f>(100%+Dashboard!$D$4)*'Staging Data'!S425</f>
        <v>629.83200000000011</v>
      </c>
      <c r="AL425">
        <f>(100%+Dashboard!$D$5)*'Staging Data'!W425</f>
        <v>12.649999999999999</v>
      </c>
    </row>
    <row r="426" spans="1:38" x14ac:dyDescent="0.35">
      <c r="A426" s="6" t="s">
        <v>78</v>
      </c>
      <c r="B426" s="4">
        <v>45598</v>
      </c>
      <c r="C426" s="4">
        <v>45614</v>
      </c>
      <c r="D426" s="4">
        <f>IF(Table1[[#This Row],[RequiredDate]]&lt;Table1[[#This Row],[OrderDate]],Table1[[#This Row],[RequiredDate]],Table1[[#This Row],[OrderDate]])</f>
        <v>45598</v>
      </c>
      <c r="E426" s="4">
        <f>IF(Table1[[#This Row],[RequiredDate]]&gt;Table1[[#This Row],[OrderDate]],Table1[[#This Row],[RequiredDate]],Table1[[#This Row],[OrderDate]])</f>
        <v>45614</v>
      </c>
      <c r="F426" s="21">
        <f>Table1[[#This Row],[New RD]]-Table1[[#This Row],[new   od]]</f>
        <v>16</v>
      </c>
      <c r="G426" s="4">
        <f>IF(Table1[[#This Row],[RequiredDate]]&lt;Table1[[#This Row],[OrderDate]], Table1[[#This Row],[OrderDate]]+7, Table1[[#This Row],[RequiredDate]])</f>
        <v>45614</v>
      </c>
      <c r="H426" s="21">
        <f t="shared" si="67"/>
        <v>16</v>
      </c>
      <c r="I426" s="6" t="str">
        <f>IF(Table1[[#This Row],[New LTD]]&lt;=7,"Yes","No")</f>
        <v>No</v>
      </c>
      <c r="J426" s="6" t="str">
        <f t="shared" si="68"/>
        <v>Yes</v>
      </c>
      <c r="K426" t="s">
        <v>647</v>
      </c>
      <c r="L426" t="s">
        <v>654</v>
      </c>
      <c r="M426" t="s">
        <v>691</v>
      </c>
      <c r="N426" t="s">
        <v>705</v>
      </c>
      <c r="O426" t="s">
        <v>710</v>
      </c>
      <c r="P426" t="s">
        <v>719</v>
      </c>
      <c r="Q426" t="s">
        <v>732</v>
      </c>
      <c r="R426" t="s">
        <v>797</v>
      </c>
      <c r="S426" s="6">
        <v>1233.58</v>
      </c>
      <c r="T426" s="6">
        <v>1912.51</v>
      </c>
      <c r="U426" s="6">
        <f t="shared" si="69"/>
        <v>1912.51</v>
      </c>
      <c r="V426" s="8">
        <v>0.255</v>
      </c>
      <c r="W426" s="6">
        <v>51</v>
      </c>
      <c r="X426" s="6">
        <f t="shared" si="70"/>
        <v>72665.817450000002</v>
      </c>
      <c r="Y426">
        <f t="shared" si="71"/>
        <v>62912.579999999994</v>
      </c>
      <c r="Z426" s="6">
        <f t="shared" si="72"/>
        <v>9753.2374500000078</v>
      </c>
      <c r="AA426">
        <f t="shared" si="73"/>
        <v>0.134220432553601</v>
      </c>
      <c r="AB426" t="str">
        <f t="shared" si="74"/>
        <v>11-2024</v>
      </c>
      <c r="AC426" t="str">
        <f t="shared" si="75"/>
        <v>Q4-2024</v>
      </c>
      <c r="AD426" t="str">
        <f t="shared" si="76"/>
        <v>Asia →India →Mumbai</v>
      </c>
      <c r="AE426" t="str">
        <f t="shared" si="77"/>
        <v>High</v>
      </c>
      <c r="AF426" t="str">
        <f>TEXT(Table1[[#This Row],[OrderDate]],"MMM")</f>
        <v>Nov</v>
      </c>
      <c r="AG426" t="str">
        <f>TEXT(Table1[[#This Row],[OrderDate]],"YYYY")</f>
        <v>2024</v>
      </c>
      <c r="AI426" s="4">
        <f>IF(Table1[[#This Row],[RequiredDate]]&lt;Table1[[#This Row],[OrderDate]], Table1[[#This Row],[OrderDate]]+7, Table1[[#This Row],[RequiredDate]])</f>
        <v>45614</v>
      </c>
      <c r="AJ426">
        <f>IF(Dashboard!$D$3&gt;'Staging Data'!V426,'Staging Data'!V426,Dashboard!D$3)</f>
        <v>0.2</v>
      </c>
      <c r="AK426" s="19">
        <f>(100%+Dashboard!$D$4)*'Staging Data'!S426</f>
        <v>1295.259</v>
      </c>
      <c r="AL426">
        <f>(100%+Dashboard!$D$5)*'Staging Data'!W426</f>
        <v>58.65</v>
      </c>
    </row>
    <row r="427" spans="1:38" x14ac:dyDescent="0.35">
      <c r="A427" s="6" t="s">
        <v>138</v>
      </c>
      <c r="B427" s="4">
        <v>45598</v>
      </c>
      <c r="C427" s="4">
        <v>45625</v>
      </c>
      <c r="D427" s="4">
        <f>IF(Table1[[#This Row],[RequiredDate]]&lt;Table1[[#This Row],[OrderDate]],Table1[[#This Row],[RequiredDate]],Table1[[#This Row],[OrderDate]])</f>
        <v>45598</v>
      </c>
      <c r="E427" s="4">
        <f>IF(Table1[[#This Row],[RequiredDate]]&gt;Table1[[#This Row],[OrderDate]],Table1[[#This Row],[RequiredDate]],Table1[[#This Row],[OrderDate]])</f>
        <v>45625</v>
      </c>
      <c r="F427" s="21">
        <f>Table1[[#This Row],[New RD]]-Table1[[#This Row],[new   od]]</f>
        <v>27</v>
      </c>
      <c r="G427" s="4">
        <f>IF(Table1[[#This Row],[RequiredDate]]&lt;Table1[[#This Row],[OrderDate]], Table1[[#This Row],[OrderDate]]+7, Table1[[#This Row],[RequiredDate]])</f>
        <v>45625</v>
      </c>
      <c r="H427" s="21">
        <f t="shared" si="67"/>
        <v>27</v>
      </c>
      <c r="I427" s="6" t="str">
        <f>IF(Table1[[#This Row],[New LTD]]&lt;=7,"Yes","No")</f>
        <v>No</v>
      </c>
      <c r="J427" s="6" t="str">
        <f t="shared" si="68"/>
        <v>No</v>
      </c>
      <c r="K427" t="s">
        <v>648</v>
      </c>
      <c r="L427" t="s">
        <v>655</v>
      </c>
      <c r="M427" t="s">
        <v>672</v>
      </c>
      <c r="N427" t="s">
        <v>705</v>
      </c>
      <c r="O427" t="s">
        <v>711</v>
      </c>
      <c r="P427" t="s">
        <v>714</v>
      </c>
      <c r="Q427" t="s">
        <v>729</v>
      </c>
      <c r="R427" t="s">
        <v>857</v>
      </c>
      <c r="S427" s="6">
        <v>1363.51</v>
      </c>
      <c r="T427" s="6">
        <v>1433.9</v>
      </c>
      <c r="U427" s="6">
        <f t="shared" si="69"/>
        <v>1433.9</v>
      </c>
      <c r="V427" s="8">
        <v>5.7000000000000002E-2</v>
      </c>
      <c r="W427" s="6">
        <v>8</v>
      </c>
      <c r="X427" s="6">
        <f t="shared" si="70"/>
        <v>10817.3416</v>
      </c>
      <c r="Y427">
        <f t="shared" si="71"/>
        <v>10908.08</v>
      </c>
      <c r="Z427" s="6">
        <f t="shared" si="72"/>
        <v>-90.738400000000183</v>
      </c>
      <c r="AA427">
        <f t="shared" si="73"/>
        <v>-8.3882346842037592E-3</v>
      </c>
      <c r="AB427" t="str">
        <f t="shared" si="74"/>
        <v>11-2024</v>
      </c>
      <c r="AC427" t="str">
        <f t="shared" si="75"/>
        <v>Q4-2024</v>
      </c>
      <c r="AD427" t="str">
        <f t="shared" si="76"/>
        <v>Americas →Brazil →Brasília</v>
      </c>
      <c r="AE427" t="str">
        <f t="shared" si="77"/>
        <v>Medium</v>
      </c>
      <c r="AF427" t="str">
        <f>TEXT(Table1[[#This Row],[OrderDate]],"MMM")</f>
        <v>Nov</v>
      </c>
      <c r="AG427" t="str">
        <f>TEXT(Table1[[#This Row],[OrderDate]],"YYYY")</f>
        <v>2024</v>
      </c>
      <c r="AI427" s="4">
        <f>IF(Table1[[#This Row],[RequiredDate]]&lt;Table1[[#This Row],[OrderDate]], Table1[[#This Row],[OrderDate]]+7, Table1[[#This Row],[RequiredDate]])</f>
        <v>45625</v>
      </c>
      <c r="AJ427">
        <f>IF(Dashboard!$D$3&gt;'Staging Data'!V427,'Staging Data'!V427,Dashboard!D$3)</f>
        <v>5.7000000000000002E-2</v>
      </c>
      <c r="AK427" s="19">
        <f>(100%+Dashboard!$D$4)*'Staging Data'!S427</f>
        <v>1431.6855</v>
      </c>
      <c r="AL427">
        <f>(100%+Dashboard!$D$5)*'Staging Data'!W427</f>
        <v>9.1999999999999993</v>
      </c>
    </row>
    <row r="428" spans="1:38" x14ac:dyDescent="0.35">
      <c r="A428" s="6" t="s">
        <v>327</v>
      </c>
      <c r="B428" s="4">
        <v>45600</v>
      </c>
      <c r="C428" s="4">
        <v>45601</v>
      </c>
      <c r="D428" s="4">
        <f>IF(Table1[[#This Row],[RequiredDate]]&lt;Table1[[#This Row],[OrderDate]],Table1[[#This Row],[RequiredDate]],Table1[[#This Row],[OrderDate]])</f>
        <v>45600</v>
      </c>
      <c r="E428" s="4">
        <f>IF(Table1[[#This Row],[RequiredDate]]&gt;Table1[[#This Row],[OrderDate]],Table1[[#This Row],[RequiredDate]],Table1[[#This Row],[OrderDate]])</f>
        <v>45601</v>
      </c>
      <c r="F428" s="21">
        <f>Table1[[#This Row],[New RD]]-Table1[[#This Row],[new   od]]</f>
        <v>1</v>
      </c>
      <c r="G428" s="4">
        <f>IF(Table1[[#This Row],[RequiredDate]]&lt;Table1[[#This Row],[OrderDate]], Table1[[#This Row],[OrderDate]]+7, Table1[[#This Row],[RequiredDate]])</f>
        <v>45601</v>
      </c>
      <c r="H428" s="21">
        <f t="shared" si="67"/>
        <v>1</v>
      </c>
      <c r="I428" s="6" t="str">
        <f>IF(Table1[[#This Row],[New LTD]]&lt;=7,"Yes","No")</f>
        <v>Yes</v>
      </c>
      <c r="J428" s="6" t="str">
        <f t="shared" si="68"/>
        <v>No</v>
      </c>
      <c r="K428" t="s">
        <v>649</v>
      </c>
      <c r="L428" t="s">
        <v>658</v>
      </c>
      <c r="M428" t="s">
        <v>683</v>
      </c>
      <c r="N428" t="s">
        <v>701</v>
      </c>
      <c r="O428" t="s">
        <v>707</v>
      </c>
      <c r="P428" t="s">
        <v>724</v>
      </c>
      <c r="Q428" t="s">
        <v>728</v>
      </c>
      <c r="R428" t="s">
        <v>1047</v>
      </c>
      <c r="S428" s="6">
        <v>840.68</v>
      </c>
      <c r="T428" s="6">
        <v>1493.53</v>
      </c>
      <c r="U428" s="6">
        <f t="shared" si="69"/>
        <v>1493.53</v>
      </c>
      <c r="V428" s="8">
        <v>0</v>
      </c>
      <c r="W428" s="6">
        <v>27</v>
      </c>
      <c r="X428" s="6">
        <f t="shared" si="70"/>
        <v>40325.31</v>
      </c>
      <c r="Y428">
        <f t="shared" si="71"/>
        <v>22698.359999999997</v>
      </c>
      <c r="Z428" s="6">
        <f t="shared" si="72"/>
        <v>17626.95</v>
      </c>
      <c r="AA428">
        <f t="shared" si="73"/>
        <v>0.43711877230454027</v>
      </c>
      <c r="AB428" t="str">
        <f t="shared" si="74"/>
        <v>11-2024</v>
      </c>
      <c r="AC428" t="str">
        <f t="shared" si="75"/>
        <v>Q4-2024</v>
      </c>
      <c r="AD428" t="str">
        <f t="shared" si="76"/>
        <v>Europe →United Kingdom →London</v>
      </c>
      <c r="AE428" t="str">
        <f t="shared" si="77"/>
        <v>Medium</v>
      </c>
      <c r="AF428" t="str">
        <f>TEXT(Table1[[#This Row],[OrderDate]],"MMM")</f>
        <v>Nov</v>
      </c>
      <c r="AG428" t="str">
        <f>TEXT(Table1[[#This Row],[OrderDate]],"YYYY")</f>
        <v>2024</v>
      </c>
      <c r="AI428" s="4">
        <f>IF(Table1[[#This Row],[RequiredDate]]&lt;Table1[[#This Row],[OrderDate]], Table1[[#This Row],[OrderDate]]+7, Table1[[#This Row],[RequiredDate]])</f>
        <v>45601</v>
      </c>
      <c r="AJ428">
        <f>IF(Dashboard!$D$3&gt;'Staging Data'!V428,'Staging Data'!V428,Dashboard!D$3)</f>
        <v>0</v>
      </c>
      <c r="AK428" s="19">
        <f>(100%+Dashboard!$D$4)*'Staging Data'!S428</f>
        <v>882.71399999999994</v>
      </c>
      <c r="AL428">
        <f>(100%+Dashboard!$D$5)*'Staging Data'!W428</f>
        <v>31.049999999999997</v>
      </c>
    </row>
    <row r="429" spans="1:38" x14ac:dyDescent="0.35">
      <c r="A429" s="6" t="s">
        <v>582</v>
      </c>
      <c r="B429" s="4">
        <v>45600</v>
      </c>
      <c r="C429" s="4">
        <v>45603</v>
      </c>
      <c r="D429" s="4">
        <f>IF(Table1[[#This Row],[RequiredDate]]&lt;Table1[[#This Row],[OrderDate]],Table1[[#This Row],[RequiredDate]],Table1[[#This Row],[OrderDate]])</f>
        <v>45600</v>
      </c>
      <c r="E429" s="4">
        <f>IF(Table1[[#This Row],[RequiredDate]]&gt;Table1[[#This Row],[OrderDate]],Table1[[#This Row],[RequiredDate]],Table1[[#This Row],[OrderDate]])</f>
        <v>45603</v>
      </c>
      <c r="F429" s="21">
        <f>Table1[[#This Row],[New RD]]-Table1[[#This Row],[new   od]]</f>
        <v>3</v>
      </c>
      <c r="G429" s="4">
        <f>IF(Table1[[#This Row],[RequiredDate]]&lt;Table1[[#This Row],[OrderDate]], Table1[[#This Row],[OrderDate]]+7, Table1[[#This Row],[RequiredDate]])</f>
        <v>45603</v>
      </c>
      <c r="H429" s="21">
        <f t="shared" si="67"/>
        <v>3</v>
      </c>
      <c r="I429" s="6" t="str">
        <f>IF(Table1[[#This Row],[New LTD]]&lt;=7,"Yes","No")</f>
        <v>Yes</v>
      </c>
      <c r="J429" s="6" t="str">
        <f t="shared" si="68"/>
        <v>No</v>
      </c>
      <c r="K429" t="s">
        <v>649</v>
      </c>
      <c r="L429" t="s">
        <v>657</v>
      </c>
      <c r="M429" t="s">
        <v>679</v>
      </c>
      <c r="N429" t="s">
        <v>701</v>
      </c>
      <c r="O429" t="s">
        <v>708</v>
      </c>
      <c r="P429" t="s">
        <v>719</v>
      </c>
      <c r="Q429" t="s">
        <v>732</v>
      </c>
      <c r="R429" t="s">
        <v>1300</v>
      </c>
      <c r="S429" s="6">
        <v>740.68</v>
      </c>
      <c r="T429" s="6">
        <v>1837.19</v>
      </c>
      <c r="U429" s="6">
        <f t="shared" si="69"/>
        <v>1837.19</v>
      </c>
      <c r="V429" s="8">
        <v>0.19700000000000001</v>
      </c>
      <c r="W429" s="6">
        <v>17</v>
      </c>
      <c r="X429" s="6">
        <f t="shared" si="70"/>
        <v>25079.480689999997</v>
      </c>
      <c r="Y429">
        <f t="shared" si="71"/>
        <v>12591.56</v>
      </c>
      <c r="Z429" s="6">
        <f t="shared" si="72"/>
        <v>12487.920689999997</v>
      </c>
      <c r="AA429">
        <f t="shared" si="73"/>
        <v>0.4979337827748298</v>
      </c>
      <c r="AB429" t="str">
        <f t="shared" si="74"/>
        <v>11-2024</v>
      </c>
      <c r="AC429" t="str">
        <f t="shared" si="75"/>
        <v>Q4-2024</v>
      </c>
      <c r="AD429" t="str">
        <f t="shared" si="76"/>
        <v>Europe →France →Lyon</v>
      </c>
      <c r="AE429" t="str">
        <f t="shared" si="77"/>
        <v>High</v>
      </c>
      <c r="AF429" t="str">
        <f>TEXT(Table1[[#This Row],[OrderDate]],"MMM")</f>
        <v>Nov</v>
      </c>
      <c r="AG429" t="str">
        <f>TEXT(Table1[[#This Row],[OrderDate]],"YYYY")</f>
        <v>2024</v>
      </c>
      <c r="AI429" s="4">
        <f>IF(Table1[[#This Row],[RequiredDate]]&lt;Table1[[#This Row],[OrderDate]], Table1[[#This Row],[OrderDate]]+7, Table1[[#This Row],[RequiredDate]])</f>
        <v>45603</v>
      </c>
      <c r="AJ429">
        <f>IF(Dashboard!$D$3&gt;'Staging Data'!V429,'Staging Data'!V429,Dashboard!D$3)</f>
        <v>0.19700000000000001</v>
      </c>
      <c r="AK429" s="19">
        <f>(100%+Dashboard!$D$4)*'Staging Data'!S429</f>
        <v>777.71399999999994</v>
      </c>
      <c r="AL429">
        <f>(100%+Dashboard!$D$5)*'Staging Data'!W429</f>
        <v>19.549999999999997</v>
      </c>
    </row>
    <row r="430" spans="1:38" x14ac:dyDescent="0.35">
      <c r="A430" s="6" t="s">
        <v>416</v>
      </c>
      <c r="B430" s="4">
        <v>45601</v>
      </c>
      <c r="C430" s="4">
        <v>45604</v>
      </c>
      <c r="D430" s="4">
        <f>IF(Table1[[#This Row],[RequiredDate]]&lt;Table1[[#This Row],[OrderDate]],Table1[[#This Row],[RequiredDate]],Table1[[#This Row],[OrderDate]])</f>
        <v>45601</v>
      </c>
      <c r="E430" s="4">
        <f>IF(Table1[[#This Row],[RequiredDate]]&gt;Table1[[#This Row],[OrderDate]],Table1[[#This Row],[RequiredDate]],Table1[[#This Row],[OrderDate]])</f>
        <v>45604</v>
      </c>
      <c r="F430" s="21">
        <f>Table1[[#This Row],[New RD]]-Table1[[#This Row],[new   od]]</f>
        <v>3</v>
      </c>
      <c r="G430" s="4">
        <f>IF(Table1[[#This Row],[RequiredDate]]&lt;Table1[[#This Row],[OrderDate]], Table1[[#This Row],[OrderDate]]+7, Table1[[#This Row],[RequiredDate]])</f>
        <v>45604</v>
      </c>
      <c r="H430" s="21">
        <f t="shared" si="67"/>
        <v>3</v>
      </c>
      <c r="I430" s="6" t="str">
        <f>IF(Table1[[#This Row],[New LTD]]&lt;=7,"Yes","No")</f>
        <v>Yes</v>
      </c>
      <c r="J430" s="6" t="str">
        <f t="shared" si="68"/>
        <v>No</v>
      </c>
      <c r="K430" t="s">
        <v>648</v>
      </c>
      <c r="L430" t="s">
        <v>653</v>
      </c>
      <c r="M430" t="s">
        <v>667</v>
      </c>
      <c r="N430" t="s">
        <v>702</v>
      </c>
      <c r="O430" t="s">
        <v>709</v>
      </c>
      <c r="P430" t="s">
        <v>719</v>
      </c>
      <c r="Q430" t="s">
        <v>727</v>
      </c>
      <c r="R430" t="s">
        <v>1135</v>
      </c>
      <c r="S430" s="6">
        <v>1020.4</v>
      </c>
      <c r="T430" s="6">
        <v>1184.71</v>
      </c>
      <c r="U430" s="6">
        <f t="shared" si="69"/>
        <v>1184.71</v>
      </c>
      <c r="V430" s="8">
        <v>0.106</v>
      </c>
      <c r="W430" s="6">
        <v>16</v>
      </c>
      <c r="X430" s="6">
        <f t="shared" si="70"/>
        <v>16946.091840000001</v>
      </c>
      <c r="Y430">
        <f t="shared" si="71"/>
        <v>16326.4</v>
      </c>
      <c r="Z430" s="6">
        <f t="shared" si="72"/>
        <v>619.69184000000132</v>
      </c>
      <c r="AA430">
        <f t="shared" si="73"/>
        <v>3.6568422138328345E-2</v>
      </c>
      <c r="AB430" t="str">
        <f t="shared" si="74"/>
        <v>11-2024</v>
      </c>
      <c r="AC430" t="str">
        <f t="shared" si="75"/>
        <v>Q4-2024</v>
      </c>
      <c r="AD430" t="str">
        <f t="shared" si="76"/>
        <v>Americas →Canada →Toronto</v>
      </c>
      <c r="AE430" t="str">
        <f t="shared" si="77"/>
        <v>Medium</v>
      </c>
      <c r="AF430" t="str">
        <f>TEXT(Table1[[#This Row],[OrderDate]],"MMM")</f>
        <v>Nov</v>
      </c>
      <c r="AG430" t="str">
        <f>TEXT(Table1[[#This Row],[OrderDate]],"YYYY")</f>
        <v>2024</v>
      </c>
      <c r="AI430" s="4">
        <f>IF(Table1[[#This Row],[RequiredDate]]&lt;Table1[[#This Row],[OrderDate]], Table1[[#This Row],[OrderDate]]+7, Table1[[#This Row],[RequiredDate]])</f>
        <v>45604</v>
      </c>
      <c r="AJ430">
        <f>IF(Dashboard!$D$3&gt;'Staging Data'!V430,'Staging Data'!V430,Dashboard!D$3)</f>
        <v>0.106</v>
      </c>
      <c r="AK430" s="19">
        <f>(100%+Dashboard!$D$4)*'Staging Data'!S430</f>
        <v>1071.42</v>
      </c>
      <c r="AL430">
        <f>(100%+Dashboard!$D$5)*'Staging Data'!W430</f>
        <v>18.399999999999999</v>
      </c>
    </row>
    <row r="431" spans="1:38" x14ac:dyDescent="0.35">
      <c r="A431" s="6" t="s">
        <v>65</v>
      </c>
      <c r="B431" s="4">
        <v>45602</v>
      </c>
      <c r="C431" s="4">
        <v>45618</v>
      </c>
      <c r="D431" s="4">
        <f>IF(Table1[[#This Row],[RequiredDate]]&lt;Table1[[#This Row],[OrderDate]],Table1[[#This Row],[RequiredDate]],Table1[[#This Row],[OrderDate]])</f>
        <v>45602</v>
      </c>
      <c r="E431" s="4">
        <f>IF(Table1[[#This Row],[RequiredDate]]&gt;Table1[[#This Row],[OrderDate]],Table1[[#This Row],[RequiredDate]],Table1[[#This Row],[OrderDate]])</f>
        <v>45618</v>
      </c>
      <c r="F431" s="21">
        <f>Table1[[#This Row],[New RD]]-Table1[[#This Row],[new   od]]</f>
        <v>16</v>
      </c>
      <c r="G431" s="4">
        <f>IF(Table1[[#This Row],[RequiredDate]]&lt;Table1[[#This Row],[OrderDate]], Table1[[#This Row],[OrderDate]]+7, Table1[[#This Row],[RequiredDate]])</f>
        <v>45618</v>
      </c>
      <c r="H431" s="21">
        <f t="shared" si="67"/>
        <v>16</v>
      </c>
      <c r="I431" s="6" t="str">
        <f>IF(Table1[[#This Row],[New LTD]]&lt;=7,"Yes","No")</f>
        <v>No</v>
      </c>
      <c r="J431" s="6" t="str">
        <f t="shared" si="68"/>
        <v>Yes</v>
      </c>
      <c r="K431" t="s">
        <v>648</v>
      </c>
      <c r="L431" t="s">
        <v>653</v>
      </c>
      <c r="M431" t="s">
        <v>667</v>
      </c>
      <c r="N431" t="s">
        <v>703</v>
      </c>
      <c r="O431" t="s">
        <v>710</v>
      </c>
      <c r="P431" t="s">
        <v>726</v>
      </c>
      <c r="Q431" t="s">
        <v>733</v>
      </c>
      <c r="R431" t="s">
        <v>784</v>
      </c>
      <c r="S431" s="6">
        <v>1454.11</v>
      </c>
      <c r="T431" s="6">
        <v>2629.75</v>
      </c>
      <c r="U431" s="6">
        <f t="shared" si="69"/>
        <v>2629.75</v>
      </c>
      <c r="V431" s="8">
        <v>0.29199999999999998</v>
      </c>
      <c r="W431" s="6">
        <v>8</v>
      </c>
      <c r="X431" s="6">
        <f t="shared" si="70"/>
        <v>14894.903999999999</v>
      </c>
      <c r="Y431">
        <f t="shared" si="71"/>
        <v>11632.88</v>
      </c>
      <c r="Z431" s="6">
        <f t="shared" si="72"/>
        <v>3262.0239999999994</v>
      </c>
      <c r="AA431">
        <f t="shared" si="73"/>
        <v>0.21900268709351867</v>
      </c>
      <c r="AB431" t="str">
        <f t="shared" si="74"/>
        <v>11-2024</v>
      </c>
      <c r="AC431" t="str">
        <f t="shared" si="75"/>
        <v>Q4-2024</v>
      </c>
      <c r="AD431" t="str">
        <f t="shared" si="76"/>
        <v>Americas →Canada →Toronto</v>
      </c>
      <c r="AE431" t="str">
        <f t="shared" si="77"/>
        <v>High</v>
      </c>
      <c r="AF431" t="str">
        <f>TEXT(Table1[[#This Row],[OrderDate]],"MMM")</f>
        <v>Nov</v>
      </c>
      <c r="AG431" t="str">
        <f>TEXT(Table1[[#This Row],[OrderDate]],"YYYY")</f>
        <v>2024</v>
      </c>
      <c r="AI431" s="4">
        <f>IF(Table1[[#This Row],[RequiredDate]]&lt;Table1[[#This Row],[OrderDate]], Table1[[#This Row],[OrderDate]]+7, Table1[[#This Row],[RequiredDate]])</f>
        <v>45618</v>
      </c>
      <c r="AJ431">
        <f>IF(Dashboard!$D$3&gt;'Staging Data'!V431,'Staging Data'!V431,Dashboard!D$3)</f>
        <v>0.2</v>
      </c>
      <c r="AK431" s="19">
        <f>(100%+Dashboard!$D$4)*'Staging Data'!S431</f>
        <v>1526.8154999999999</v>
      </c>
      <c r="AL431">
        <f>(100%+Dashboard!$D$5)*'Staging Data'!W431</f>
        <v>9.1999999999999993</v>
      </c>
    </row>
    <row r="432" spans="1:38" x14ac:dyDescent="0.35">
      <c r="A432" s="6" t="s">
        <v>368</v>
      </c>
      <c r="B432" s="4">
        <v>45603</v>
      </c>
      <c r="C432" s="4">
        <v>45622</v>
      </c>
      <c r="D432" s="4">
        <f>IF(Table1[[#This Row],[RequiredDate]]&lt;Table1[[#This Row],[OrderDate]],Table1[[#This Row],[RequiredDate]],Table1[[#This Row],[OrderDate]])</f>
        <v>45603</v>
      </c>
      <c r="E432" s="4">
        <f>IF(Table1[[#This Row],[RequiredDate]]&gt;Table1[[#This Row],[OrderDate]],Table1[[#This Row],[RequiredDate]],Table1[[#This Row],[OrderDate]])</f>
        <v>45622</v>
      </c>
      <c r="F432" s="21">
        <f>Table1[[#This Row],[New RD]]-Table1[[#This Row],[new   od]]</f>
        <v>19</v>
      </c>
      <c r="G432" s="4">
        <f>IF(Table1[[#This Row],[RequiredDate]]&lt;Table1[[#This Row],[OrderDate]], Table1[[#This Row],[OrderDate]]+7, Table1[[#This Row],[RequiredDate]])</f>
        <v>45622</v>
      </c>
      <c r="H432" s="21">
        <f t="shared" si="67"/>
        <v>19</v>
      </c>
      <c r="I432" s="6" t="str">
        <f>IF(Table1[[#This Row],[New LTD]]&lt;=7,"Yes","No")</f>
        <v>No</v>
      </c>
      <c r="J432" s="6" t="str">
        <f t="shared" si="68"/>
        <v>No</v>
      </c>
      <c r="K432" t="s">
        <v>648</v>
      </c>
      <c r="L432" t="s">
        <v>655</v>
      </c>
      <c r="M432" t="s">
        <v>692</v>
      </c>
      <c r="N432" t="s">
        <v>703</v>
      </c>
      <c r="O432" t="s">
        <v>710</v>
      </c>
      <c r="P432" t="s">
        <v>713</v>
      </c>
      <c r="Q432" t="s">
        <v>728</v>
      </c>
      <c r="R432" t="s">
        <v>1088</v>
      </c>
      <c r="S432" s="6">
        <v>55.35</v>
      </c>
      <c r="T432" s="6">
        <v>128.68</v>
      </c>
      <c r="U432" s="6">
        <f t="shared" si="69"/>
        <v>128.68</v>
      </c>
      <c r="V432" s="8">
        <v>0.128</v>
      </c>
      <c r="W432" s="6">
        <v>10</v>
      </c>
      <c r="X432" s="6">
        <f t="shared" si="70"/>
        <v>1122.0896000000002</v>
      </c>
      <c r="Y432">
        <f t="shared" si="71"/>
        <v>553.5</v>
      </c>
      <c r="Z432" s="6">
        <f t="shared" si="72"/>
        <v>568.58960000000025</v>
      </c>
      <c r="AA432">
        <f t="shared" si="73"/>
        <v>0.50672388372550647</v>
      </c>
      <c r="AB432" t="str">
        <f t="shared" si="74"/>
        <v>11-2024</v>
      </c>
      <c r="AC432" t="str">
        <f t="shared" si="75"/>
        <v>Q4-2024</v>
      </c>
      <c r="AD432" t="str">
        <f t="shared" si="76"/>
        <v>Americas →Brazil →Rio de Janeiro</v>
      </c>
      <c r="AE432" t="str">
        <f t="shared" si="77"/>
        <v>Low</v>
      </c>
      <c r="AF432" t="str">
        <f>TEXT(Table1[[#This Row],[OrderDate]],"MMM")</f>
        <v>Nov</v>
      </c>
      <c r="AG432" t="str">
        <f>TEXT(Table1[[#This Row],[OrderDate]],"YYYY")</f>
        <v>2024</v>
      </c>
      <c r="AI432" s="4">
        <f>IF(Table1[[#This Row],[RequiredDate]]&lt;Table1[[#This Row],[OrderDate]], Table1[[#This Row],[OrderDate]]+7, Table1[[#This Row],[RequiredDate]])</f>
        <v>45622</v>
      </c>
      <c r="AJ432">
        <f>IF(Dashboard!$D$3&gt;'Staging Data'!V432,'Staging Data'!V432,Dashboard!D$3)</f>
        <v>0.128</v>
      </c>
      <c r="AK432" s="19">
        <f>(100%+Dashboard!$D$4)*'Staging Data'!S432</f>
        <v>58.117500000000007</v>
      </c>
      <c r="AL432">
        <f>(100%+Dashboard!$D$5)*'Staging Data'!W432</f>
        <v>11.5</v>
      </c>
    </row>
    <row r="433" spans="1:38" x14ac:dyDescent="0.35">
      <c r="A433" s="6" t="s">
        <v>262</v>
      </c>
      <c r="B433" s="4">
        <v>45604</v>
      </c>
      <c r="C433" s="4">
        <v>45604</v>
      </c>
      <c r="D433" s="4">
        <f>IF(Table1[[#This Row],[RequiredDate]]&lt;Table1[[#This Row],[OrderDate]],Table1[[#This Row],[RequiredDate]],Table1[[#This Row],[OrderDate]])</f>
        <v>45604</v>
      </c>
      <c r="E433" s="4">
        <f>IF(Table1[[#This Row],[RequiredDate]]&gt;Table1[[#This Row],[OrderDate]],Table1[[#This Row],[RequiredDate]],Table1[[#This Row],[OrderDate]])</f>
        <v>45604</v>
      </c>
      <c r="F433" s="21">
        <f>Table1[[#This Row],[New RD]]-Table1[[#This Row],[new   od]]</f>
        <v>0</v>
      </c>
      <c r="G433" s="4">
        <f>IF(Table1[[#This Row],[RequiredDate]]&lt;Table1[[#This Row],[OrderDate]], Table1[[#This Row],[OrderDate]]+7, Table1[[#This Row],[RequiredDate]])</f>
        <v>45604</v>
      </c>
      <c r="H433" s="21">
        <f t="shared" si="67"/>
        <v>0</v>
      </c>
      <c r="I433" s="6" t="str">
        <f>IF(Table1[[#This Row],[New LTD]]&lt;=7,"Yes","No")</f>
        <v>Yes</v>
      </c>
      <c r="J433" s="6" t="str">
        <f t="shared" si="68"/>
        <v>No</v>
      </c>
      <c r="K433" t="s">
        <v>646</v>
      </c>
      <c r="L433" t="s">
        <v>650</v>
      </c>
      <c r="M433" t="s">
        <v>678</v>
      </c>
      <c r="N433" t="s">
        <v>706</v>
      </c>
      <c r="O433" t="s">
        <v>709</v>
      </c>
      <c r="P433" t="s">
        <v>724</v>
      </c>
      <c r="Q433" t="s">
        <v>729</v>
      </c>
      <c r="R433" t="s">
        <v>982</v>
      </c>
      <c r="S433" s="6">
        <v>803.28</v>
      </c>
      <c r="T433" s="6">
        <v>1009</v>
      </c>
      <c r="U433" s="6">
        <f t="shared" si="69"/>
        <v>1009</v>
      </c>
      <c r="V433" s="8">
        <v>0.11</v>
      </c>
      <c r="W433" s="6">
        <v>4</v>
      </c>
      <c r="X433" s="6">
        <f t="shared" si="70"/>
        <v>3592.04</v>
      </c>
      <c r="Y433">
        <f t="shared" si="71"/>
        <v>3213.12</v>
      </c>
      <c r="Z433" s="6">
        <f t="shared" si="72"/>
        <v>378.92000000000007</v>
      </c>
      <c r="AA433">
        <f t="shared" si="73"/>
        <v>0.10548880302001093</v>
      </c>
      <c r="AB433" t="str">
        <f t="shared" si="74"/>
        <v>11-2024</v>
      </c>
      <c r="AC433" t="str">
        <f t="shared" si="75"/>
        <v>Q4-2024</v>
      </c>
      <c r="AD433" t="str">
        <f t="shared" si="76"/>
        <v>Africa →Kenya →Nakuru</v>
      </c>
      <c r="AE433" t="str">
        <f t="shared" si="77"/>
        <v>Medium</v>
      </c>
      <c r="AF433" t="str">
        <f>TEXT(Table1[[#This Row],[OrderDate]],"MMM")</f>
        <v>Nov</v>
      </c>
      <c r="AG433" t="str">
        <f>TEXT(Table1[[#This Row],[OrderDate]],"YYYY")</f>
        <v>2024</v>
      </c>
      <c r="AI433" s="4">
        <f>IF(Table1[[#This Row],[RequiredDate]]&lt;Table1[[#This Row],[OrderDate]], Table1[[#This Row],[OrderDate]]+7, Table1[[#This Row],[RequiredDate]])</f>
        <v>45604</v>
      </c>
      <c r="AJ433">
        <f>IF(Dashboard!$D$3&gt;'Staging Data'!V433,'Staging Data'!V433,Dashboard!D$3)</f>
        <v>0.11</v>
      </c>
      <c r="AK433" s="19">
        <f>(100%+Dashboard!$D$4)*'Staging Data'!S433</f>
        <v>843.44399999999996</v>
      </c>
      <c r="AL433">
        <f>(100%+Dashboard!$D$5)*'Staging Data'!W433</f>
        <v>4.5999999999999996</v>
      </c>
    </row>
    <row r="434" spans="1:38" x14ac:dyDescent="0.35">
      <c r="A434" s="6" t="s">
        <v>593</v>
      </c>
      <c r="B434" s="4">
        <v>45607</v>
      </c>
      <c r="C434" s="4">
        <v>45620</v>
      </c>
      <c r="D434" s="4">
        <f>IF(Table1[[#This Row],[RequiredDate]]&lt;Table1[[#This Row],[OrderDate]],Table1[[#This Row],[RequiredDate]],Table1[[#This Row],[OrderDate]])</f>
        <v>45607</v>
      </c>
      <c r="E434" s="4">
        <f>IF(Table1[[#This Row],[RequiredDate]]&gt;Table1[[#This Row],[OrderDate]],Table1[[#This Row],[RequiredDate]],Table1[[#This Row],[OrderDate]])</f>
        <v>45620</v>
      </c>
      <c r="F434" s="21">
        <f>Table1[[#This Row],[New RD]]-Table1[[#This Row],[new   od]]</f>
        <v>13</v>
      </c>
      <c r="G434" s="4">
        <f>IF(Table1[[#This Row],[RequiredDate]]&lt;Table1[[#This Row],[OrderDate]], Table1[[#This Row],[OrderDate]]+7, Table1[[#This Row],[RequiredDate]])</f>
        <v>45620</v>
      </c>
      <c r="H434" s="21">
        <f t="shared" si="67"/>
        <v>13</v>
      </c>
      <c r="I434" s="6" t="str">
        <f>IF(Table1[[#This Row],[New LTD]]&lt;=7,"Yes","No")</f>
        <v>No</v>
      </c>
      <c r="J434" s="6" t="str">
        <f t="shared" si="68"/>
        <v>No</v>
      </c>
      <c r="K434" t="s">
        <v>649</v>
      </c>
      <c r="L434" t="s">
        <v>658</v>
      </c>
      <c r="M434" t="s">
        <v>683</v>
      </c>
      <c r="N434" t="s">
        <v>701</v>
      </c>
      <c r="O434" t="s">
        <v>707</v>
      </c>
      <c r="P434" t="s">
        <v>718</v>
      </c>
      <c r="Q434" t="s">
        <v>729</v>
      </c>
      <c r="R434" t="s">
        <v>1311</v>
      </c>
      <c r="S434" s="6">
        <v>164.53</v>
      </c>
      <c r="T434" s="6">
        <v>327.72</v>
      </c>
      <c r="U434" s="6">
        <f t="shared" si="69"/>
        <v>327.72</v>
      </c>
      <c r="V434" s="8">
        <v>6.7000000000000004E-2</v>
      </c>
      <c r="W434" s="6">
        <v>14</v>
      </c>
      <c r="X434" s="6">
        <f t="shared" si="70"/>
        <v>4280.6786400000001</v>
      </c>
      <c r="Y434">
        <f t="shared" si="71"/>
        <v>2303.42</v>
      </c>
      <c r="Z434" s="6">
        <f t="shared" si="72"/>
        <v>1977.25864</v>
      </c>
      <c r="AA434">
        <f t="shared" si="73"/>
        <v>0.46190307805960412</v>
      </c>
      <c r="AB434" t="str">
        <f t="shared" si="74"/>
        <v>11-2024</v>
      </c>
      <c r="AC434" t="str">
        <f t="shared" si="75"/>
        <v>Q4-2024</v>
      </c>
      <c r="AD434" t="str">
        <f t="shared" si="76"/>
        <v>Europe →United Kingdom →London</v>
      </c>
      <c r="AE434" t="str">
        <f t="shared" si="77"/>
        <v>Low</v>
      </c>
      <c r="AF434" t="str">
        <f>TEXT(Table1[[#This Row],[OrderDate]],"MMM")</f>
        <v>Nov</v>
      </c>
      <c r="AG434" t="str">
        <f>TEXT(Table1[[#This Row],[OrderDate]],"YYYY")</f>
        <v>2024</v>
      </c>
      <c r="AI434" s="4">
        <f>IF(Table1[[#This Row],[RequiredDate]]&lt;Table1[[#This Row],[OrderDate]], Table1[[#This Row],[OrderDate]]+7, Table1[[#This Row],[RequiredDate]])</f>
        <v>45620</v>
      </c>
      <c r="AJ434">
        <f>IF(Dashboard!$D$3&gt;'Staging Data'!V434,'Staging Data'!V434,Dashboard!D$3)</f>
        <v>6.7000000000000004E-2</v>
      </c>
      <c r="AK434" s="19">
        <f>(100%+Dashboard!$D$4)*'Staging Data'!S434</f>
        <v>172.75650000000002</v>
      </c>
      <c r="AL434">
        <f>(100%+Dashboard!$D$5)*'Staging Data'!W434</f>
        <v>16.099999999999998</v>
      </c>
    </row>
    <row r="435" spans="1:38" x14ac:dyDescent="0.35">
      <c r="A435" s="6" t="s">
        <v>523</v>
      </c>
      <c r="B435" s="4">
        <v>45608</v>
      </c>
      <c r="C435" s="4">
        <v>45617</v>
      </c>
      <c r="D435" s="4">
        <f>IF(Table1[[#This Row],[RequiredDate]]&lt;Table1[[#This Row],[OrderDate]],Table1[[#This Row],[RequiredDate]],Table1[[#This Row],[OrderDate]])</f>
        <v>45608</v>
      </c>
      <c r="E435" s="4">
        <f>IF(Table1[[#This Row],[RequiredDate]]&gt;Table1[[#This Row],[OrderDate]],Table1[[#This Row],[RequiredDate]],Table1[[#This Row],[OrderDate]])</f>
        <v>45617</v>
      </c>
      <c r="F435" s="21">
        <f>Table1[[#This Row],[New RD]]-Table1[[#This Row],[new   od]]</f>
        <v>9</v>
      </c>
      <c r="G435" s="4">
        <f>IF(Table1[[#This Row],[RequiredDate]]&lt;Table1[[#This Row],[OrderDate]], Table1[[#This Row],[OrderDate]]+7, Table1[[#This Row],[RequiredDate]])</f>
        <v>45617</v>
      </c>
      <c r="H435" s="21">
        <f t="shared" si="67"/>
        <v>9</v>
      </c>
      <c r="I435" s="6" t="str">
        <f>IF(Table1[[#This Row],[New LTD]]&lt;=7,"Yes","No")</f>
        <v>No</v>
      </c>
      <c r="J435" s="6" t="str">
        <f t="shared" si="68"/>
        <v>No</v>
      </c>
      <c r="K435" t="s">
        <v>647</v>
      </c>
      <c r="L435" t="s">
        <v>654</v>
      </c>
      <c r="M435" t="s">
        <v>691</v>
      </c>
      <c r="N435" t="s">
        <v>701</v>
      </c>
      <c r="O435" t="s">
        <v>711</v>
      </c>
      <c r="P435" t="s">
        <v>722</v>
      </c>
      <c r="Q435" t="s">
        <v>731</v>
      </c>
      <c r="R435" t="s">
        <v>1242</v>
      </c>
      <c r="S435" s="6">
        <v>903.41</v>
      </c>
      <c r="T435" s="6">
        <v>1860.41</v>
      </c>
      <c r="U435" s="6">
        <f t="shared" si="69"/>
        <v>1860.41</v>
      </c>
      <c r="V435" s="8">
        <v>0.108</v>
      </c>
      <c r="W435" s="6">
        <v>5</v>
      </c>
      <c r="X435" s="6">
        <f t="shared" si="70"/>
        <v>8297.4286000000011</v>
      </c>
      <c r="Y435">
        <f t="shared" si="71"/>
        <v>4517.05</v>
      </c>
      <c r="Z435" s="6">
        <f t="shared" si="72"/>
        <v>3780.3786000000009</v>
      </c>
      <c r="AA435">
        <f t="shared" si="73"/>
        <v>0.455608451996803</v>
      </c>
      <c r="AB435" t="str">
        <f t="shared" si="74"/>
        <v>11-2024</v>
      </c>
      <c r="AC435" t="str">
        <f t="shared" si="75"/>
        <v>Q4-2024</v>
      </c>
      <c r="AD435" t="str">
        <f t="shared" si="76"/>
        <v>Asia →India →Mumbai</v>
      </c>
      <c r="AE435" t="str">
        <f t="shared" si="77"/>
        <v>High</v>
      </c>
      <c r="AF435" t="str">
        <f>TEXT(Table1[[#This Row],[OrderDate]],"MMM")</f>
        <v>Nov</v>
      </c>
      <c r="AG435" t="str">
        <f>TEXT(Table1[[#This Row],[OrderDate]],"YYYY")</f>
        <v>2024</v>
      </c>
      <c r="AI435" s="4">
        <f>IF(Table1[[#This Row],[RequiredDate]]&lt;Table1[[#This Row],[OrderDate]], Table1[[#This Row],[OrderDate]]+7, Table1[[#This Row],[RequiredDate]])</f>
        <v>45617</v>
      </c>
      <c r="AJ435">
        <f>IF(Dashboard!$D$3&gt;'Staging Data'!V435,'Staging Data'!V435,Dashboard!D$3)</f>
        <v>0.108</v>
      </c>
      <c r="AK435" s="19">
        <f>(100%+Dashboard!$D$4)*'Staging Data'!S435</f>
        <v>948.58050000000003</v>
      </c>
      <c r="AL435">
        <f>(100%+Dashboard!$D$5)*'Staging Data'!W435</f>
        <v>5.75</v>
      </c>
    </row>
    <row r="436" spans="1:38" x14ac:dyDescent="0.35">
      <c r="A436" s="6" t="s">
        <v>501</v>
      </c>
      <c r="B436" s="4">
        <v>45613</v>
      </c>
      <c r="C436" s="4">
        <v>45624</v>
      </c>
      <c r="D436" s="4">
        <f>IF(Table1[[#This Row],[RequiredDate]]&lt;Table1[[#This Row],[OrderDate]],Table1[[#This Row],[RequiredDate]],Table1[[#This Row],[OrderDate]])</f>
        <v>45613</v>
      </c>
      <c r="E436" s="4">
        <f>IF(Table1[[#This Row],[RequiredDate]]&gt;Table1[[#This Row],[OrderDate]],Table1[[#This Row],[RequiredDate]],Table1[[#This Row],[OrderDate]])</f>
        <v>45624</v>
      </c>
      <c r="F436" s="21">
        <f>Table1[[#This Row],[New RD]]-Table1[[#This Row],[new   od]]</f>
        <v>11</v>
      </c>
      <c r="G436" s="4">
        <f>IF(Table1[[#This Row],[RequiredDate]]&lt;Table1[[#This Row],[OrderDate]], Table1[[#This Row],[OrderDate]]+7, Table1[[#This Row],[RequiredDate]])</f>
        <v>45624</v>
      </c>
      <c r="H436" s="21">
        <f t="shared" si="67"/>
        <v>11</v>
      </c>
      <c r="I436" s="6" t="str">
        <f>IF(Table1[[#This Row],[New LTD]]&lt;=7,"Yes","No")</f>
        <v>No</v>
      </c>
      <c r="J436" s="6" t="str">
        <f t="shared" si="68"/>
        <v>No</v>
      </c>
      <c r="K436" t="s">
        <v>648</v>
      </c>
      <c r="L436" t="s">
        <v>653</v>
      </c>
      <c r="M436" t="s">
        <v>1423</v>
      </c>
      <c r="N436" t="s">
        <v>704</v>
      </c>
      <c r="O436" t="s">
        <v>710</v>
      </c>
      <c r="P436" t="s">
        <v>720</v>
      </c>
      <c r="Q436" t="s">
        <v>728</v>
      </c>
      <c r="R436" t="s">
        <v>1220</v>
      </c>
      <c r="S436" s="6">
        <v>1008.16</v>
      </c>
      <c r="T436" s="6">
        <v>2077.5</v>
      </c>
      <c r="U436" s="6">
        <f t="shared" si="69"/>
        <v>2077.5</v>
      </c>
      <c r="V436" s="8">
        <v>7.3999999999999996E-2</v>
      </c>
      <c r="W436" s="6">
        <v>15</v>
      </c>
      <c r="X436" s="6">
        <f t="shared" si="70"/>
        <v>28856.475000000002</v>
      </c>
      <c r="Y436">
        <f t="shared" si="71"/>
        <v>15122.4</v>
      </c>
      <c r="Z436" s="6">
        <f t="shared" si="72"/>
        <v>13734.075000000003</v>
      </c>
      <c r="AA436">
        <f t="shared" si="73"/>
        <v>0.47594430712691005</v>
      </c>
      <c r="AB436" t="str">
        <f t="shared" si="74"/>
        <v>11-2024</v>
      </c>
      <c r="AC436" t="str">
        <f t="shared" si="75"/>
        <v>Q4-2024</v>
      </c>
      <c r="AD436" t="str">
        <f t="shared" si="76"/>
        <v>Americas →Canada →N/A</v>
      </c>
      <c r="AE436" t="str">
        <f t="shared" si="77"/>
        <v>High</v>
      </c>
      <c r="AF436" t="str">
        <f>TEXT(Table1[[#This Row],[OrderDate]],"MMM")</f>
        <v>Nov</v>
      </c>
      <c r="AG436" t="str">
        <f>TEXT(Table1[[#This Row],[OrderDate]],"YYYY")</f>
        <v>2024</v>
      </c>
      <c r="AI436" s="4">
        <f>IF(Table1[[#This Row],[RequiredDate]]&lt;Table1[[#This Row],[OrderDate]], Table1[[#This Row],[OrderDate]]+7, Table1[[#This Row],[RequiredDate]])</f>
        <v>45624</v>
      </c>
      <c r="AJ436">
        <f>IF(Dashboard!$D$3&gt;'Staging Data'!V436,'Staging Data'!V436,Dashboard!D$3)</f>
        <v>7.3999999999999996E-2</v>
      </c>
      <c r="AK436" s="19">
        <f>(100%+Dashboard!$D$4)*'Staging Data'!S436</f>
        <v>1058.568</v>
      </c>
      <c r="AL436">
        <f>(100%+Dashboard!$D$5)*'Staging Data'!W436</f>
        <v>17.25</v>
      </c>
    </row>
    <row r="437" spans="1:38" x14ac:dyDescent="0.35">
      <c r="A437" s="6" t="s">
        <v>153</v>
      </c>
      <c r="B437" s="4">
        <v>45616</v>
      </c>
      <c r="C437" s="4">
        <v>45641</v>
      </c>
      <c r="D437" s="4">
        <f>IF(Table1[[#This Row],[RequiredDate]]&lt;Table1[[#This Row],[OrderDate]],Table1[[#This Row],[RequiredDate]],Table1[[#This Row],[OrderDate]])</f>
        <v>45616</v>
      </c>
      <c r="E437" s="4">
        <f>IF(Table1[[#This Row],[RequiredDate]]&gt;Table1[[#This Row],[OrderDate]],Table1[[#This Row],[RequiredDate]],Table1[[#This Row],[OrderDate]])</f>
        <v>45641</v>
      </c>
      <c r="F437" s="21">
        <f>Table1[[#This Row],[New RD]]-Table1[[#This Row],[new   od]]</f>
        <v>25</v>
      </c>
      <c r="G437" s="4">
        <f>IF(Table1[[#This Row],[RequiredDate]]&lt;Table1[[#This Row],[OrderDate]], Table1[[#This Row],[OrderDate]]+7, Table1[[#This Row],[RequiredDate]])</f>
        <v>45641</v>
      </c>
      <c r="H437" s="21">
        <f t="shared" si="67"/>
        <v>25</v>
      </c>
      <c r="I437" s="6" t="str">
        <f>IF(Table1[[#This Row],[New LTD]]&lt;=7,"Yes","No")</f>
        <v>No</v>
      </c>
      <c r="J437" s="6" t="str">
        <f t="shared" si="68"/>
        <v>No</v>
      </c>
      <c r="K437" t="s">
        <v>649</v>
      </c>
      <c r="L437" t="s">
        <v>657</v>
      </c>
      <c r="M437" t="s">
        <v>690</v>
      </c>
      <c r="N437" t="s">
        <v>701</v>
      </c>
      <c r="O437" t="s">
        <v>708</v>
      </c>
      <c r="P437" t="s">
        <v>715</v>
      </c>
      <c r="Q437" t="s">
        <v>728</v>
      </c>
      <c r="R437" t="s">
        <v>872</v>
      </c>
      <c r="S437" s="6">
        <v>1203.58</v>
      </c>
      <c r="T437" s="6">
        <v>1856.16</v>
      </c>
      <c r="U437" s="6">
        <f t="shared" si="69"/>
        <v>1856.16</v>
      </c>
      <c r="V437" s="8">
        <v>0.129</v>
      </c>
      <c r="W437" s="6">
        <v>22</v>
      </c>
      <c r="X437" s="6">
        <f t="shared" si="70"/>
        <v>35567.737920000007</v>
      </c>
      <c r="Y437">
        <f t="shared" si="71"/>
        <v>26478.76</v>
      </c>
      <c r="Z437" s="6">
        <f t="shared" si="72"/>
        <v>9088.9779200000085</v>
      </c>
      <c r="AA437">
        <f t="shared" si="73"/>
        <v>0.25553994860295032</v>
      </c>
      <c r="AB437" t="str">
        <f t="shared" si="74"/>
        <v>11-2024</v>
      </c>
      <c r="AC437" t="str">
        <f t="shared" si="75"/>
        <v>Q4-2024</v>
      </c>
      <c r="AD437" t="str">
        <f t="shared" si="76"/>
        <v>Europe →France →Paris</v>
      </c>
      <c r="AE437" t="str">
        <f t="shared" si="77"/>
        <v>High</v>
      </c>
      <c r="AF437" t="str">
        <f>TEXT(Table1[[#This Row],[OrderDate]],"MMM")</f>
        <v>Nov</v>
      </c>
      <c r="AG437" t="str">
        <f>TEXT(Table1[[#This Row],[OrderDate]],"YYYY")</f>
        <v>2024</v>
      </c>
      <c r="AI437" s="4">
        <f>IF(Table1[[#This Row],[RequiredDate]]&lt;Table1[[#This Row],[OrderDate]], Table1[[#This Row],[OrderDate]]+7, Table1[[#This Row],[RequiredDate]])</f>
        <v>45641</v>
      </c>
      <c r="AJ437">
        <f>IF(Dashboard!$D$3&gt;'Staging Data'!V437,'Staging Data'!V437,Dashboard!D$3)</f>
        <v>0.129</v>
      </c>
      <c r="AK437" s="19">
        <f>(100%+Dashboard!$D$4)*'Staging Data'!S437</f>
        <v>1263.759</v>
      </c>
      <c r="AL437">
        <f>(100%+Dashboard!$D$5)*'Staging Data'!W437</f>
        <v>25.299999999999997</v>
      </c>
    </row>
    <row r="438" spans="1:38" x14ac:dyDescent="0.35">
      <c r="A438" s="6" t="s">
        <v>94</v>
      </c>
      <c r="B438" s="4">
        <v>45617</v>
      </c>
      <c r="C438" s="4">
        <v>45647</v>
      </c>
      <c r="D438" s="4">
        <f>IF(Table1[[#This Row],[RequiredDate]]&lt;Table1[[#This Row],[OrderDate]],Table1[[#This Row],[RequiredDate]],Table1[[#This Row],[OrderDate]])</f>
        <v>45617</v>
      </c>
      <c r="E438" s="4">
        <f>IF(Table1[[#This Row],[RequiredDate]]&gt;Table1[[#This Row],[OrderDate]],Table1[[#This Row],[RequiredDate]],Table1[[#This Row],[OrderDate]])</f>
        <v>45647</v>
      </c>
      <c r="F438" s="21">
        <f>Table1[[#This Row],[New RD]]-Table1[[#This Row],[new   od]]</f>
        <v>30</v>
      </c>
      <c r="G438" s="4">
        <f>IF(Table1[[#This Row],[RequiredDate]]&lt;Table1[[#This Row],[OrderDate]], Table1[[#This Row],[OrderDate]]+7, Table1[[#This Row],[RequiredDate]])</f>
        <v>45647</v>
      </c>
      <c r="H438" s="21">
        <f t="shared" si="67"/>
        <v>30</v>
      </c>
      <c r="I438" s="6" t="str">
        <f>IF(Table1[[#This Row],[New LTD]]&lt;=7,"Yes","No")</f>
        <v>No</v>
      </c>
      <c r="J438" s="6" t="str">
        <f t="shared" si="68"/>
        <v>No</v>
      </c>
      <c r="K438" t="s">
        <v>649</v>
      </c>
      <c r="L438" t="s">
        <v>657</v>
      </c>
      <c r="M438" t="s">
        <v>673</v>
      </c>
      <c r="N438" t="s">
        <v>705</v>
      </c>
      <c r="O438" t="s">
        <v>711</v>
      </c>
      <c r="P438" t="s">
        <v>714</v>
      </c>
      <c r="Q438" t="s">
        <v>732</v>
      </c>
      <c r="R438" t="s">
        <v>813</v>
      </c>
      <c r="S438" s="6">
        <v>1122.68</v>
      </c>
      <c r="T438" s="6">
        <v>1997.19</v>
      </c>
      <c r="U438" s="6">
        <f t="shared" si="69"/>
        <v>1997.19</v>
      </c>
      <c r="V438" s="8">
        <v>0.186</v>
      </c>
      <c r="W438" s="6">
        <v>3</v>
      </c>
      <c r="X438" s="6">
        <f t="shared" si="70"/>
        <v>4877.1379800000004</v>
      </c>
      <c r="Y438">
        <f t="shared" si="71"/>
        <v>3368.04</v>
      </c>
      <c r="Z438" s="6">
        <f t="shared" si="72"/>
        <v>1509.0979800000005</v>
      </c>
      <c r="AA438">
        <f t="shared" si="73"/>
        <v>0.30942285951073306</v>
      </c>
      <c r="AB438" t="str">
        <f t="shared" si="74"/>
        <v>11-2024</v>
      </c>
      <c r="AC438" t="str">
        <f t="shared" si="75"/>
        <v>Q4-2024</v>
      </c>
      <c r="AD438" t="str">
        <f t="shared" si="76"/>
        <v>Europe →France →Marseille</v>
      </c>
      <c r="AE438" t="str">
        <f t="shared" si="77"/>
        <v>High</v>
      </c>
      <c r="AF438" t="str">
        <f>TEXT(Table1[[#This Row],[OrderDate]],"MMM")</f>
        <v>Nov</v>
      </c>
      <c r="AG438" t="str">
        <f>TEXT(Table1[[#This Row],[OrderDate]],"YYYY")</f>
        <v>2024</v>
      </c>
      <c r="AI438" s="4">
        <f>IF(Table1[[#This Row],[RequiredDate]]&lt;Table1[[#This Row],[OrderDate]], Table1[[#This Row],[OrderDate]]+7, Table1[[#This Row],[RequiredDate]])</f>
        <v>45647</v>
      </c>
      <c r="AJ438">
        <f>IF(Dashboard!$D$3&gt;'Staging Data'!V438,'Staging Data'!V438,Dashboard!D$3)</f>
        <v>0.186</v>
      </c>
      <c r="AK438" s="19">
        <f>(100%+Dashboard!$D$4)*'Staging Data'!S438</f>
        <v>1178.8140000000001</v>
      </c>
      <c r="AL438">
        <f>(100%+Dashboard!$D$5)*'Staging Data'!W438</f>
        <v>3.4499999999999997</v>
      </c>
    </row>
    <row r="439" spans="1:38" x14ac:dyDescent="0.35">
      <c r="A439" s="6" t="s">
        <v>479</v>
      </c>
      <c r="B439" s="4">
        <v>45618</v>
      </c>
      <c r="C439" s="4">
        <v>45641</v>
      </c>
      <c r="D439" s="4">
        <f>IF(Table1[[#This Row],[RequiredDate]]&lt;Table1[[#This Row],[OrderDate]],Table1[[#This Row],[RequiredDate]],Table1[[#This Row],[OrderDate]])</f>
        <v>45618</v>
      </c>
      <c r="E439" s="4">
        <f>IF(Table1[[#This Row],[RequiredDate]]&gt;Table1[[#This Row],[OrderDate]],Table1[[#This Row],[RequiredDate]],Table1[[#This Row],[OrderDate]])</f>
        <v>45641</v>
      </c>
      <c r="F439" s="21">
        <f>Table1[[#This Row],[New RD]]-Table1[[#This Row],[new   od]]</f>
        <v>23</v>
      </c>
      <c r="G439" s="4">
        <f>IF(Table1[[#This Row],[RequiredDate]]&lt;Table1[[#This Row],[OrderDate]], Table1[[#This Row],[OrderDate]]+7, Table1[[#This Row],[RequiredDate]])</f>
        <v>45641</v>
      </c>
      <c r="H439" s="21">
        <f t="shared" si="67"/>
        <v>23</v>
      </c>
      <c r="I439" s="6" t="str">
        <f>IF(Table1[[#This Row],[New LTD]]&lt;=7,"Yes","No")</f>
        <v>No</v>
      </c>
      <c r="J439" s="6" t="str">
        <f t="shared" si="68"/>
        <v>Yes</v>
      </c>
      <c r="K439" t="s">
        <v>646</v>
      </c>
      <c r="L439" t="s">
        <v>650</v>
      </c>
      <c r="M439" t="s">
        <v>675</v>
      </c>
      <c r="N439" t="s">
        <v>703</v>
      </c>
      <c r="O439" t="s">
        <v>710</v>
      </c>
      <c r="P439" t="s">
        <v>712</v>
      </c>
      <c r="Q439" t="s">
        <v>727</v>
      </c>
      <c r="R439" t="s">
        <v>1198</v>
      </c>
      <c r="S439" s="6">
        <v>1335.76</v>
      </c>
      <c r="T439" s="6">
        <v>2665.91</v>
      </c>
      <c r="U439" s="6">
        <f t="shared" si="69"/>
        <v>2665.91</v>
      </c>
      <c r="V439" s="8">
        <v>0.21099999999999999</v>
      </c>
      <c r="W439" s="6">
        <v>40</v>
      </c>
      <c r="X439" s="6">
        <f t="shared" si="70"/>
        <v>84136.119600000005</v>
      </c>
      <c r="Y439">
        <f t="shared" si="71"/>
        <v>53430.400000000001</v>
      </c>
      <c r="Z439" s="6">
        <f t="shared" si="72"/>
        <v>30705.719600000004</v>
      </c>
      <c r="AA439">
        <f t="shared" si="73"/>
        <v>0.36495288522909253</v>
      </c>
      <c r="AB439" t="str">
        <f t="shared" si="74"/>
        <v>11-2024</v>
      </c>
      <c r="AC439" t="str">
        <f t="shared" si="75"/>
        <v>Q4-2024</v>
      </c>
      <c r="AD439" t="str">
        <f t="shared" si="76"/>
        <v>Africa →Kenya →Mombasa</v>
      </c>
      <c r="AE439" t="str">
        <f t="shared" si="77"/>
        <v>High</v>
      </c>
      <c r="AF439" t="str">
        <f>TEXT(Table1[[#This Row],[OrderDate]],"MMM")</f>
        <v>Nov</v>
      </c>
      <c r="AG439" t="str">
        <f>TEXT(Table1[[#This Row],[OrderDate]],"YYYY")</f>
        <v>2024</v>
      </c>
      <c r="AI439" s="4">
        <f>IF(Table1[[#This Row],[RequiredDate]]&lt;Table1[[#This Row],[OrderDate]], Table1[[#This Row],[OrderDate]]+7, Table1[[#This Row],[RequiredDate]])</f>
        <v>45641</v>
      </c>
      <c r="AJ439">
        <f>IF(Dashboard!$D$3&gt;'Staging Data'!V439,'Staging Data'!V439,Dashboard!D$3)</f>
        <v>0.2</v>
      </c>
      <c r="AK439" s="19">
        <f>(100%+Dashboard!$D$4)*'Staging Data'!S439</f>
        <v>1402.548</v>
      </c>
      <c r="AL439">
        <f>(100%+Dashboard!$D$5)*'Staging Data'!W439</f>
        <v>46</v>
      </c>
    </row>
    <row r="440" spans="1:38" x14ac:dyDescent="0.35">
      <c r="A440" s="6" t="s">
        <v>372</v>
      </c>
      <c r="B440" s="4">
        <v>45621</v>
      </c>
      <c r="C440" s="4">
        <v>45633</v>
      </c>
      <c r="D440" s="4">
        <f>IF(Table1[[#This Row],[RequiredDate]]&lt;Table1[[#This Row],[OrderDate]],Table1[[#This Row],[RequiredDate]],Table1[[#This Row],[OrderDate]])</f>
        <v>45621</v>
      </c>
      <c r="E440" s="4">
        <f>IF(Table1[[#This Row],[RequiredDate]]&gt;Table1[[#This Row],[OrderDate]],Table1[[#This Row],[RequiredDate]],Table1[[#This Row],[OrderDate]])</f>
        <v>45633</v>
      </c>
      <c r="F440" s="21">
        <f>Table1[[#This Row],[New RD]]-Table1[[#This Row],[new   od]]</f>
        <v>12</v>
      </c>
      <c r="G440" s="4">
        <f>IF(Table1[[#This Row],[RequiredDate]]&lt;Table1[[#This Row],[OrderDate]], Table1[[#This Row],[OrderDate]]+7, Table1[[#This Row],[RequiredDate]])</f>
        <v>45633</v>
      </c>
      <c r="H440" s="21">
        <f t="shared" si="67"/>
        <v>12</v>
      </c>
      <c r="I440" s="6" t="str">
        <f>IF(Table1[[#This Row],[New LTD]]&lt;=7,"Yes","No")</f>
        <v>No</v>
      </c>
      <c r="J440" s="6" t="str">
        <f t="shared" si="68"/>
        <v>No</v>
      </c>
      <c r="K440" t="s">
        <v>647</v>
      </c>
      <c r="L440" t="s">
        <v>659</v>
      </c>
      <c r="M440" t="s">
        <v>685</v>
      </c>
      <c r="N440" t="s">
        <v>701</v>
      </c>
      <c r="O440" t="s">
        <v>710</v>
      </c>
      <c r="P440" t="s">
        <v>720</v>
      </c>
      <c r="Q440" t="s">
        <v>733</v>
      </c>
      <c r="R440" t="s">
        <v>1092</v>
      </c>
      <c r="S440" s="6">
        <v>769.9</v>
      </c>
      <c r="T440" s="6">
        <v>814.36</v>
      </c>
      <c r="U440" s="6">
        <f t="shared" si="69"/>
        <v>814.36</v>
      </c>
      <c r="V440" s="8">
        <v>0</v>
      </c>
      <c r="W440" s="6">
        <v>5</v>
      </c>
      <c r="X440" s="6">
        <f t="shared" si="70"/>
        <v>4071.8</v>
      </c>
      <c r="Y440">
        <f t="shared" si="71"/>
        <v>3849.5</v>
      </c>
      <c r="Z440" s="6">
        <f t="shared" si="72"/>
        <v>222.30000000000018</v>
      </c>
      <c r="AA440">
        <f t="shared" si="73"/>
        <v>5.4595019401738831E-2</v>
      </c>
      <c r="AB440" t="str">
        <f t="shared" si="74"/>
        <v>11-2024</v>
      </c>
      <c r="AC440" t="str">
        <f t="shared" si="75"/>
        <v>Q4-2024</v>
      </c>
      <c r="AD440" t="str">
        <f t="shared" si="76"/>
        <v>Asia →China →Shanghai</v>
      </c>
      <c r="AE440" t="str">
        <f t="shared" si="77"/>
        <v>Low</v>
      </c>
      <c r="AF440" t="str">
        <f>TEXT(Table1[[#This Row],[OrderDate]],"MMM")</f>
        <v>Nov</v>
      </c>
      <c r="AG440" t="str">
        <f>TEXT(Table1[[#This Row],[OrderDate]],"YYYY")</f>
        <v>2024</v>
      </c>
      <c r="AI440" s="4">
        <f>IF(Table1[[#This Row],[RequiredDate]]&lt;Table1[[#This Row],[OrderDate]], Table1[[#This Row],[OrderDate]]+7, Table1[[#This Row],[RequiredDate]])</f>
        <v>45633</v>
      </c>
      <c r="AJ440">
        <f>IF(Dashboard!$D$3&gt;'Staging Data'!V440,'Staging Data'!V440,Dashboard!D$3)</f>
        <v>0</v>
      </c>
      <c r="AK440" s="19">
        <f>(100%+Dashboard!$D$4)*'Staging Data'!S440</f>
        <v>808.39499999999998</v>
      </c>
      <c r="AL440">
        <f>(100%+Dashboard!$D$5)*'Staging Data'!W440</f>
        <v>5.75</v>
      </c>
    </row>
    <row r="441" spans="1:38" x14ac:dyDescent="0.35">
      <c r="A441" s="6" t="s">
        <v>622</v>
      </c>
      <c r="B441" s="4">
        <v>45623</v>
      </c>
      <c r="C441" s="4">
        <v>45650</v>
      </c>
      <c r="D441" s="4">
        <f>IF(Table1[[#This Row],[RequiredDate]]&lt;Table1[[#This Row],[OrderDate]],Table1[[#This Row],[RequiredDate]],Table1[[#This Row],[OrderDate]])</f>
        <v>45623</v>
      </c>
      <c r="E441" s="4">
        <f>IF(Table1[[#This Row],[RequiredDate]]&gt;Table1[[#This Row],[OrderDate]],Table1[[#This Row],[RequiredDate]],Table1[[#This Row],[OrderDate]])</f>
        <v>45650</v>
      </c>
      <c r="F441" s="21">
        <f>Table1[[#This Row],[New RD]]-Table1[[#This Row],[new   od]]</f>
        <v>27</v>
      </c>
      <c r="G441" s="4">
        <f>IF(Table1[[#This Row],[RequiredDate]]&lt;Table1[[#This Row],[OrderDate]], Table1[[#This Row],[OrderDate]]+7, Table1[[#This Row],[RequiredDate]])</f>
        <v>45650</v>
      </c>
      <c r="H441" s="21">
        <f t="shared" si="67"/>
        <v>27</v>
      </c>
      <c r="I441" s="6" t="str">
        <f>IF(Table1[[#This Row],[New LTD]]&lt;=7,"Yes","No")</f>
        <v>No</v>
      </c>
      <c r="J441" s="6" t="str">
        <f t="shared" si="68"/>
        <v>No</v>
      </c>
      <c r="K441" t="s">
        <v>646</v>
      </c>
      <c r="L441" t="s">
        <v>650</v>
      </c>
      <c r="M441" t="s">
        <v>675</v>
      </c>
      <c r="N441" t="s">
        <v>701</v>
      </c>
      <c r="O441" t="s">
        <v>710</v>
      </c>
      <c r="P441" t="s">
        <v>717</v>
      </c>
      <c r="Q441" t="s">
        <v>728</v>
      </c>
      <c r="R441" t="s">
        <v>1340</v>
      </c>
      <c r="S441" s="6">
        <v>143.33000000000001</v>
      </c>
      <c r="T441" s="6">
        <v>233.51</v>
      </c>
      <c r="U441" s="6">
        <f t="shared" si="69"/>
        <v>233.51</v>
      </c>
      <c r="V441" s="8">
        <v>0.16300000000000001</v>
      </c>
      <c r="W441" s="6">
        <v>14</v>
      </c>
      <c r="X441" s="6">
        <f t="shared" si="70"/>
        <v>2736.27018</v>
      </c>
      <c r="Y441">
        <f t="shared" si="71"/>
        <v>2006.6200000000001</v>
      </c>
      <c r="Z441" s="6">
        <f t="shared" si="72"/>
        <v>729.65017999999986</v>
      </c>
      <c r="AA441">
        <f t="shared" si="73"/>
        <v>0.26665867476580835</v>
      </c>
      <c r="AB441" t="str">
        <f t="shared" si="74"/>
        <v>11-2024</v>
      </c>
      <c r="AC441" t="str">
        <f t="shared" si="75"/>
        <v>Q4-2024</v>
      </c>
      <c r="AD441" t="str">
        <f t="shared" si="76"/>
        <v>Africa →Kenya →Mombasa</v>
      </c>
      <c r="AE441" t="str">
        <f t="shared" si="77"/>
        <v>Low</v>
      </c>
      <c r="AF441" t="str">
        <f>TEXT(Table1[[#This Row],[OrderDate]],"MMM")</f>
        <v>Nov</v>
      </c>
      <c r="AG441" t="str">
        <f>TEXT(Table1[[#This Row],[OrderDate]],"YYYY")</f>
        <v>2024</v>
      </c>
      <c r="AI441" s="4">
        <f>IF(Table1[[#This Row],[RequiredDate]]&lt;Table1[[#This Row],[OrderDate]], Table1[[#This Row],[OrderDate]]+7, Table1[[#This Row],[RequiredDate]])</f>
        <v>45650</v>
      </c>
      <c r="AJ441">
        <f>IF(Dashboard!$D$3&gt;'Staging Data'!V441,'Staging Data'!V441,Dashboard!D$3)</f>
        <v>0.16300000000000001</v>
      </c>
      <c r="AK441" s="19">
        <f>(100%+Dashboard!$D$4)*'Staging Data'!S441</f>
        <v>150.49650000000003</v>
      </c>
      <c r="AL441">
        <f>(100%+Dashboard!$D$5)*'Staging Data'!W441</f>
        <v>16.099999999999998</v>
      </c>
    </row>
    <row r="442" spans="1:38" x14ac:dyDescent="0.35">
      <c r="A442" s="6" t="s">
        <v>41</v>
      </c>
      <c r="B442" s="4">
        <v>45626</v>
      </c>
      <c r="C442" s="4">
        <v>45656</v>
      </c>
      <c r="D442" s="4">
        <f>IF(Table1[[#This Row],[RequiredDate]]&lt;Table1[[#This Row],[OrderDate]],Table1[[#This Row],[RequiredDate]],Table1[[#This Row],[OrderDate]])</f>
        <v>45626</v>
      </c>
      <c r="E442" s="4">
        <f>IF(Table1[[#This Row],[RequiredDate]]&gt;Table1[[#This Row],[OrderDate]],Table1[[#This Row],[RequiredDate]],Table1[[#This Row],[OrderDate]])</f>
        <v>45656</v>
      </c>
      <c r="F442" s="21">
        <f>Table1[[#This Row],[New RD]]-Table1[[#This Row],[new   od]]</f>
        <v>30</v>
      </c>
      <c r="G442" s="4">
        <f>IF(Table1[[#This Row],[RequiredDate]]&lt;Table1[[#This Row],[OrderDate]], Table1[[#This Row],[OrderDate]]+7, Table1[[#This Row],[RequiredDate]])</f>
        <v>45656</v>
      </c>
      <c r="H442" s="21">
        <f t="shared" si="67"/>
        <v>30</v>
      </c>
      <c r="I442" s="6" t="str">
        <f>IF(Table1[[#This Row],[New LTD]]&lt;=7,"Yes","No")</f>
        <v>No</v>
      </c>
      <c r="J442" s="6" t="str">
        <f t="shared" si="68"/>
        <v>No</v>
      </c>
      <c r="K442" t="s">
        <v>649</v>
      </c>
      <c r="L442" t="s">
        <v>657</v>
      </c>
      <c r="M442" t="s">
        <v>673</v>
      </c>
      <c r="N442" t="s">
        <v>704</v>
      </c>
      <c r="O442" t="s">
        <v>709</v>
      </c>
      <c r="P442" t="s">
        <v>721</v>
      </c>
      <c r="Q442" t="s">
        <v>728</v>
      </c>
      <c r="R442" t="s">
        <v>760</v>
      </c>
      <c r="S442" s="6">
        <v>117.64</v>
      </c>
      <c r="T442" s="6">
        <v>175.67</v>
      </c>
      <c r="U442" s="6">
        <f t="shared" si="69"/>
        <v>175.67</v>
      </c>
      <c r="V442" s="8">
        <v>0</v>
      </c>
      <c r="W442" s="6">
        <v>10</v>
      </c>
      <c r="X442" s="6">
        <f t="shared" si="70"/>
        <v>1756.6999999999998</v>
      </c>
      <c r="Y442">
        <f t="shared" si="71"/>
        <v>1176.4000000000001</v>
      </c>
      <c r="Z442" s="6">
        <f t="shared" si="72"/>
        <v>580.29999999999973</v>
      </c>
      <c r="AA442">
        <f t="shared" si="73"/>
        <v>0.33033528775545046</v>
      </c>
      <c r="AB442" t="str">
        <f t="shared" si="74"/>
        <v>11-2024</v>
      </c>
      <c r="AC442" t="str">
        <f t="shared" si="75"/>
        <v>Q4-2024</v>
      </c>
      <c r="AD442" t="str">
        <f t="shared" si="76"/>
        <v>Europe →France →Marseille</v>
      </c>
      <c r="AE442" t="str">
        <f t="shared" si="77"/>
        <v>Low</v>
      </c>
      <c r="AF442" t="str">
        <f>TEXT(Table1[[#This Row],[OrderDate]],"MMM")</f>
        <v>Nov</v>
      </c>
      <c r="AG442" t="str">
        <f>TEXT(Table1[[#This Row],[OrderDate]],"YYYY")</f>
        <v>2024</v>
      </c>
      <c r="AI442" s="4">
        <f>IF(Table1[[#This Row],[RequiredDate]]&lt;Table1[[#This Row],[OrderDate]], Table1[[#This Row],[OrderDate]]+7, Table1[[#This Row],[RequiredDate]])</f>
        <v>45656</v>
      </c>
      <c r="AJ442">
        <f>IF(Dashboard!$D$3&gt;'Staging Data'!V442,'Staging Data'!V442,Dashboard!D$3)</f>
        <v>0</v>
      </c>
      <c r="AK442" s="19">
        <f>(100%+Dashboard!$D$4)*'Staging Data'!S442</f>
        <v>123.52200000000001</v>
      </c>
      <c r="AL442">
        <f>(100%+Dashboard!$D$5)*'Staging Data'!W442</f>
        <v>11.5</v>
      </c>
    </row>
    <row r="443" spans="1:38" x14ac:dyDescent="0.35">
      <c r="A443" s="6" t="s">
        <v>430</v>
      </c>
      <c r="B443" s="4">
        <v>45626</v>
      </c>
      <c r="C443" s="4">
        <v>45636</v>
      </c>
      <c r="D443" s="4">
        <f>IF(Table1[[#This Row],[RequiredDate]]&lt;Table1[[#This Row],[OrderDate]],Table1[[#This Row],[RequiredDate]],Table1[[#This Row],[OrderDate]])</f>
        <v>45626</v>
      </c>
      <c r="E443" s="4">
        <f>IF(Table1[[#This Row],[RequiredDate]]&gt;Table1[[#This Row],[OrderDate]],Table1[[#This Row],[RequiredDate]],Table1[[#This Row],[OrderDate]])</f>
        <v>45636</v>
      </c>
      <c r="F443" s="21">
        <f>Table1[[#This Row],[New RD]]-Table1[[#This Row],[new   od]]</f>
        <v>10</v>
      </c>
      <c r="G443" s="4">
        <f>IF(Table1[[#This Row],[RequiredDate]]&lt;Table1[[#This Row],[OrderDate]], Table1[[#This Row],[OrderDate]]+7, Table1[[#This Row],[RequiredDate]])</f>
        <v>45636</v>
      </c>
      <c r="H443" s="21">
        <f t="shared" si="67"/>
        <v>10</v>
      </c>
      <c r="I443" s="6" t="str">
        <f>IF(Table1[[#This Row],[New LTD]]&lt;=7,"Yes","No")</f>
        <v>No</v>
      </c>
      <c r="J443" s="6" t="str">
        <f t="shared" si="68"/>
        <v>Yes</v>
      </c>
      <c r="K443" t="s">
        <v>647</v>
      </c>
      <c r="L443" t="s">
        <v>654</v>
      </c>
      <c r="M443" t="s">
        <v>696</v>
      </c>
      <c r="N443" t="s">
        <v>705</v>
      </c>
      <c r="O443" t="s">
        <v>707</v>
      </c>
      <c r="P443" t="s">
        <v>721</v>
      </c>
      <c r="Q443" t="s">
        <v>733</v>
      </c>
      <c r="R443" t="s">
        <v>1149</v>
      </c>
      <c r="S443" s="6">
        <v>851.49</v>
      </c>
      <c r="T443" s="6">
        <v>901.79</v>
      </c>
      <c r="U443" s="6">
        <f t="shared" si="69"/>
        <v>901.79</v>
      </c>
      <c r="V443" s="8">
        <v>0.245</v>
      </c>
      <c r="W443" s="6">
        <v>16</v>
      </c>
      <c r="X443" s="6">
        <f t="shared" si="70"/>
        <v>10893.6232</v>
      </c>
      <c r="Y443">
        <f t="shared" si="71"/>
        <v>13623.84</v>
      </c>
      <c r="Z443" s="6">
        <f t="shared" si="72"/>
        <v>-2730.2168000000001</v>
      </c>
      <c r="AA443">
        <f t="shared" si="73"/>
        <v>-0.25062522816100341</v>
      </c>
      <c r="AB443" t="str">
        <f t="shared" si="74"/>
        <v>11-2024</v>
      </c>
      <c r="AC443" t="str">
        <f t="shared" si="75"/>
        <v>Q4-2024</v>
      </c>
      <c r="AD443" t="str">
        <f t="shared" si="76"/>
        <v>Asia →India →Hyderabad</v>
      </c>
      <c r="AE443" t="str">
        <f t="shared" si="77"/>
        <v>Medium</v>
      </c>
      <c r="AF443" t="str">
        <f>TEXT(Table1[[#This Row],[OrderDate]],"MMM")</f>
        <v>Nov</v>
      </c>
      <c r="AG443" t="str">
        <f>TEXT(Table1[[#This Row],[OrderDate]],"YYYY")</f>
        <v>2024</v>
      </c>
      <c r="AI443" s="4">
        <f>IF(Table1[[#This Row],[RequiredDate]]&lt;Table1[[#This Row],[OrderDate]], Table1[[#This Row],[OrderDate]]+7, Table1[[#This Row],[RequiredDate]])</f>
        <v>45636</v>
      </c>
      <c r="AJ443">
        <f>IF(Dashboard!$D$3&gt;'Staging Data'!V443,'Staging Data'!V443,Dashboard!D$3)</f>
        <v>0.2</v>
      </c>
      <c r="AK443" s="19">
        <f>(100%+Dashboard!$D$4)*'Staging Data'!S443</f>
        <v>894.06450000000007</v>
      </c>
      <c r="AL443">
        <f>(100%+Dashboard!$D$5)*'Staging Data'!W443</f>
        <v>18.399999999999999</v>
      </c>
    </row>
    <row r="444" spans="1:38" x14ac:dyDescent="0.35">
      <c r="A444" s="6" t="s">
        <v>576</v>
      </c>
      <c r="B444" s="4">
        <v>45626</v>
      </c>
      <c r="C444" s="4">
        <v>45645</v>
      </c>
      <c r="D444" s="4">
        <f>IF(Table1[[#This Row],[RequiredDate]]&lt;Table1[[#This Row],[OrderDate]],Table1[[#This Row],[RequiredDate]],Table1[[#This Row],[OrderDate]])</f>
        <v>45626</v>
      </c>
      <c r="E444" s="4">
        <f>IF(Table1[[#This Row],[RequiredDate]]&gt;Table1[[#This Row],[OrderDate]],Table1[[#This Row],[RequiredDate]],Table1[[#This Row],[OrderDate]])</f>
        <v>45645</v>
      </c>
      <c r="F444" s="21">
        <f>Table1[[#This Row],[New RD]]-Table1[[#This Row],[new   od]]</f>
        <v>19</v>
      </c>
      <c r="G444" s="4">
        <f>IF(Table1[[#This Row],[RequiredDate]]&lt;Table1[[#This Row],[OrderDate]], Table1[[#This Row],[OrderDate]]+7, Table1[[#This Row],[RequiredDate]])</f>
        <v>45645</v>
      </c>
      <c r="H444" s="21">
        <f t="shared" si="67"/>
        <v>19</v>
      </c>
      <c r="I444" s="6" t="str">
        <f>IF(Table1[[#This Row],[New LTD]]&lt;=7,"Yes","No")</f>
        <v>No</v>
      </c>
      <c r="J444" s="6" t="str">
        <f t="shared" si="68"/>
        <v>No</v>
      </c>
      <c r="K444" t="s">
        <v>646</v>
      </c>
      <c r="L444" t="s">
        <v>650</v>
      </c>
      <c r="M444" t="s">
        <v>662</v>
      </c>
      <c r="N444" t="s">
        <v>701</v>
      </c>
      <c r="O444" t="s">
        <v>708</v>
      </c>
      <c r="P444" t="s">
        <v>716</v>
      </c>
      <c r="Q444" t="s">
        <v>730</v>
      </c>
      <c r="R444" t="s">
        <v>1294</v>
      </c>
      <c r="S444" s="6">
        <v>1195.98</v>
      </c>
      <c r="T444" s="6">
        <v>1841.9</v>
      </c>
      <c r="U444" s="6">
        <f t="shared" si="69"/>
        <v>1841.9</v>
      </c>
      <c r="V444" s="8">
        <v>5.5E-2</v>
      </c>
      <c r="W444" s="6">
        <v>19</v>
      </c>
      <c r="X444" s="6">
        <f t="shared" si="70"/>
        <v>33071.3145</v>
      </c>
      <c r="Y444">
        <f t="shared" si="71"/>
        <v>22723.62</v>
      </c>
      <c r="Z444" s="6">
        <f t="shared" si="72"/>
        <v>10347.694500000001</v>
      </c>
      <c r="AA444">
        <f t="shared" si="73"/>
        <v>0.31289032977506842</v>
      </c>
      <c r="AB444" t="str">
        <f t="shared" si="74"/>
        <v>11-2024</v>
      </c>
      <c r="AC444" t="str">
        <f t="shared" si="75"/>
        <v>Q4-2024</v>
      </c>
      <c r="AD444" t="str">
        <f t="shared" si="76"/>
        <v>Africa →Kenya →Kisumu</v>
      </c>
      <c r="AE444" t="str">
        <f t="shared" si="77"/>
        <v>High</v>
      </c>
      <c r="AF444" t="str">
        <f>TEXT(Table1[[#This Row],[OrderDate]],"MMM")</f>
        <v>Nov</v>
      </c>
      <c r="AG444" t="str">
        <f>TEXT(Table1[[#This Row],[OrderDate]],"YYYY")</f>
        <v>2024</v>
      </c>
      <c r="AI444" s="4">
        <f>IF(Table1[[#This Row],[RequiredDate]]&lt;Table1[[#This Row],[OrderDate]], Table1[[#This Row],[OrderDate]]+7, Table1[[#This Row],[RequiredDate]])</f>
        <v>45645</v>
      </c>
      <c r="AJ444">
        <f>IF(Dashboard!$D$3&gt;'Staging Data'!V444,'Staging Data'!V444,Dashboard!D$3)</f>
        <v>5.5E-2</v>
      </c>
      <c r="AK444" s="19">
        <f>(100%+Dashboard!$D$4)*'Staging Data'!S444</f>
        <v>1255.779</v>
      </c>
      <c r="AL444">
        <f>(100%+Dashboard!$D$5)*'Staging Data'!W444</f>
        <v>21.849999999999998</v>
      </c>
    </row>
    <row r="445" spans="1:38" x14ac:dyDescent="0.35">
      <c r="A445" s="6" t="s">
        <v>257</v>
      </c>
      <c r="B445" s="4">
        <v>45630</v>
      </c>
      <c r="C445" s="4">
        <v>45638</v>
      </c>
      <c r="D445" s="4">
        <f>IF(Table1[[#This Row],[RequiredDate]]&lt;Table1[[#This Row],[OrderDate]],Table1[[#This Row],[RequiredDate]],Table1[[#This Row],[OrderDate]])</f>
        <v>45630</v>
      </c>
      <c r="E445" s="4">
        <f>IF(Table1[[#This Row],[RequiredDate]]&gt;Table1[[#This Row],[OrderDate]],Table1[[#This Row],[RequiredDate]],Table1[[#This Row],[OrderDate]])</f>
        <v>45638</v>
      </c>
      <c r="F445" s="21">
        <f>Table1[[#This Row],[New RD]]-Table1[[#This Row],[new   od]]</f>
        <v>8</v>
      </c>
      <c r="G445" s="4">
        <f>IF(Table1[[#This Row],[RequiredDate]]&lt;Table1[[#This Row],[OrderDate]], Table1[[#This Row],[OrderDate]]+7, Table1[[#This Row],[RequiredDate]])</f>
        <v>45638</v>
      </c>
      <c r="H445" s="21">
        <f t="shared" si="67"/>
        <v>8</v>
      </c>
      <c r="I445" s="6" t="str">
        <f>IF(Table1[[#This Row],[New LTD]]&lt;=7,"Yes","No")</f>
        <v>No</v>
      </c>
      <c r="J445" s="6" t="str">
        <f t="shared" si="68"/>
        <v>Yes</v>
      </c>
      <c r="K445" t="s">
        <v>649</v>
      </c>
      <c r="L445" t="s">
        <v>656</v>
      </c>
      <c r="M445" t="s">
        <v>698</v>
      </c>
      <c r="N445" t="s">
        <v>706</v>
      </c>
      <c r="O445" t="s">
        <v>709</v>
      </c>
      <c r="P445" t="s">
        <v>717</v>
      </c>
      <c r="Q445" t="s">
        <v>728</v>
      </c>
      <c r="R445" t="s">
        <v>977</v>
      </c>
      <c r="S445" s="6">
        <v>72.06</v>
      </c>
      <c r="T445" s="6">
        <v>122.74</v>
      </c>
      <c r="U445" s="6">
        <f t="shared" si="69"/>
        <v>122.74</v>
      </c>
      <c r="V445" s="8">
        <v>0.23799999999999999</v>
      </c>
      <c r="W445" s="6">
        <v>8</v>
      </c>
      <c r="X445" s="6">
        <f t="shared" si="70"/>
        <v>748.22303999999997</v>
      </c>
      <c r="Y445">
        <f t="shared" si="71"/>
        <v>576.48</v>
      </c>
      <c r="Z445" s="6">
        <f t="shared" si="72"/>
        <v>171.74303999999995</v>
      </c>
      <c r="AA445">
        <f t="shared" si="73"/>
        <v>0.22953455162246802</v>
      </c>
      <c r="AB445" t="str">
        <f t="shared" si="74"/>
        <v>12-2024</v>
      </c>
      <c r="AC445" t="str">
        <f t="shared" si="75"/>
        <v>Q4-2024</v>
      </c>
      <c r="AD445" t="str">
        <f t="shared" si="76"/>
        <v>Europe →Germany →Frankfurt</v>
      </c>
      <c r="AE445" t="str">
        <f t="shared" si="77"/>
        <v>Low</v>
      </c>
      <c r="AF445" t="str">
        <f>TEXT(Table1[[#This Row],[OrderDate]],"MMM")</f>
        <v>Dec</v>
      </c>
      <c r="AG445" t="str">
        <f>TEXT(Table1[[#This Row],[OrderDate]],"YYYY")</f>
        <v>2024</v>
      </c>
      <c r="AI445" s="4">
        <f>IF(Table1[[#This Row],[RequiredDate]]&lt;Table1[[#This Row],[OrderDate]], Table1[[#This Row],[OrderDate]]+7, Table1[[#This Row],[RequiredDate]])</f>
        <v>45638</v>
      </c>
      <c r="AJ445">
        <f>IF(Dashboard!$D$3&gt;'Staging Data'!V445,'Staging Data'!V445,Dashboard!D$3)</f>
        <v>0.2</v>
      </c>
      <c r="AK445" s="19">
        <f>(100%+Dashboard!$D$4)*'Staging Data'!S445</f>
        <v>75.663000000000011</v>
      </c>
      <c r="AL445">
        <f>(100%+Dashboard!$D$5)*'Staging Data'!W445</f>
        <v>9.1999999999999993</v>
      </c>
    </row>
    <row r="446" spans="1:38" x14ac:dyDescent="0.35">
      <c r="A446" s="6" t="s">
        <v>118</v>
      </c>
      <c r="B446" s="4">
        <v>45631</v>
      </c>
      <c r="C446" s="4">
        <v>45654</v>
      </c>
      <c r="D446" s="4">
        <f>IF(Table1[[#This Row],[RequiredDate]]&lt;Table1[[#This Row],[OrderDate]],Table1[[#This Row],[RequiredDate]],Table1[[#This Row],[OrderDate]])</f>
        <v>45631</v>
      </c>
      <c r="E446" s="4">
        <f>IF(Table1[[#This Row],[RequiredDate]]&gt;Table1[[#This Row],[OrderDate]],Table1[[#This Row],[RequiredDate]],Table1[[#This Row],[OrderDate]])</f>
        <v>45654</v>
      </c>
      <c r="F446" s="21">
        <f>Table1[[#This Row],[New RD]]-Table1[[#This Row],[new   od]]</f>
        <v>23</v>
      </c>
      <c r="G446" s="4">
        <f>IF(Table1[[#This Row],[RequiredDate]]&lt;Table1[[#This Row],[OrderDate]], Table1[[#This Row],[OrderDate]]+7, Table1[[#This Row],[RequiredDate]])</f>
        <v>45654</v>
      </c>
      <c r="H446" s="21">
        <f t="shared" si="67"/>
        <v>23</v>
      </c>
      <c r="I446" s="6" t="str">
        <f>IF(Table1[[#This Row],[New LTD]]&lt;=7,"Yes","No")</f>
        <v>No</v>
      </c>
      <c r="J446" s="6" t="str">
        <f t="shared" si="68"/>
        <v>No</v>
      </c>
      <c r="K446" t="s">
        <v>648</v>
      </c>
      <c r="L446" t="s">
        <v>653</v>
      </c>
      <c r="M446" t="s">
        <v>688</v>
      </c>
      <c r="N446" t="s">
        <v>701</v>
      </c>
      <c r="O446" t="s">
        <v>711</v>
      </c>
      <c r="P446" t="s">
        <v>721</v>
      </c>
      <c r="Q446" t="s">
        <v>733</v>
      </c>
      <c r="R446" t="s">
        <v>837</v>
      </c>
      <c r="S446" s="6">
        <v>107.03</v>
      </c>
      <c r="T446" s="6">
        <v>242.29</v>
      </c>
      <c r="U446" s="6">
        <f t="shared" si="69"/>
        <v>242.29</v>
      </c>
      <c r="V446" s="8">
        <v>0.18</v>
      </c>
      <c r="W446" s="6">
        <v>30</v>
      </c>
      <c r="X446" s="6">
        <f t="shared" si="70"/>
        <v>5960.3340000000007</v>
      </c>
      <c r="Y446">
        <f t="shared" si="71"/>
        <v>3210.9</v>
      </c>
      <c r="Z446" s="6">
        <f t="shared" si="72"/>
        <v>2749.4340000000007</v>
      </c>
      <c r="AA446">
        <f t="shared" si="73"/>
        <v>0.46128857879440988</v>
      </c>
      <c r="AB446" t="str">
        <f t="shared" si="74"/>
        <v>12-2024</v>
      </c>
      <c r="AC446" t="str">
        <f t="shared" si="75"/>
        <v>Q4-2024</v>
      </c>
      <c r="AD446" t="str">
        <f t="shared" si="76"/>
        <v>Americas →Canada →Vancouver</v>
      </c>
      <c r="AE446" t="str">
        <f t="shared" si="77"/>
        <v>Low</v>
      </c>
      <c r="AF446" t="str">
        <f>TEXT(Table1[[#This Row],[OrderDate]],"MMM")</f>
        <v>Dec</v>
      </c>
      <c r="AG446" t="str">
        <f>TEXT(Table1[[#This Row],[OrderDate]],"YYYY")</f>
        <v>2024</v>
      </c>
      <c r="AI446" s="4">
        <f>IF(Table1[[#This Row],[RequiredDate]]&lt;Table1[[#This Row],[OrderDate]], Table1[[#This Row],[OrderDate]]+7, Table1[[#This Row],[RequiredDate]])</f>
        <v>45654</v>
      </c>
      <c r="AJ446">
        <f>IF(Dashboard!$D$3&gt;'Staging Data'!V446,'Staging Data'!V446,Dashboard!D$3)</f>
        <v>0.18</v>
      </c>
      <c r="AK446" s="19">
        <f>(100%+Dashboard!$D$4)*'Staging Data'!S446</f>
        <v>112.3815</v>
      </c>
      <c r="AL446">
        <f>(100%+Dashboard!$D$5)*'Staging Data'!W446</f>
        <v>34.5</v>
      </c>
    </row>
    <row r="447" spans="1:38" x14ac:dyDescent="0.35">
      <c r="A447" s="6" t="s">
        <v>564</v>
      </c>
      <c r="B447" s="4">
        <v>45633</v>
      </c>
      <c r="C447" s="4">
        <v>45652</v>
      </c>
      <c r="D447" s="4">
        <f>IF(Table1[[#This Row],[RequiredDate]]&lt;Table1[[#This Row],[OrderDate]],Table1[[#This Row],[RequiredDate]],Table1[[#This Row],[OrderDate]])</f>
        <v>45633</v>
      </c>
      <c r="E447" s="4">
        <f>IF(Table1[[#This Row],[RequiredDate]]&gt;Table1[[#This Row],[OrderDate]],Table1[[#This Row],[RequiredDate]],Table1[[#This Row],[OrderDate]])</f>
        <v>45652</v>
      </c>
      <c r="F447" s="21">
        <f>Table1[[#This Row],[New RD]]-Table1[[#This Row],[new   od]]</f>
        <v>19</v>
      </c>
      <c r="G447" s="4">
        <f>IF(Table1[[#This Row],[RequiredDate]]&lt;Table1[[#This Row],[OrderDate]], Table1[[#This Row],[OrderDate]]+7, Table1[[#This Row],[RequiredDate]])</f>
        <v>45652</v>
      </c>
      <c r="H447" s="21">
        <f t="shared" si="67"/>
        <v>19</v>
      </c>
      <c r="I447" s="6" t="str">
        <f>IF(Table1[[#This Row],[New LTD]]&lt;=7,"Yes","No")</f>
        <v>No</v>
      </c>
      <c r="J447" s="6" t="str">
        <f t="shared" si="68"/>
        <v>No</v>
      </c>
      <c r="K447" t="s">
        <v>649</v>
      </c>
      <c r="L447" t="s">
        <v>658</v>
      </c>
      <c r="M447" t="s">
        <v>683</v>
      </c>
      <c r="N447" t="s">
        <v>706</v>
      </c>
      <c r="O447" t="s">
        <v>708</v>
      </c>
      <c r="P447" t="s">
        <v>726</v>
      </c>
      <c r="Q447" t="s">
        <v>729</v>
      </c>
      <c r="R447" t="s">
        <v>1282</v>
      </c>
      <c r="S447" s="6">
        <v>1035.24</v>
      </c>
      <c r="T447" s="6">
        <v>2383.41</v>
      </c>
      <c r="U447" s="6">
        <f t="shared" si="69"/>
        <v>2383.41</v>
      </c>
      <c r="V447" s="8">
        <v>0.17</v>
      </c>
      <c r="W447" s="6">
        <v>15</v>
      </c>
      <c r="X447" s="6">
        <f t="shared" si="70"/>
        <v>29673.454499999993</v>
      </c>
      <c r="Y447">
        <f t="shared" si="71"/>
        <v>15528.6</v>
      </c>
      <c r="Z447" s="6">
        <f t="shared" si="72"/>
        <v>14144.854499999992</v>
      </c>
      <c r="AA447">
        <f t="shared" si="73"/>
        <v>0.47668378145860962</v>
      </c>
      <c r="AB447" t="str">
        <f t="shared" si="74"/>
        <v>12-2024</v>
      </c>
      <c r="AC447" t="str">
        <f t="shared" si="75"/>
        <v>Q4-2024</v>
      </c>
      <c r="AD447" t="str">
        <f t="shared" si="76"/>
        <v>Europe →United Kingdom →London</v>
      </c>
      <c r="AE447" t="str">
        <f t="shared" si="77"/>
        <v>High</v>
      </c>
      <c r="AF447" t="str">
        <f>TEXT(Table1[[#This Row],[OrderDate]],"MMM")</f>
        <v>Dec</v>
      </c>
      <c r="AG447" t="str">
        <f>TEXT(Table1[[#This Row],[OrderDate]],"YYYY")</f>
        <v>2024</v>
      </c>
      <c r="AI447" s="4">
        <f>IF(Table1[[#This Row],[RequiredDate]]&lt;Table1[[#This Row],[OrderDate]], Table1[[#This Row],[OrderDate]]+7, Table1[[#This Row],[RequiredDate]])</f>
        <v>45652</v>
      </c>
      <c r="AJ447">
        <f>IF(Dashboard!$D$3&gt;'Staging Data'!V447,'Staging Data'!V447,Dashboard!D$3)</f>
        <v>0.17</v>
      </c>
      <c r="AK447" s="19">
        <f>(100%+Dashboard!$D$4)*'Staging Data'!S447</f>
        <v>1087.002</v>
      </c>
      <c r="AL447">
        <f>(100%+Dashboard!$D$5)*'Staging Data'!W447</f>
        <v>17.25</v>
      </c>
    </row>
    <row r="448" spans="1:38" x14ac:dyDescent="0.35">
      <c r="A448" s="6" t="s">
        <v>499</v>
      </c>
      <c r="B448" s="4">
        <v>45634</v>
      </c>
      <c r="C448" s="4">
        <v>45634</v>
      </c>
      <c r="D448" s="4">
        <f>IF(Table1[[#This Row],[RequiredDate]]&lt;Table1[[#This Row],[OrderDate]],Table1[[#This Row],[RequiredDate]],Table1[[#This Row],[OrderDate]])</f>
        <v>45634</v>
      </c>
      <c r="E448" s="4">
        <f>IF(Table1[[#This Row],[RequiredDate]]&gt;Table1[[#This Row],[OrderDate]],Table1[[#This Row],[RequiredDate]],Table1[[#This Row],[OrderDate]])</f>
        <v>45634</v>
      </c>
      <c r="F448" s="21">
        <f>Table1[[#This Row],[New RD]]-Table1[[#This Row],[new   od]]</f>
        <v>0</v>
      </c>
      <c r="G448" s="4">
        <f>IF(Table1[[#This Row],[RequiredDate]]&lt;Table1[[#This Row],[OrderDate]], Table1[[#This Row],[OrderDate]]+7, Table1[[#This Row],[RequiredDate]])</f>
        <v>45634</v>
      </c>
      <c r="H448" s="21">
        <f t="shared" si="67"/>
        <v>0</v>
      </c>
      <c r="I448" s="6" t="str">
        <f>IF(Table1[[#This Row],[New LTD]]&lt;=7,"Yes","No")</f>
        <v>Yes</v>
      </c>
      <c r="J448" s="6" t="str">
        <f t="shared" si="68"/>
        <v>No</v>
      </c>
      <c r="K448" t="s">
        <v>649</v>
      </c>
      <c r="L448" t="s">
        <v>657</v>
      </c>
      <c r="M448" t="s">
        <v>679</v>
      </c>
      <c r="N448" t="s">
        <v>706</v>
      </c>
      <c r="O448" t="s">
        <v>707</v>
      </c>
      <c r="P448" t="s">
        <v>722</v>
      </c>
      <c r="Q448" t="s">
        <v>727</v>
      </c>
      <c r="R448" t="s">
        <v>1218</v>
      </c>
      <c r="S448" s="6">
        <v>257.44</v>
      </c>
      <c r="T448" s="6">
        <v>290.33</v>
      </c>
      <c r="U448" s="6">
        <f t="shared" si="69"/>
        <v>290.33</v>
      </c>
      <c r="V448" s="8">
        <v>9.1999999999999998E-2</v>
      </c>
      <c r="W448" s="6">
        <v>23</v>
      </c>
      <c r="X448" s="6">
        <f t="shared" si="70"/>
        <v>6063.2517199999993</v>
      </c>
      <c r="Y448">
        <f t="shared" si="71"/>
        <v>5921.12</v>
      </c>
      <c r="Z448" s="6">
        <f t="shared" si="72"/>
        <v>142.1317199999994</v>
      </c>
      <c r="AA448">
        <f t="shared" si="73"/>
        <v>2.3441500792581216E-2</v>
      </c>
      <c r="AB448" t="str">
        <f t="shared" si="74"/>
        <v>12-2024</v>
      </c>
      <c r="AC448" t="str">
        <f t="shared" si="75"/>
        <v>Q4-2024</v>
      </c>
      <c r="AD448" t="str">
        <f t="shared" si="76"/>
        <v>Europe →France →Lyon</v>
      </c>
      <c r="AE448" t="str">
        <f t="shared" si="77"/>
        <v>Low</v>
      </c>
      <c r="AF448" t="str">
        <f>TEXT(Table1[[#This Row],[OrderDate]],"MMM")</f>
        <v>Dec</v>
      </c>
      <c r="AG448" t="str">
        <f>TEXT(Table1[[#This Row],[OrderDate]],"YYYY")</f>
        <v>2024</v>
      </c>
      <c r="AI448" s="4">
        <f>IF(Table1[[#This Row],[RequiredDate]]&lt;Table1[[#This Row],[OrderDate]], Table1[[#This Row],[OrderDate]]+7, Table1[[#This Row],[RequiredDate]])</f>
        <v>45634</v>
      </c>
      <c r="AJ448">
        <f>IF(Dashboard!$D$3&gt;'Staging Data'!V448,'Staging Data'!V448,Dashboard!D$3)</f>
        <v>9.1999999999999998E-2</v>
      </c>
      <c r="AK448" s="19">
        <f>(100%+Dashboard!$D$4)*'Staging Data'!S448</f>
        <v>270.31200000000001</v>
      </c>
      <c r="AL448">
        <f>(100%+Dashboard!$D$5)*'Staging Data'!W448</f>
        <v>26.45</v>
      </c>
    </row>
    <row r="449" spans="1:38" x14ac:dyDescent="0.35">
      <c r="A449" s="6" t="s">
        <v>31</v>
      </c>
      <c r="B449" s="4">
        <v>45636</v>
      </c>
      <c r="C449" s="4">
        <v>45665</v>
      </c>
      <c r="D449" s="4">
        <f>IF(Table1[[#This Row],[RequiredDate]]&lt;Table1[[#This Row],[OrderDate]],Table1[[#This Row],[RequiredDate]],Table1[[#This Row],[OrderDate]])</f>
        <v>45636</v>
      </c>
      <c r="E449" s="4">
        <f>IF(Table1[[#This Row],[RequiredDate]]&gt;Table1[[#This Row],[OrderDate]],Table1[[#This Row],[RequiredDate]],Table1[[#This Row],[OrderDate]])</f>
        <v>45665</v>
      </c>
      <c r="F449" s="21">
        <f>Table1[[#This Row],[New RD]]-Table1[[#This Row],[new   od]]</f>
        <v>29</v>
      </c>
      <c r="G449" s="4">
        <f>IF(Table1[[#This Row],[RequiredDate]]&lt;Table1[[#This Row],[OrderDate]], Table1[[#This Row],[OrderDate]]+7, Table1[[#This Row],[RequiredDate]])</f>
        <v>45665</v>
      </c>
      <c r="H449" s="21">
        <f t="shared" si="67"/>
        <v>29</v>
      </c>
      <c r="I449" s="6" t="str">
        <f>IF(Table1[[#This Row],[New LTD]]&lt;=7,"Yes","No")</f>
        <v>No</v>
      </c>
      <c r="J449" s="6" t="str">
        <f t="shared" si="68"/>
        <v>No</v>
      </c>
      <c r="K449" t="s">
        <v>649</v>
      </c>
      <c r="L449" t="s">
        <v>657</v>
      </c>
      <c r="M449" t="s">
        <v>673</v>
      </c>
      <c r="N449" t="s">
        <v>705</v>
      </c>
      <c r="O449" t="s">
        <v>707</v>
      </c>
      <c r="P449" t="s">
        <v>723</v>
      </c>
      <c r="Q449" t="s">
        <v>728</v>
      </c>
      <c r="R449" t="s">
        <v>750</v>
      </c>
      <c r="S449" s="6">
        <v>891.08</v>
      </c>
      <c r="T449" s="6">
        <v>1040.0999999999999</v>
      </c>
      <c r="U449" s="6">
        <f t="shared" si="69"/>
        <v>1040.0999999999999</v>
      </c>
      <c r="V449" s="8">
        <v>0.109</v>
      </c>
      <c r="W449" s="6">
        <v>28</v>
      </c>
      <c r="X449" s="6">
        <f t="shared" si="70"/>
        <v>25948.414799999995</v>
      </c>
      <c r="Y449">
        <f t="shared" si="71"/>
        <v>24950.240000000002</v>
      </c>
      <c r="Z449" s="6">
        <f t="shared" si="72"/>
        <v>998.17479999999341</v>
      </c>
      <c r="AA449">
        <f t="shared" si="73"/>
        <v>3.8467660074556598E-2</v>
      </c>
      <c r="AB449" t="str">
        <f t="shared" si="74"/>
        <v>12-2024</v>
      </c>
      <c r="AC449" t="str">
        <f t="shared" si="75"/>
        <v>Q4-2024</v>
      </c>
      <c r="AD449" t="str">
        <f t="shared" si="76"/>
        <v>Europe →France →Marseille</v>
      </c>
      <c r="AE449" t="str">
        <f t="shared" si="77"/>
        <v>Medium</v>
      </c>
      <c r="AF449" t="str">
        <f>TEXT(Table1[[#This Row],[OrderDate]],"MMM")</f>
        <v>Dec</v>
      </c>
      <c r="AG449" t="str">
        <f>TEXT(Table1[[#This Row],[OrderDate]],"YYYY")</f>
        <v>2024</v>
      </c>
      <c r="AI449" s="4">
        <f>IF(Table1[[#This Row],[RequiredDate]]&lt;Table1[[#This Row],[OrderDate]], Table1[[#This Row],[OrderDate]]+7, Table1[[#This Row],[RequiredDate]])</f>
        <v>45665</v>
      </c>
      <c r="AJ449">
        <f>IF(Dashboard!$D$3&gt;'Staging Data'!V449,'Staging Data'!V449,Dashboard!D$3)</f>
        <v>0.109</v>
      </c>
      <c r="AK449" s="19">
        <f>(100%+Dashboard!$D$4)*'Staging Data'!S449</f>
        <v>935.63400000000013</v>
      </c>
      <c r="AL449">
        <f>(100%+Dashboard!$D$5)*'Staging Data'!W449</f>
        <v>32.199999999999996</v>
      </c>
    </row>
    <row r="450" spans="1:38" x14ac:dyDescent="0.35">
      <c r="A450" s="6" t="s">
        <v>447</v>
      </c>
      <c r="B450" s="4">
        <v>45636</v>
      </c>
      <c r="C450" s="4">
        <v>45645</v>
      </c>
      <c r="D450" s="4">
        <f>IF(Table1[[#This Row],[RequiredDate]]&lt;Table1[[#This Row],[OrderDate]],Table1[[#This Row],[RequiredDate]],Table1[[#This Row],[OrderDate]])</f>
        <v>45636</v>
      </c>
      <c r="E450" s="4">
        <f>IF(Table1[[#This Row],[RequiredDate]]&gt;Table1[[#This Row],[OrderDate]],Table1[[#This Row],[RequiredDate]],Table1[[#This Row],[OrderDate]])</f>
        <v>45645</v>
      </c>
      <c r="F450" s="21">
        <f>Table1[[#This Row],[New RD]]-Table1[[#This Row],[new   od]]</f>
        <v>9</v>
      </c>
      <c r="G450" s="4">
        <f>IF(Table1[[#This Row],[RequiredDate]]&lt;Table1[[#This Row],[OrderDate]], Table1[[#This Row],[OrderDate]]+7, Table1[[#This Row],[RequiredDate]])</f>
        <v>45645</v>
      </c>
      <c r="H450" s="21">
        <f t="shared" ref="H450:H513" si="78">G450-B450</f>
        <v>9</v>
      </c>
      <c r="I450" s="6" t="str">
        <f>IF(Table1[[#This Row],[New LTD]]&lt;=7,"Yes","No")</f>
        <v>No</v>
      </c>
      <c r="J450" s="6" t="str">
        <f t="shared" ref="J450:J513" si="79">IF(V450&gt;20%,"Yes","No")</f>
        <v>No</v>
      </c>
      <c r="K450" t="s">
        <v>646</v>
      </c>
      <c r="L450" t="s">
        <v>651</v>
      </c>
      <c r="M450" t="s">
        <v>665</v>
      </c>
      <c r="N450" t="s">
        <v>701</v>
      </c>
      <c r="O450" t="s">
        <v>707</v>
      </c>
      <c r="P450" t="s">
        <v>719</v>
      </c>
      <c r="Q450" t="s">
        <v>732</v>
      </c>
      <c r="R450" t="s">
        <v>1166</v>
      </c>
      <c r="S450" s="6">
        <v>488.68</v>
      </c>
      <c r="T450" s="6">
        <v>984.36</v>
      </c>
      <c r="U450" s="6">
        <f t="shared" ref="U450:U513" si="80">ABS(T450)</f>
        <v>984.36</v>
      </c>
      <c r="V450" s="8">
        <v>5.8999999999999997E-2</v>
      </c>
      <c r="W450" s="6">
        <v>14</v>
      </c>
      <c r="X450" s="6">
        <f t="shared" ref="X450:X513" si="81">U450*W450*(1-V450)</f>
        <v>12967.958640000001</v>
      </c>
      <c r="Y450">
        <f t="shared" ref="Y450:Y513" si="82">S450*W450</f>
        <v>6841.52</v>
      </c>
      <c r="Z450" s="6">
        <f t="shared" ref="Z450:Z513" si="83">X450-Y450</f>
        <v>6126.4386400000003</v>
      </c>
      <c r="AA450">
        <f t="shared" ref="AA450:AA513" si="84">IF(X450=0, 0, Z450/ X450)</f>
        <v>0.47242891576649876</v>
      </c>
      <c r="AB450" t="str">
        <f t="shared" ref="AB450:AB513" si="85">_xlfn.CONCAT(MONTH(B450),"-",YEAR(B450))</f>
        <v>12-2024</v>
      </c>
      <c r="AC450" t="str">
        <f t="shared" ref="AC450:AC513" si="86">"Q"&amp;ROUNDUP(MONTH(B450)/3,0)&amp;"-"&amp;YEAR(B450)</f>
        <v>Q4-2024</v>
      </c>
      <c r="AD450" t="str">
        <f t="shared" ref="AD450:AD513" si="87">_xlfn.CONCAT(K450," →",L450," →",M450)</f>
        <v>Africa →Nigeria →Lagos</v>
      </c>
      <c r="AE450" t="str">
        <f t="shared" si="77"/>
        <v>Medium</v>
      </c>
      <c r="AF450" t="str">
        <f>TEXT(Table1[[#This Row],[OrderDate]],"MMM")</f>
        <v>Dec</v>
      </c>
      <c r="AG450" t="str">
        <f>TEXT(Table1[[#This Row],[OrderDate]],"YYYY")</f>
        <v>2024</v>
      </c>
      <c r="AI450" s="4">
        <f>IF(Table1[[#This Row],[RequiredDate]]&lt;Table1[[#This Row],[OrderDate]], Table1[[#This Row],[OrderDate]]+7, Table1[[#This Row],[RequiredDate]])</f>
        <v>45645</v>
      </c>
      <c r="AJ450">
        <f>IF(Dashboard!$D$3&gt;'Staging Data'!V450,'Staging Data'!V450,Dashboard!D$3)</f>
        <v>5.8999999999999997E-2</v>
      </c>
      <c r="AK450" s="19">
        <f>(100%+Dashboard!$D$4)*'Staging Data'!S450</f>
        <v>513.11400000000003</v>
      </c>
      <c r="AL450">
        <f>(100%+Dashboard!$D$5)*'Staging Data'!W450</f>
        <v>16.099999999999998</v>
      </c>
    </row>
    <row r="451" spans="1:38" x14ac:dyDescent="0.35">
      <c r="A451" s="6" t="s">
        <v>411</v>
      </c>
      <c r="B451" s="4">
        <v>45638</v>
      </c>
      <c r="C451" s="4">
        <v>45646</v>
      </c>
      <c r="D451" s="4">
        <f>IF(Table1[[#This Row],[RequiredDate]]&lt;Table1[[#This Row],[OrderDate]],Table1[[#This Row],[RequiredDate]],Table1[[#This Row],[OrderDate]])</f>
        <v>45638</v>
      </c>
      <c r="E451" s="4">
        <f>IF(Table1[[#This Row],[RequiredDate]]&gt;Table1[[#This Row],[OrderDate]],Table1[[#This Row],[RequiredDate]],Table1[[#This Row],[OrderDate]])</f>
        <v>45646</v>
      </c>
      <c r="F451" s="21">
        <f>Table1[[#This Row],[New RD]]-Table1[[#This Row],[new   od]]</f>
        <v>8</v>
      </c>
      <c r="G451" s="4">
        <f>IF(Table1[[#This Row],[RequiredDate]]&lt;Table1[[#This Row],[OrderDate]], Table1[[#This Row],[OrderDate]]+7, Table1[[#This Row],[RequiredDate]])</f>
        <v>45646</v>
      </c>
      <c r="H451" s="21">
        <f t="shared" si="78"/>
        <v>8</v>
      </c>
      <c r="I451" s="6" t="str">
        <f>IF(Table1[[#This Row],[New LTD]]&lt;=7,"Yes","No")</f>
        <v>No</v>
      </c>
      <c r="J451" s="6" t="str">
        <f t="shared" si="79"/>
        <v>Yes</v>
      </c>
      <c r="K451" t="s">
        <v>647</v>
      </c>
      <c r="L451" t="s">
        <v>652</v>
      </c>
      <c r="M451" t="s">
        <v>689</v>
      </c>
      <c r="N451" t="s">
        <v>701</v>
      </c>
      <c r="O451" t="s">
        <v>707</v>
      </c>
      <c r="P451" t="s">
        <v>717</v>
      </c>
      <c r="Q451" t="s">
        <v>731</v>
      </c>
      <c r="R451" t="s">
        <v>1130</v>
      </c>
      <c r="S451" s="6">
        <v>1202.47</v>
      </c>
      <c r="T451" s="6">
        <v>1444.72</v>
      </c>
      <c r="U451" s="6">
        <f t="shared" si="80"/>
        <v>1444.72</v>
      </c>
      <c r="V451" s="8">
        <v>0.24099999999999999</v>
      </c>
      <c r="W451" s="6">
        <v>17</v>
      </c>
      <c r="X451" s="6">
        <f t="shared" si="81"/>
        <v>18641.222160000001</v>
      </c>
      <c r="Y451">
        <f t="shared" si="82"/>
        <v>20441.990000000002</v>
      </c>
      <c r="Z451" s="6">
        <f t="shared" si="83"/>
        <v>-1800.7678400000004</v>
      </c>
      <c r="AA451">
        <f t="shared" si="84"/>
        <v>-9.6601382921343834E-2</v>
      </c>
      <c r="AB451" t="str">
        <f t="shared" si="85"/>
        <v>12-2024</v>
      </c>
      <c r="AC451" t="str">
        <f t="shared" si="86"/>
        <v>Q4-2024</v>
      </c>
      <c r="AD451" t="str">
        <f t="shared" si="87"/>
        <v>Asia →Japan →Tokyo</v>
      </c>
      <c r="AE451" t="str">
        <f t="shared" si="77"/>
        <v>Medium</v>
      </c>
      <c r="AF451" t="str">
        <f>TEXT(Table1[[#This Row],[OrderDate]],"MMM")</f>
        <v>Dec</v>
      </c>
      <c r="AG451" t="str">
        <f>TEXT(Table1[[#This Row],[OrderDate]],"YYYY")</f>
        <v>2024</v>
      </c>
      <c r="AI451" s="4">
        <f>IF(Table1[[#This Row],[RequiredDate]]&lt;Table1[[#This Row],[OrderDate]], Table1[[#This Row],[OrderDate]]+7, Table1[[#This Row],[RequiredDate]])</f>
        <v>45646</v>
      </c>
      <c r="AJ451">
        <f>IF(Dashboard!$D$3&gt;'Staging Data'!V451,'Staging Data'!V451,Dashboard!D$3)</f>
        <v>0.2</v>
      </c>
      <c r="AK451" s="19">
        <f>(100%+Dashboard!$D$4)*'Staging Data'!S451</f>
        <v>1262.5935000000002</v>
      </c>
      <c r="AL451">
        <f>(100%+Dashboard!$D$5)*'Staging Data'!W451</f>
        <v>19.549999999999997</v>
      </c>
    </row>
    <row r="452" spans="1:38" x14ac:dyDescent="0.35">
      <c r="A452" s="6" t="s">
        <v>151</v>
      </c>
      <c r="B452" s="4">
        <v>45640</v>
      </c>
      <c r="C452" s="4">
        <v>45669</v>
      </c>
      <c r="D452" s="4">
        <f>IF(Table1[[#This Row],[RequiredDate]]&lt;Table1[[#This Row],[OrderDate]],Table1[[#This Row],[RequiredDate]],Table1[[#This Row],[OrderDate]])</f>
        <v>45640</v>
      </c>
      <c r="E452" s="4">
        <f>IF(Table1[[#This Row],[RequiredDate]]&gt;Table1[[#This Row],[OrderDate]],Table1[[#This Row],[RequiredDate]],Table1[[#This Row],[OrderDate]])</f>
        <v>45669</v>
      </c>
      <c r="F452" s="21">
        <f>Table1[[#This Row],[New RD]]-Table1[[#This Row],[new   od]]</f>
        <v>29</v>
      </c>
      <c r="G452" s="4">
        <f>IF(Table1[[#This Row],[RequiredDate]]&lt;Table1[[#This Row],[OrderDate]], Table1[[#This Row],[OrderDate]]+7, Table1[[#This Row],[RequiredDate]])</f>
        <v>45669</v>
      </c>
      <c r="H452" s="21">
        <f t="shared" si="78"/>
        <v>29</v>
      </c>
      <c r="I452" s="6" t="str">
        <f>IF(Table1[[#This Row],[New LTD]]&lt;=7,"Yes","No")</f>
        <v>No</v>
      </c>
      <c r="J452" s="6" t="str">
        <f t="shared" si="79"/>
        <v>No</v>
      </c>
      <c r="K452" t="s">
        <v>647</v>
      </c>
      <c r="L452" t="s">
        <v>659</v>
      </c>
      <c r="M452" t="s">
        <v>676</v>
      </c>
      <c r="N452" t="s">
        <v>702</v>
      </c>
      <c r="O452" t="s">
        <v>708</v>
      </c>
      <c r="P452" t="s">
        <v>713</v>
      </c>
      <c r="Q452" t="s">
        <v>727</v>
      </c>
      <c r="R452" t="s">
        <v>870</v>
      </c>
      <c r="S452" s="6">
        <v>1412.15</v>
      </c>
      <c r="T452" s="6">
        <v>1631.04</v>
      </c>
      <c r="U452" s="6">
        <f t="shared" si="80"/>
        <v>1631.04</v>
      </c>
      <c r="V452" s="8">
        <v>8.9999999999999993E-3</v>
      </c>
      <c r="W452" s="6">
        <v>6</v>
      </c>
      <c r="X452" s="6">
        <f t="shared" si="81"/>
        <v>9698.1638399999993</v>
      </c>
      <c r="Y452">
        <f t="shared" si="82"/>
        <v>8472.9000000000015</v>
      </c>
      <c r="Z452" s="6">
        <f t="shared" si="83"/>
        <v>1225.2638399999978</v>
      </c>
      <c r="AA452">
        <f t="shared" si="84"/>
        <v>0.12633977526203535</v>
      </c>
      <c r="AB452" t="str">
        <f t="shared" si="85"/>
        <v>12-2024</v>
      </c>
      <c r="AC452" t="str">
        <f t="shared" si="86"/>
        <v>Q4-2024</v>
      </c>
      <c r="AD452" t="str">
        <f t="shared" si="87"/>
        <v>Asia →China →Shenzhen</v>
      </c>
      <c r="AE452" t="str">
        <f t="shared" si="77"/>
        <v>High</v>
      </c>
      <c r="AF452" t="str">
        <f>TEXT(Table1[[#This Row],[OrderDate]],"MMM")</f>
        <v>Dec</v>
      </c>
      <c r="AG452" t="str">
        <f>TEXT(Table1[[#This Row],[OrderDate]],"YYYY")</f>
        <v>2024</v>
      </c>
      <c r="AI452" s="4">
        <f>IF(Table1[[#This Row],[RequiredDate]]&lt;Table1[[#This Row],[OrderDate]], Table1[[#This Row],[OrderDate]]+7, Table1[[#This Row],[RequiredDate]])</f>
        <v>45669</v>
      </c>
      <c r="AJ452">
        <f>IF(Dashboard!$D$3&gt;'Staging Data'!V452,'Staging Data'!V452,Dashboard!D$3)</f>
        <v>8.9999999999999993E-3</v>
      </c>
      <c r="AK452" s="19">
        <f>(100%+Dashboard!$D$4)*'Staging Data'!S452</f>
        <v>1482.7575000000002</v>
      </c>
      <c r="AL452">
        <f>(100%+Dashboard!$D$5)*'Staging Data'!W452</f>
        <v>6.8999999999999995</v>
      </c>
    </row>
    <row r="453" spans="1:38" x14ac:dyDescent="0.35">
      <c r="A453" s="6" t="s">
        <v>88</v>
      </c>
      <c r="B453" s="4">
        <v>45641</v>
      </c>
      <c r="C453" s="4">
        <v>45646</v>
      </c>
      <c r="D453" s="4">
        <f>IF(Table1[[#This Row],[RequiredDate]]&lt;Table1[[#This Row],[OrderDate]],Table1[[#This Row],[RequiredDate]],Table1[[#This Row],[OrderDate]])</f>
        <v>45641</v>
      </c>
      <c r="E453" s="4">
        <f>IF(Table1[[#This Row],[RequiredDate]]&gt;Table1[[#This Row],[OrderDate]],Table1[[#This Row],[RequiredDate]],Table1[[#This Row],[OrderDate]])</f>
        <v>45646</v>
      </c>
      <c r="F453" s="21">
        <f>Table1[[#This Row],[New RD]]-Table1[[#This Row],[new   od]]</f>
        <v>5</v>
      </c>
      <c r="G453" s="4">
        <f>IF(Table1[[#This Row],[RequiredDate]]&lt;Table1[[#This Row],[OrderDate]], Table1[[#This Row],[OrderDate]]+7, Table1[[#This Row],[RequiredDate]])</f>
        <v>45646</v>
      </c>
      <c r="H453" s="21">
        <f t="shared" si="78"/>
        <v>5</v>
      </c>
      <c r="I453" s="6" t="str">
        <f>IF(Table1[[#This Row],[New LTD]]&lt;=7,"Yes","No")</f>
        <v>Yes</v>
      </c>
      <c r="J453" s="6" t="str">
        <f t="shared" si="79"/>
        <v>No</v>
      </c>
      <c r="K453" t="s">
        <v>647</v>
      </c>
      <c r="L453" t="s">
        <v>659</v>
      </c>
      <c r="M453" t="s">
        <v>676</v>
      </c>
      <c r="N453" t="s">
        <v>705</v>
      </c>
      <c r="O453" t="s">
        <v>711</v>
      </c>
      <c r="P453" t="s">
        <v>713</v>
      </c>
      <c r="Q453" t="s">
        <v>729</v>
      </c>
      <c r="R453" t="s">
        <v>807</v>
      </c>
      <c r="S453" s="6">
        <v>717.55</v>
      </c>
      <c r="T453" s="6">
        <v>546.42999999999995</v>
      </c>
      <c r="U453" s="6">
        <f t="shared" si="80"/>
        <v>546.42999999999995</v>
      </c>
      <c r="V453" s="8">
        <v>4.7E-2</v>
      </c>
      <c r="W453" s="6">
        <v>18</v>
      </c>
      <c r="X453" s="6">
        <f t="shared" si="81"/>
        <v>9373.460219999999</v>
      </c>
      <c r="Y453">
        <f t="shared" si="82"/>
        <v>12915.9</v>
      </c>
      <c r="Z453" s="6">
        <f t="shared" si="83"/>
        <v>-3542.4397800000006</v>
      </c>
      <c r="AA453">
        <f t="shared" si="84"/>
        <v>-0.37792231437026369</v>
      </c>
      <c r="AB453" t="str">
        <f t="shared" si="85"/>
        <v>12-2024</v>
      </c>
      <c r="AC453" t="str">
        <f t="shared" si="86"/>
        <v>Q4-2024</v>
      </c>
      <c r="AD453" t="str">
        <f t="shared" si="87"/>
        <v>Asia →China →Shenzhen</v>
      </c>
      <c r="AE453" t="str">
        <f t="shared" si="77"/>
        <v>Low</v>
      </c>
      <c r="AF453" t="str">
        <f>TEXT(Table1[[#This Row],[OrderDate]],"MMM")</f>
        <v>Dec</v>
      </c>
      <c r="AG453" t="str">
        <f>TEXT(Table1[[#This Row],[OrderDate]],"YYYY")</f>
        <v>2024</v>
      </c>
      <c r="AI453" s="4">
        <f>IF(Table1[[#This Row],[RequiredDate]]&lt;Table1[[#This Row],[OrderDate]], Table1[[#This Row],[OrderDate]]+7, Table1[[#This Row],[RequiredDate]])</f>
        <v>45646</v>
      </c>
      <c r="AJ453">
        <f>IF(Dashboard!$D$3&gt;'Staging Data'!V453,'Staging Data'!V453,Dashboard!D$3)</f>
        <v>4.7E-2</v>
      </c>
      <c r="AK453" s="19">
        <f>(100%+Dashboard!$D$4)*'Staging Data'!S453</f>
        <v>753.42750000000001</v>
      </c>
      <c r="AL453">
        <f>(100%+Dashboard!$D$5)*'Staging Data'!W453</f>
        <v>20.7</v>
      </c>
    </row>
    <row r="454" spans="1:38" x14ac:dyDescent="0.35">
      <c r="A454" s="6" t="s">
        <v>72</v>
      </c>
      <c r="B454" s="4">
        <v>45643</v>
      </c>
      <c r="C454" s="4">
        <v>45644</v>
      </c>
      <c r="D454" s="4">
        <f>IF(Table1[[#This Row],[RequiredDate]]&lt;Table1[[#This Row],[OrderDate]],Table1[[#This Row],[RequiredDate]],Table1[[#This Row],[OrderDate]])</f>
        <v>45643</v>
      </c>
      <c r="E454" s="4">
        <f>IF(Table1[[#This Row],[RequiredDate]]&gt;Table1[[#This Row],[OrderDate]],Table1[[#This Row],[RequiredDate]],Table1[[#This Row],[OrderDate]])</f>
        <v>45644</v>
      </c>
      <c r="F454" s="21">
        <f>Table1[[#This Row],[New RD]]-Table1[[#This Row],[new   od]]</f>
        <v>1</v>
      </c>
      <c r="G454" s="4">
        <f>IF(Table1[[#This Row],[RequiredDate]]&lt;Table1[[#This Row],[OrderDate]], Table1[[#This Row],[OrderDate]]+7, Table1[[#This Row],[RequiredDate]])</f>
        <v>45644</v>
      </c>
      <c r="H454" s="21">
        <f t="shared" si="78"/>
        <v>1</v>
      </c>
      <c r="I454" s="6" t="str">
        <f>IF(Table1[[#This Row],[New LTD]]&lt;=7,"Yes","No")</f>
        <v>Yes</v>
      </c>
      <c r="J454" s="6" t="str">
        <f t="shared" si="79"/>
        <v>No</v>
      </c>
      <c r="K454" t="s">
        <v>649</v>
      </c>
      <c r="L454" t="s">
        <v>656</v>
      </c>
      <c r="M454" t="s">
        <v>684</v>
      </c>
      <c r="N454" t="s">
        <v>702</v>
      </c>
      <c r="O454" t="s">
        <v>707</v>
      </c>
      <c r="P454" t="s">
        <v>716</v>
      </c>
      <c r="Q454" t="s">
        <v>733</v>
      </c>
      <c r="R454" t="s">
        <v>791</v>
      </c>
      <c r="S454" s="6">
        <v>346.82</v>
      </c>
      <c r="T454" s="6">
        <v>701.95</v>
      </c>
      <c r="U454" s="6">
        <f t="shared" si="80"/>
        <v>701.95</v>
      </c>
      <c r="V454" s="8">
        <v>0.14699999999999999</v>
      </c>
      <c r="W454" s="6">
        <v>8</v>
      </c>
      <c r="X454" s="6">
        <f t="shared" si="81"/>
        <v>4790.1068000000005</v>
      </c>
      <c r="Y454">
        <f t="shared" si="82"/>
        <v>2774.56</v>
      </c>
      <c r="Z454" s="6">
        <f t="shared" si="83"/>
        <v>2015.5468000000005</v>
      </c>
      <c r="AA454">
        <f t="shared" si="84"/>
        <v>0.42077283120284509</v>
      </c>
      <c r="AB454" t="str">
        <f t="shared" si="85"/>
        <v>12-2024</v>
      </c>
      <c r="AC454" t="str">
        <f t="shared" si="86"/>
        <v>Q4-2024</v>
      </c>
      <c r="AD454" t="str">
        <f t="shared" si="87"/>
        <v>Europe →Germany →Munich</v>
      </c>
      <c r="AE454" t="str">
        <f t="shared" si="77"/>
        <v>Low</v>
      </c>
      <c r="AF454" t="str">
        <f>TEXT(Table1[[#This Row],[OrderDate]],"MMM")</f>
        <v>Dec</v>
      </c>
      <c r="AG454" t="str">
        <f>TEXT(Table1[[#This Row],[OrderDate]],"YYYY")</f>
        <v>2024</v>
      </c>
      <c r="AI454" s="4">
        <f>IF(Table1[[#This Row],[RequiredDate]]&lt;Table1[[#This Row],[OrderDate]], Table1[[#This Row],[OrderDate]]+7, Table1[[#This Row],[RequiredDate]])</f>
        <v>45644</v>
      </c>
      <c r="AJ454">
        <f>IF(Dashboard!$D$3&gt;'Staging Data'!V454,'Staging Data'!V454,Dashboard!D$3)</f>
        <v>0.14699999999999999</v>
      </c>
      <c r="AK454" s="19">
        <f>(100%+Dashboard!$D$4)*'Staging Data'!S454</f>
        <v>364.161</v>
      </c>
      <c r="AL454">
        <f>(100%+Dashboard!$D$5)*'Staging Data'!W454</f>
        <v>9.1999999999999993</v>
      </c>
    </row>
    <row r="455" spans="1:38" x14ac:dyDescent="0.35">
      <c r="A455" s="6" t="s">
        <v>631</v>
      </c>
      <c r="B455" s="4">
        <v>45643</v>
      </c>
      <c r="C455" s="4">
        <v>45673</v>
      </c>
      <c r="D455" s="4">
        <f>IF(Table1[[#This Row],[RequiredDate]]&lt;Table1[[#This Row],[OrderDate]],Table1[[#This Row],[RequiredDate]],Table1[[#This Row],[OrderDate]])</f>
        <v>45643</v>
      </c>
      <c r="E455" s="4">
        <f>IF(Table1[[#This Row],[RequiredDate]]&gt;Table1[[#This Row],[OrderDate]],Table1[[#This Row],[RequiredDate]],Table1[[#This Row],[OrderDate]])</f>
        <v>45673</v>
      </c>
      <c r="F455" s="21">
        <f>Table1[[#This Row],[New RD]]-Table1[[#This Row],[new   od]]</f>
        <v>30</v>
      </c>
      <c r="G455" s="4">
        <f>IF(Table1[[#This Row],[RequiredDate]]&lt;Table1[[#This Row],[OrderDate]], Table1[[#This Row],[OrderDate]]+7, Table1[[#This Row],[RequiredDate]])</f>
        <v>45673</v>
      </c>
      <c r="H455" s="21">
        <f t="shared" si="78"/>
        <v>30</v>
      </c>
      <c r="I455" s="6" t="str">
        <f>IF(Table1[[#This Row],[New LTD]]&lt;=7,"Yes","No")</f>
        <v>No</v>
      </c>
      <c r="J455" s="6" t="str">
        <f t="shared" si="79"/>
        <v>No</v>
      </c>
      <c r="K455" t="s">
        <v>649</v>
      </c>
      <c r="L455" t="s">
        <v>658</v>
      </c>
      <c r="M455" t="s">
        <v>693</v>
      </c>
      <c r="N455" t="s">
        <v>701</v>
      </c>
      <c r="O455" t="s">
        <v>707</v>
      </c>
      <c r="P455" t="s">
        <v>726</v>
      </c>
      <c r="Q455" t="s">
        <v>732</v>
      </c>
      <c r="R455" t="s">
        <v>1349</v>
      </c>
      <c r="S455" s="6">
        <v>722.87</v>
      </c>
      <c r="T455" s="6">
        <v>-33.659999999999997</v>
      </c>
      <c r="U455" s="6">
        <f t="shared" si="80"/>
        <v>33.659999999999997</v>
      </c>
      <c r="V455" s="8">
        <v>0.10199999999999999</v>
      </c>
      <c r="W455" s="6">
        <v>28</v>
      </c>
      <c r="X455" s="6">
        <f t="shared" si="81"/>
        <v>846.34703999999988</v>
      </c>
      <c r="Y455">
        <f t="shared" si="82"/>
        <v>20240.36</v>
      </c>
      <c r="Z455" s="6">
        <f t="shared" si="83"/>
        <v>-19394.01296</v>
      </c>
      <c r="AA455">
        <f t="shared" si="84"/>
        <v>-22.914965189693348</v>
      </c>
      <c r="AB455" t="str">
        <f t="shared" si="85"/>
        <v>12-2024</v>
      </c>
      <c r="AC455" t="str">
        <f t="shared" si="86"/>
        <v>Q4-2024</v>
      </c>
      <c r="AD455" t="str">
        <f t="shared" si="87"/>
        <v>Europe →United Kingdom →Manchester</v>
      </c>
      <c r="AE455" t="str">
        <f t="shared" si="77"/>
        <v>Low</v>
      </c>
      <c r="AF455" t="str">
        <f>TEXT(Table1[[#This Row],[OrderDate]],"MMM")</f>
        <v>Dec</v>
      </c>
      <c r="AG455" t="str">
        <f>TEXT(Table1[[#This Row],[OrderDate]],"YYYY")</f>
        <v>2024</v>
      </c>
      <c r="AI455" s="4">
        <f>IF(Table1[[#This Row],[RequiredDate]]&lt;Table1[[#This Row],[OrderDate]], Table1[[#This Row],[OrderDate]]+7, Table1[[#This Row],[RequiredDate]])</f>
        <v>45673</v>
      </c>
      <c r="AJ455">
        <f>IF(Dashboard!$D$3&gt;'Staging Data'!V455,'Staging Data'!V455,Dashboard!D$3)</f>
        <v>0.10199999999999999</v>
      </c>
      <c r="AK455" s="19">
        <f>(100%+Dashboard!$D$4)*'Staging Data'!S455</f>
        <v>759.01350000000002</v>
      </c>
      <c r="AL455">
        <f>(100%+Dashboard!$D$5)*'Staging Data'!W455</f>
        <v>32.199999999999996</v>
      </c>
    </row>
    <row r="456" spans="1:38" x14ac:dyDescent="0.35">
      <c r="A456" s="6" t="s">
        <v>420</v>
      </c>
      <c r="B456" s="4">
        <v>45646</v>
      </c>
      <c r="C456" s="4">
        <v>45671</v>
      </c>
      <c r="D456" s="4">
        <f>IF(Table1[[#This Row],[RequiredDate]]&lt;Table1[[#This Row],[OrderDate]],Table1[[#This Row],[RequiredDate]],Table1[[#This Row],[OrderDate]])</f>
        <v>45646</v>
      </c>
      <c r="E456" s="4">
        <f>IF(Table1[[#This Row],[RequiredDate]]&gt;Table1[[#This Row],[OrderDate]],Table1[[#This Row],[RequiredDate]],Table1[[#This Row],[OrderDate]])</f>
        <v>45671</v>
      </c>
      <c r="F456" s="21">
        <f>Table1[[#This Row],[New RD]]-Table1[[#This Row],[new   od]]</f>
        <v>25</v>
      </c>
      <c r="G456" s="4">
        <f>IF(Table1[[#This Row],[RequiredDate]]&lt;Table1[[#This Row],[OrderDate]], Table1[[#This Row],[OrderDate]]+7, Table1[[#This Row],[RequiredDate]])</f>
        <v>45671</v>
      </c>
      <c r="H456" s="21">
        <f t="shared" si="78"/>
        <v>25</v>
      </c>
      <c r="I456" s="6" t="str">
        <f>IF(Table1[[#This Row],[New LTD]]&lt;=7,"Yes","No")</f>
        <v>No</v>
      </c>
      <c r="J456" s="6" t="str">
        <f t="shared" si="79"/>
        <v>No</v>
      </c>
      <c r="K456" t="s">
        <v>647</v>
      </c>
      <c r="L456" t="s">
        <v>654</v>
      </c>
      <c r="M456" t="s">
        <v>680</v>
      </c>
      <c r="N456" t="s">
        <v>705</v>
      </c>
      <c r="O456" t="s">
        <v>707</v>
      </c>
      <c r="P456" t="s">
        <v>724</v>
      </c>
      <c r="Q456" t="s">
        <v>728</v>
      </c>
      <c r="R456" t="s">
        <v>1139</v>
      </c>
      <c r="S456" s="6">
        <v>1361.34</v>
      </c>
      <c r="T456" s="6">
        <v>1737.9</v>
      </c>
      <c r="U456" s="6">
        <f t="shared" si="80"/>
        <v>1737.9</v>
      </c>
      <c r="V456" s="8">
        <v>7.6999999999999999E-2</v>
      </c>
      <c r="W456" s="6">
        <v>14</v>
      </c>
      <c r="X456" s="6">
        <f t="shared" si="81"/>
        <v>22457.143800000002</v>
      </c>
      <c r="Y456">
        <f t="shared" si="82"/>
        <v>19058.759999999998</v>
      </c>
      <c r="Z456" s="6">
        <f t="shared" si="83"/>
        <v>3398.3838000000032</v>
      </c>
      <c r="AA456">
        <f t="shared" si="84"/>
        <v>0.15132751654731813</v>
      </c>
      <c r="AB456" t="str">
        <f t="shared" si="85"/>
        <v>12-2024</v>
      </c>
      <c r="AC456" t="str">
        <f t="shared" si="86"/>
        <v>Q4-2024</v>
      </c>
      <c r="AD456" t="str">
        <f t="shared" si="87"/>
        <v>Asia →India →Delhi</v>
      </c>
      <c r="AE456" t="str">
        <f t="shared" si="77"/>
        <v>High</v>
      </c>
      <c r="AF456" t="str">
        <f>TEXT(Table1[[#This Row],[OrderDate]],"MMM")</f>
        <v>Dec</v>
      </c>
      <c r="AG456" t="str">
        <f>TEXT(Table1[[#This Row],[OrderDate]],"YYYY")</f>
        <v>2024</v>
      </c>
      <c r="AI456" s="4">
        <f>IF(Table1[[#This Row],[RequiredDate]]&lt;Table1[[#This Row],[OrderDate]], Table1[[#This Row],[OrderDate]]+7, Table1[[#This Row],[RequiredDate]])</f>
        <v>45671</v>
      </c>
      <c r="AJ456">
        <f>IF(Dashboard!$D$3&gt;'Staging Data'!V456,'Staging Data'!V456,Dashboard!D$3)</f>
        <v>7.6999999999999999E-2</v>
      </c>
      <c r="AK456" s="19">
        <f>(100%+Dashboard!$D$4)*'Staging Data'!S456</f>
        <v>1429.4069999999999</v>
      </c>
      <c r="AL456">
        <f>(100%+Dashboard!$D$5)*'Staging Data'!W456</f>
        <v>16.099999999999998</v>
      </c>
    </row>
    <row r="457" spans="1:38" x14ac:dyDescent="0.35">
      <c r="A457" s="6" t="s">
        <v>149</v>
      </c>
      <c r="B457" s="4">
        <v>45647</v>
      </c>
      <c r="C457" s="4">
        <v>45652</v>
      </c>
      <c r="D457" s="4">
        <f>IF(Table1[[#This Row],[RequiredDate]]&lt;Table1[[#This Row],[OrderDate]],Table1[[#This Row],[RequiredDate]],Table1[[#This Row],[OrderDate]])</f>
        <v>45647</v>
      </c>
      <c r="E457" s="4">
        <f>IF(Table1[[#This Row],[RequiredDate]]&gt;Table1[[#This Row],[OrderDate]],Table1[[#This Row],[RequiredDate]],Table1[[#This Row],[OrderDate]])</f>
        <v>45652</v>
      </c>
      <c r="F457" s="21">
        <f>Table1[[#This Row],[New RD]]-Table1[[#This Row],[new   od]]</f>
        <v>5</v>
      </c>
      <c r="G457" s="4">
        <f>IF(Table1[[#This Row],[RequiredDate]]&lt;Table1[[#This Row],[OrderDate]], Table1[[#This Row],[OrderDate]]+7, Table1[[#This Row],[RequiredDate]])</f>
        <v>45652</v>
      </c>
      <c r="H457" s="21">
        <f t="shared" si="78"/>
        <v>5</v>
      </c>
      <c r="I457" s="6" t="str">
        <f>IF(Table1[[#This Row],[New LTD]]&lt;=7,"Yes","No")</f>
        <v>Yes</v>
      </c>
      <c r="J457" s="6" t="str">
        <f t="shared" si="79"/>
        <v>No</v>
      </c>
      <c r="K457" t="s">
        <v>648</v>
      </c>
      <c r="L457" t="s">
        <v>660</v>
      </c>
      <c r="M457" t="s">
        <v>686</v>
      </c>
      <c r="N457" t="s">
        <v>704</v>
      </c>
      <c r="O457" t="s">
        <v>709</v>
      </c>
      <c r="P457" t="s">
        <v>724</v>
      </c>
      <c r="Q457" t="s">
        <v>728</v>
      </c>
      <c r="R457" t="s">
        <v>868</v>
      </c>
      <c r="S457" s="6">
        <v>699.57</v>
      </c>
      <c r="T457" s="6">
        <v>572.71</v>
      </c>
      <c r="U457" s="6">
        <f t="shared" si="80"/>
        <v>572.71</v>
      </c>
      <c r="V457" s="8">
        <v>0.192</v>
      </c>
      <c r="W457" s="6">
        <v>26</v>
      </c>
      <c r="X457" s="6">
        <f t="shared" si="81"/>
        <v>12031.491680000001</v>
      </c>
      <c r="Y457">
        <f t="shared" si="82"/>
        <v>18188.82</v>
      </c>
      <c r="Z457" s="6">
        <f t="shared" si="83"/>
        <v>-6157.3283199999987</v>
      </c>
      <c r="AA457">
        <f t="shared" si="84"/>
        <v>-0.51176765805651114</v>
      </c>
      <c r="AB457" t="str">
        <f t="shared" si="85"/>
        <v>12-2024</v>
      </c>
      <c r="AC457" t="str">
        <f t="shared" si="86"/>
        <v>Q4-2024</v>
      </c>
      <c r="AD457" t="str">
        <f t="shared" si="87"/>
        <v>Americas →USA →San Francisco</v>
      </c>
      <c r="AE457" t="str">
        <f t="shared" si="77"/>
        <v>Low</v>
      </c>
      <c r="AF457" t="str">
        <f>TEXT(Table1[[#This Row],[OrderDate]],"MMM")</f>
        <v>Dec</v>
      </c>
      <c r="AG457" t="str">
        <f>TEXT(Table1[[#This Row],[OrderDate]],"YYYY")</f>
        <v>2024</v>
      </c>
      <c r="AI457" s="4">
        <f>IF(Table1[[#This Row],[RequiredDate]]&lt;Table1[[#This Row],[OrderDate]], Table1[[#This Row],[OrderDate]]+7, Table1[[#This Row],[RequiredDate]])</f>
        <v>45652</v>
      </c>
      <c r="AJ457">
        <f>IF(Dashboard!$D$3&gt;'Staging Data'!V457,'Staging Data'!V457,Dashboard!D$3)</f>
        <v>0.192</v>
      </c>
      <c r="AK457" s="19">
        <f>(100%+Dashboard!$D$4)*'Staging Data'!S457</f>
        <v>734.5485000000001</v>
      </c>
      <c r="AL457">
        <f>(100%+Dashboard!$D$5)*'Staging Data'!W457</f>
        <v>29.9</v>
      </c>
    </row>
    <row r="458" spans="1:38" x14ac:dyDescent="0.35">
      <c r="A458" s="6" t="s">
        <v>156</v>
      </c>
      <c r="B458" s="4">
        <v>45649</v>
      </c>
      <c r="C458" s="4">
        <v>45668</v>
      </c>
      <c r="D458" s="4">
        <f>IF(Table1[[#This Row],[RequiredDate]]&lt;Table1[[#This Row],[OrderDate]],Table1[[#This Row],[RequiredDate]],Table1[[#This Row],[OrderDate]])</f>
        <v>45649</v>
      </c>
      <c r="E458" s="4">
        <f>IF(Table1[[#This Row],[RequiredDate]]&gt;Table1[[#This Row],[OrderDate]],Table1[[#This Row],[RequiredDate]],Table1[[#This Row],[OrderDate]])</f>
        <v>45668</v>
      </c>
      <c r="F458" s="21">
        <f>Table1[[#This Row],[New RD]]-Table1[[#This Row],[new   od]]</f>
        <v>19</v>
      </c>
      <c r="G458" s="4">
        <f>IF(Table1[[#This Row],[RequiredDate]]&lt;Table1[[#This Row],[OrderDate]], Table1[[#This Row],[OrderDate]]+7, Table1[[#This Row],[RequiredDate]])</f>
        <v>45668</v>
      </c>
      <c r="H458" s="21">
        <f t="shared" si="78"/>
        <v>19</v>
      </c>
      <c r="I458" s="6" t="str">
        <f>IF(Table1[[#This Row],[New LTD]]&lt;=7,"Yes","No")</f>
        <v>No</v>
      </c>
      <c r="J458" s="6" t="str">
        <f t="shared" si="79"/>
        <v>No</v>
      </c>
      <c r="K458" t="s">
        <v>649</v>
      </c>
      <c r="L458" t="s">
        <v>656</v>
      </c>
      <c r="M458" t="s">
        <v>671</v>
      </c>
      <c r="N458" t="s">
        <v>702</v>
      </c>
      <c r="O458" t="s">
        <v>707</v>
      </c>
      <c r="P458" t="s">
        <v>723</v>
      </c>
      <c r="Q458" t="s">
        <v>730</v>
      </c>
      <c r="R458" t="s">
        <v>875</v>
      </c>
      <c r="S458" s="6">
        <v>501.81</v>
      </c>
      <c r="T458" s="6">
        <v>921.62</v>
      </c>
      <c r="U458" s="6">
        <f t="shared" si="80"/>
        <v>921.62</v>
      </c>
      <c r="V458" s="8">
        <v>0.01</v>
      </c>
      <c r="W458" s="6">
        <v>9</v>
      </c>
      <c r="X458" s="6">
        <f t="shared" si="81"/>
        <v>8211.6342000000004</v>
      </c>
      <c r="Y458">
        <f t="shared" si="82"/>
        <v>4516.29</v>
      </c>
      <c r="Z458" s="6">
        <f t="shared" si="83"/>
        <v>3695.3442000000005</v>
      </c>
      <c r="AA458">
        <f t="shared" si="84"/>
        <v>0.45001325071202031</v>
      </c>
      <c r="AB458" t="str">
        <f t="shared" si="85"/>
        <v>12-2024</v>
      </c>
      <c r="AC458" t="str">
        <f t="shared" si="86"/>
        <v>Q4-2024</v>
      </c>
      <c r="AD458" t="str">
        <f t="shared" si="87"/>
        <v>Europe →Germany →Berlin</v>
      </c>
      <c r="AE458" t="str">
        <f t="shared" si="77"/>
        <v>Medium</v>
      </c>
      <c r="AF458" t="str">
        <f>TEXT(Table1[[#This Row],[OrderDate]],"MMM")</f>
        <v>Dec</v>
      </c>
      <c r="AG458" t="str">
        <f>TEXT(Table1[[#This Row],[OrderDate]],"YYYY")</f>
        <v>2024</v>
      </c>
      <c r="AI458" s="4">
        <f>IF(Table1[[#This Row],[RequiredDate]]&lt;Table1[[#This Row],[OrderDate]], Table1[[#This Row],[OrderDate]]+7, Table1[[#This Row],[RequiredDate]])</f>
        <v>45668</v>
      </c>
      <c r="AJ458">
        <f>IF(Dashboard!$D$3&gt;'Staging Data'!V458,'Staging Data'!V458,Dashboard!D$3)</f>
        <v>0.01</v>
      </c>
      <c r="AK458" s="19">
        <f>(100%+Dashboard!$D$4)*'Staging Data'!S458</f>
        <v>526.90050000000008</v>
      </c>
      <c r="AL458">
        <f>(100%+Dashboard!$D$5)*'Staging Data'!W458</f>
        <v>10.35</v>
      </c>
    </row>
    <row r="459" spans="1:38" x14ac:dyDescent="0.35">
      <c r="A459" s="6" t="s">
        <v>450</v>
      </c>
      <c r="B459" s="4">
        <v>45650</v>
      </c>
      <c r="C459" s="4">
        <v>45670</v>
      </c>
      <c r="D459" s="4">
        <f>IF(Table1[[#This Row],[RequiredDate]]&lt;Table1[[#This Row],[OrderDate]],Table1[[#This Row],[RequiredDate]],Table1[[#This Row],[OrderDate]])</f>
        <v>45650</v>
      </c>
      <c r="E459" s="4">
        <f>IF(Table1[[#This Row],[RequiredDate]]&gt;Table1[[#This Row],[OrderDate]],Table1[[#This Row],[RequiredDate]],Table1[[#This Row],[OrderDate]])</f>
        <v>45670</v>
      </c>
      <c r="F459" s="21">
        <f>Table1[[#This Row],[New RD]]-Table1[[#This Row],[new   od]]</f>
        <v>20</v>
      </c>
      <c r="G459" s="4">
        <f>IF(Table1[[#This Row],[RequiredDate]]&lt;Table1[[#This Row],[OrderDate]], Table1[[#This Row],[OrderDate]]+7, Table1[[#This Row],[RequiredDate]])</f>
        <v>45670</v>
      </c>
      <c r="H459" s="21">
        <f t="shared" si="78"/>
        <v>20</v>
      </c>
      <c r="I459" s="6" t="str">
        <f>IF(Table1[[#This Row],[New LTD]]&lt;=7,"Yes","No")</f>
        <v>No</v>
      </c>
      <c r="J459" s="6" t="str">
        <f t="shared" si="79"/>
        <v>No</v>
      </c>
      <c r="K459" t="s">
        <v>647</v>
      </c>
      <c r="L459" t="s">
        <v>654</v>
      </c>
      <c r="M459" t="s">
        <v>668</v>
      </c>
      <c r="N459" t="s">
        <v>701</v>
      </c>
      <c r="O459" t="s">
        <v>709</v>
      </c>
      <c r="P459" t="s">
        <v>726</v>
      </c>
      <c r="Q459" t="s">
        <v>729</v>
      </c>
      <c r="R459" t="s">
        <v>1169</v>
      </c>
      <c r="S459" s="6">
        <v>126.15</v>
      </c>
      <c r="T459" s="6">
        <v>284.23</v>
      </c>
      <c r="U459" s="6">
        <f t="shared" si="80"/>
        <v>284.23</v>
      </c>
      <c r="V459" s="8">
        <v>0.113</v>
      </c>
      <c r="W459" s="6">
        <v>22</v>
      </c>
      <c r="X459" s="6">
        <f t="shared" si="81"/>
        <v>5546.4642200000008</v>
      </c>
      <c r="Y459">
        <f t="shared" si="82"/>
        <v>2775.3</v>
      </c>
      <c r="Z459" s="6">
        <f t="shared" si="83"/>
        <v>2771.1642200000006</v>
      </c>
      <c r="AA459">
        <f t="shared" si="84"/>
        <v>0.49962716968541088</v>
      </c>
      <c r="AB459" t="str">
        <f t="shared" si="85"/>
        <v>12-2024</v>
      </c>
      <c r="AC459" t="str">
        <f t="shared" si="86"/>
        <v>Q4-2024</v>
      </c>
      <c r="AD459" t="str">
        <f t="shared" si="87"/>
        <v>Asia →India →Bengaluru</v>
      </c>
      <c r="AE459" t="str">
        <f t="shared" si="77"/>
        <v>Low</v>
      </c>
      <c r="AF459" t="str">
        <f>TEXT(Table1[[#This Row],[OrderDate]],"MMM")</f>
        <v>Dec</v>
      </c>
      <c r="AG459" t="str">
        <f>TEXT(Table1[[#This Row],[OrderDate]],"YYYY")</f>
        <v>2024</v>
      </c>
      <c r="AI459" s="4">
        <f>IF(Table1[[#This Row],[RequiredDate]]&lt;Table1[[#This Row],[OrderDate]], Table1[[#This Row],[OrderDate]]+7, Table1[[#This Row],[RequiredDate]])</f>
        <v>45670</v>
      </c>
      <c r="AJ459">
        <f>IF(Dashboard!$D$3&gt;'Staging Data'!V459,'Staging Data'!V459,Dashboard!D$3)</f>
        <v>0.113</v>
      </c>
      <c r="AK459" s="19">
        <f>(100%+Dashboard!$D$4)*'Staging Data'!S459</f>
        <v>132.45750000000001</v>
      </c>
      <c r="AL459">
        <f>(100%+Dashboard!$D$5)*'Staging Data'!W459</f>
        <v>25.299999999999997</v>
      </c>
    </row>
    <row r="460" spans="1:38" x14ac:dyDescent="0.35">
      <c r="A460" s="6" t="s">
        <v>21</v>
      </c>
      <c r="B460" s="4">
        <v>45653</v>
      </c>
      <c r="C460" s="4">
        <v>45671</v>
      </c>
      <c r="D460" s="4">
        <f>IF(Table1[[#This Row],[RequiredDate]]&lt;Table1[[#This Row],[OrderDate]],Table1[[#This Row],[RequiredDate]],Table1[[#This Row],[OrderDate]])</f>
        <v>45653</v>
      </c>
      <c r="E460" s="4">
        <f>IF(Table1[[#This Row],[RequiredDate]]&gt;Table1[[#This Row],[OrderDate]],Table1[[#This Row],[RequiredDate]],Table1[[#This Row],[OrderDate]])</f>
        <v>45671</v>
      </c>
      <c r="F460" s="21">
        <f>Table1[[#This Row],[New RD]]-Table1[[#This Row],[new   od]]</f>
        <v>18</v>
      </c>
      <c r="G460" s="4">
        <f>IF(Table1[[#This Row],[RequiredDate]]&lt;Table1[[#This Row],[OrderDate]], Table1[[#This Row],[OrderDate]]+7, Table1[[#This Row],[RequiredDate]])</f>
        <v>45671</v>
      </c>
      <c r="H460" s="21">
        <f t="shared" si="78"/>
        <v>18</v>
      </c>
      <c r="I460" s="6" t="str">
        <f>IF(Table1[[#This Row],[New LTD]]&lt;=7,"Yes","No")</f>
        <v>No</v>
      </c>
      <c r="J460" s="6" t="str">
        <f t="shared" si="79"/>
        <v>No</v>
      </c>
      <c r="K460" t="s">
        <v>647</v>
      </c>
      <c r="L460" t="s">
        <v>654</v>
      </c>
      <c r="M460" t="s">
        <v>668</v>
      </c>
      <c r="N460" t="s">
        <v>705</v>
      </c>
      <c r="O460" t="s">
        <v>709</v>
      </c>
      <c r="P460" t="s">
        <v>718</v>
      </c>
      <c r="Q460" t="s">
        <v>732</v>
      </c>
      <c r="R460" t="s">
        <v>740</v>
      </c>
      <c r="S460" s="6">
        <v>586.07000000000005</v>
      </c>
      <c r="T460" s="6">
        <v>845.97</v>
      </c>
      <c r="U460" s="6">
        <f t="shared" si="80"/>
        <v>845.97</v>
      </c>
      <c r="V460" s="8">
        <v>0.14699999999999999</v>
      </c>
      <c r="W460" s="6">
        <v>4</v>
      </c>
      <c r="X460" s="6">
        <f t="shared" si="81"/>
        <v>2886.4496399999998</v>
      </c>
      <c r="Y460">
        <f t="shared" si="82"/>
        <v>2344.2800000000002</v>
      </c>
      <c r="Z460" s="6">
        <f t="shared" si="83"/>
        <v>542.16963999999962</v>
      </c>
      <c r="AA460">
        <f t="shared" si="84"/>
        <v>0.18783270370862928</v>
      </c>
      <c r="AB460" t="str">
        <f t="shared" si="85"/>
        <v>12-2024</v>
      </c>
      <c r="AC460" t="str">
        <f t="shared" si="86"/>
        <v>Q4-2024</v>
      </c>
      <c r="AD460" t="str">
        <f t="shared" si="87"/>
        <v>Asia →India →Bengaluru</v>
      </c>
      <c r="AE460" t="str">
        <f t="shared" si="77"/>
        <v>Medium</v>
      </c>
      <c r="AF460" t="str">
        <f>TEXT(Table1[[#This Row],[OrderDate]],"MMM")</f>
        <v>Dec</v>
      </c>
      <c r="AG460" t="str">
        <f>TEXT(Table1[[#This Row],[OrderDate]],"YYYY")</f>
        <v>2024</v>
      </c>
      <c r="AI460" s="4">
        <f>IF(Table1[[#This Row],[RequiredDate]]&lt;Table1[[#This Row],[OrderDate]], Table1[[#This Row],[OrderDate]]+7, Table1[[#This Row],[RequiredDate]])</f>
        <v>45671</v>
      </c>
      <c r="AJ460">
        <f>IF(Dashboard!$D$3&gt;'Staging Data'!V460,'Staging Data'!V460,Dashboard!D$3)</f>
        <v>0.14699999999999999</v>
      </c>
      <c r="AK460" s="19">
        <f>(100%+Dashboard!$D$4)*'Staging Data'!S460</f>
        <v>615.37350000000004</v>
      </c>
      <c r="AL460">
        <f>(100%+Dashboard!$D$5)*'Staging Data'!W460</f>
        <v>4.5999999999999996</v>
      </c>
    </row>
    <row r="461" spans="1:38" x14ac:dyDescent="0.35">
      <c r="A461" s="6" t="s">
        <v>45</v>
      </c>
      <c r="B461" s="4">
        <v>45653</v>
      </c>
      <c r="C461" s="4">
        <v>45672</v>
      </c>
      <c r="D461" s="4">
        <f>IF(Table1[[#This Row],[RequiredDate]]&lt;Table1[[#This Row],[OrderDate]],Table1[[#This Row],[RequiredDate]],Table1[[#This Row],[OrderDate]])</f>
        <v>45653</v>
      </c>
      <c r="E461" s="4">
        <f>IF(Table1[[#This Row],[RequiredDate]]&gt;Table1[[#This Row],[OrderDate]],Table1[[#This Row],[RequiredDate]],Table1[[#This Row],[OrderDate]])</f>
        <v>45672</v>
      </c>
      <c r="F461" s="21">
        <f>Table1[[#This Row],[New RD]]-Table1[[#This Row],[new   od]]</f>
        <v>19</v>
      </c>
      <c r="G461" s="4">
        <f>IF(Table1[[#This Row],[RequiredDate]]&lt;Table1[[#This Row],[OrderDate]], Table1[[#This Row],[OrderDate]]+7, Table1[[#This Row],[RequiredDate]])</f>
        <v>45672</v>
      </c>
      <c r="H461" s="21">
        <f t="shared" si="78"/>
        <v>19</v>
      </c>
      <c r="I461" s="6" t="str">
        <f>IF(Table1[[#This Row],[New LTD]]&lt;=7,"Yes","No")</f>
        <v>No</v>
      </c>
      <c r="J461" s="6" t="str">
        <f t="shared" si="79"/>
        <v>No</v>
      </c>
      <c r="K461" t="s">
        <v>647</v>
      </c>
      <c r="L461" t="s">
        <v>654</v>
      </c>
      <c r="M461" t="s">
        <v>680</v>
      </c>
      <c r="N461" t="s">
        <v>703</v>
      </c>
      <c r="O461" t="s">
        <v>710</v>
      </c>
      <c r="P461" t="s">
        <v>715</v>
      </c>
      <c r="Q461" t="s">
        <v>727</v>
      </c>
      <c r="R461" t="s">
        <v>764</v>
      </c>
      <c r="S461" s="6">
        <v>495.59</v>
      </c>
      <c r="T461" s="6">
        <v>631.78</v>
      </c>
      <c r="U461" s="6">
        <f t="shared" si="80"/>
        <v>631.78</v>
      </c>
      <c r="V461" s="8">
        <v>8.6999999999999994E-2</v>
      </c>
      <c r="W461" s="6">
        <v>17</v>
      </c>
      <c r="X461" s="6">
        <f t="shared" si="81"/>
        <v>9805.8573800000013</v>
      </c>
      <c r="Y461">
        <f t="shared" si="82"/>
        <v>8425.0299999999988</v>
      </c>
      <c r="Z461" s="6">
        <f t="shared" si="83"/>
        <v>1380.8273800000024</v>
      </c>
      <c r="AA461">
        <f t="shared" si="84"/>
        <v>0.14081658813601899</v>
      </c>
      <c r="AB461" t="str">
        <f t="shared" si="85"/>
        <v>12-2024</v>
      </c>
      <c r="AC461" t="str">
        <f t="shared" si="86"/>
        <v>Q4-2024</v>
      </c>
      <c r="AD461" t="str">
        <f t="shared" si="87"/>
        <v>Asia →India →Delhi</v>
      </c>
      <c r="AE461" t="str">
        <f t="shared" si="77"/>
        <v>Low</v>
      </c>
      <c r="AF461" t="str">
        <f>TEXT(Table1[[#This Row],[OrderDate]],"MMM")</f>
        <v>Dec</v>
      </c>
      <c r="AG461" t="str">
        <f>TEXT(Table1[[#This Row],[OrderDate]],"YYYY")</f>
        <v>2024</v>
      </c>
      <c r="AI461" s="4">
        <f>IF(Table1[[#This Row],[RequiredDate]]&lt;Table1[[#This Row],[OrderDate]], Table1[[#This Row],[OrderDate]]+7, Table1[[#This Row],[RequiredDate]])</f>
        <v>45672</v>
      </c>
      <c r="AJ461">
        <f>IF(Dashboard!$D$3&gt;'Staging Data'!V461,'Staging Data'!V461,Dashboard!D$3)</f>
        <v>8.6999999999999994E-2</v>
      </c>
      <c r="AK461" s="19">
        <f>(100%+Dashboard!$D$4)*'Staging Data'!S461</f>
        <v>520.36950000000002</v>
      </c>
      <c r="AL461">
        <f>(100%+Dashboard!$D$5)*'Staging Data'!W461</f>
        <v>19.549999999999997</v>
      </c>
    </row>
    <row r="462" spans="1:38" x14ac:dyDescent="0.35">
      <c r="A462" s="6" t="s">
        <v>132</v>
      </c>
      <c r="B462" s="4">
        <v>45653</v>
      </c>
      <c r="C462" s="4">
        <v>45659</v>
      </c>
      <c r="D462" s="4">
        <f>IF(Table1[[#This Row],[RequiredDate]]&lt;Table1[[#This Row],[OrderDate]],Table1[[#This Row],[RequiredDate]],Table1[[#This Row],[OrderDate]])</f>
        <v>45653</v>
      </c>
      <c r="E462" s="4">
        <f>IF(Table1[[#This Row],[RequiredDate]]&gt;Table1[[#This Row],[OrderDate]],Table1[[#This Row],[RequiredDate]],Table1[[#This Row],[OrderDate]])</f>
        <v>45659</v>
      </c>
      <c r="F462" s="21">
        <f>Table1[[#This Row],[New RD]]-Table1[[#This Row],[new   od]]</f>
        <v>6</v>
      </c>
      <c r="G462" s="4">
        <f>IF(Table1[[#This Row],[RequiredDate]]&lt;Table1[[#This Row],[OrderDate]], Table1[[#This Row],[OrderDate]]+7, Table1[[#This Row],[RequiredDate]])</f>
        <v>45659</v>
      </c>
      <c r="H462" s="21">
        <f t="shared" si="78"/>
        <v>6</v>
      </c>
      <c r="I462" s="6" t="str">
        <f>IF(Table1[[#This Row],[New LTD]]&lt;=7,"Yes","No")</f>
        <v>Yes</v>
      </c>
      <c r="J462" s="6" t="str">
        <f t="shared" si="79"/>
        <v>No</v>
      </c>
      <c r="K462" t="s">
        <v>649</v>
      </c>
      <c r="L462" t="s">
        <v>656</v>
      </c>
      <c r="M462" t="s">
        <v>698</v>
      </c>
      <c r="N462" t="s">
        <v>702</v>
      </c>
      <c r="O462" t="s">
        <v>711</v>
      </c>
      <c r="P462" t="s">
        <v>721</v>
      </c>
      <c r="Q462" t="s">
        <v>731</v>
      </c>
      <c r="R462" t="s">
        <v>851</v>
      </c>
      <c r="S462" s="6">
        <v>1391.99</v>
      </c>
      <c r="T462" s="6">
        <v>3469.7</v>
      </c>
      <c r="U462" s="6">
        <f t="shared" si="80"/>
        <v>3469.7</v>
      </c>
      <c r="V462" s="8">
        <v>0.184</v>
      </c>
      <c r="W462" s="6">
        <v>23</v>
      </c>
      <c r="X462" s="6">
        <f t="shared" si="81"/>
        <v>65119.329599999997</v>
      </c>
      <c r="Y462">
        <f t="shared" si="82"/>
        <v>32015.77</v>
      </c>
      <c r="Z462" s="6">
        <f t="shared" si="83"/>
        <v>33103.559599999993</v>
      </c>
      <c r="AA462">
        <f t="shared" si="84"/>
        <v>0.50835227886006973</v>
      </c>
      <c r="AB462" t="str">
        <f t="shared" si="85"/>
        <v>12-2024</v>
      </c>
      <c r="AC462" t="str">
        <f t="shared" si="86"/>
        <v>Q4-2024</v>
      </c>
      <c r="AD462" t="str">
        <f t="shared" si="87"/>
        <v>Europe →Germany →Frankfurt</v>
      </c>
      <c r="AE462" t="str">
        <f t="shared" si="77"/>
        <v>High</v>
      </c>
      <c r="AF462" t="str">
        <f>TEXT(Table1[[#This Row],[OrderDate]],"MMM")</f>
        <v>Dec</v>
      </c>
      <c r="AG462" t="str">
        <f>TEXT(Table1[[#This Row],[OrderDate]],"YYYY")</f>
        <v>2024</v>
      </c>
      <c r="AI462" s="4">
        <f>IF(Table1[[#This Row],[RequiredDate]]&lt;Table1[[#This Row],[OrderDate]], Table1[[#This Row],[OrderDate]]+7, Table1[[#This Row],[RequiredDate]])</f>
        <v>45659</v>
      </c>
      <c r="AJ462">
        <f>IF(Dashboard!$D$3&gt;'Staging Data'!V462,'Staging Data'!V462,Dashboard!D$3)</f>
        <v>0.184</v>
      </c>
      <c r="AK462" s="19">
        <f>(100%+Dashboard!$D$4)*'Staging Data'!S462</f>
        <v>1461.5895</v>
      </c>
      <c r="AL462">
        <f>(100%+Dashboard!$D$5)*'Staging Data'!W462</f>
        <v>26.45</v>
      </c>
    </row>
    <row r="463" spans="1:38" x14ac:dyDescent="0.35">
      <c r="A463" s="6" t="s">
        <v>469</v>
      </c>
      <c r="B463" s="4">
        <v>45653</v>
      </c>
      <c r="C463" s="4">
        <v>45655</v>
      </c>
      <c r="D463" s="4">
        <f>IF(Table1[[#This Row],[RequiredDate]]&lt;Table1[[#This Row],[OrderDate]],Table1[[#This Row],[RequiredDate]],Table1[[#This Row],[OrderDate]])</f>
        <v>45653</v>
      </c>
      <c r="E463" s="4">
        <f>IF(Table1[[#This Row],[RequiredDate]]&gt;Table1[[#This Row],[OrderDate]],Table1[[#This Row],[RequiredDate]],Table1[[#This Row],[OrderDate]])</f>
        <v>45655</v>
      </c>
      <c r="F463" s="21">
        <f>Table1[[#This Row],[New RD]]-Table1[[#This Row],[new   od]]</f>
        <v>2</v>
      </c>
      <c r="G463" s="4">
        <f>IF(Table1[[#This Row],[RequiredDate]]&lt;Table1[[#This Row],[OrderDate]], Table1[[#This Row],[OrderDate]]+7, Table1[[#This Row],[RequiredDate]])</f>
        <v>45655</v>
      </c>
      <c r="H463" s="21">
        <f t="shared" si="78"/>
        <v>2</v>
      </c>
      <c r="I463" s="6" t="str">
        <f>IF(Table1[[#This Row],[New LTD]]&lt;=7,"Yes","No")</f>
        <v>Yes</v>
      </c>
      <c r="J463" s="6" t="str">
        <f t="shared" si="79"/>
        <v>No</v>
      </c>
      <c r="K463" t="s">
        <v>648</v>
      </c>
      <c r="L463" t="s">
        <v>653</v>
      </c>
      <c r="M463" t="s">
        <v>688</v>
      </c>
      <c r="N463" t="s">
        <v>706</v>
      </c>
      <c r="O463" t="s">
        <v>709</v>
      </c>
      <c r="P463" t="s">
        <v>712</v>
      </c>
      <c r="Q463" t="s">
        <v>733</v>
      </c>
      <c r="R463" t="s">
        <v>1188</v>
      </c>
      <c r="S463" s="6">
        <v>1146.72</v>
      </c>
      <c r="T463" s="6">
        <v>2074.34</v>
      </c>
      <c r="U463" s="6">
        <f t="shared" si="80"/>
        <v>2074.34</v>
      </c>
      <c r="V463" s="8">
        <v>0.111</v>
      </c>
      <c r="W463" s="6">
        <v>8</v>
      </c>
      <c r="X463" s="6">
        <f t="shared" si="81"/>
        <v>14752.706080000002</v>
      </c>
      <c r="Y463">
        <f t="shared" si="82"/>
        <v>9173.76</v>
      </c>
      <c r="Z463" s="6">
        <f t="shared" si="83"/>
        <v>5578.9460800000015</v>
      </c>
      <c r="AA463">
        <f t="shared" si="84"/>
        <v>0.37816425337472737</v>
      </c>
      <c r="AB463" t="str">
        <f t="shared" si="85"/>
        <v>12-2024</v>
      </c>
      <c r="AC463" t="str">
        <f t="shared" si="86"/>
        <v>Q4-2024</v>
      </c>
      <c r="AD463" t="str">
        <f t="shared" si="87"/>
        <v>Americas →Canada →Vancouver</v>
      </c>
      <c r="AE463" t="str">
        <f t="shared" si="77"/>
        <v>High</v>
      </c>
      <c r="AF463" t="str">
        <f>TEXT(Table1[[#This Row],[OrderDate]],"MMM")</f>
        <v>Dec</v>
      </c>
      <c r="AG463" t="str">
        <f>TEXT(Table1[[#This Row],[OrderDate]],"YYYY")</f>
        <v>2024</v>
      </c>
      <c r="AI463" s="4">
        <f>IF(Table1[[#This Row],[RequiredDate]]&lt;Table1[[#This Row],[OrderDate]], Table1[[#This Row],[OrderDate]]+7, Table1[[#This Row],[RequiredDate]])</f>
        <v>45655</v>
      </c>
      <c r="AJ463">
        <f>IF(Dashboard!$D$3&gt;'Staging Data'!V463,'Staging Data'!V463,Dashboard!D$3)</f>
        <v>0.111</v>
      </c>
      <c r="AK463" s="19">
        <f>(100%+Dashboard!$D$4)*'Staging Data'!S463</f>
        <v>1204.056</v>
      </c>
      <c r="AL463">
        <f>(100%+Dashboard!$D$5)*'Staging Data'!W463</f>
        <v>9.1999999999999993</v>
      </c>
    </row>
    <row r="464" spans="1:38" x14ac:dyDescent="0.35">
      <c r="A464" s="6" t="s">
        <v>445</v>
      </c>
      <c r="B464" s="4">
        <v>45654</v>
      </c>
      <c r="C464" s="4">
        <v>45665</v>
      </c>
      <c r="D464" s="4">
        <f>IF(Table1[[#This Row],[RequiredDate]]&lt;Table1[[#This Row],[OrderDate]],Table1[[#This Row],[RequiredDate]],Table1[[#This Row],[OrderDate]])</f>
        <v>45654</v>
      </c>
      <c r="E464" s="4">
        <f>IF(Table1[[#This Row],[RequiredDate]]&gt;Table1[[#This Row],[OrderDate]],Table1[[#This Row],[RequiredDate]],Table1[[#This Row],[OrderDate]])</f>
        <v>45665</v>
      </c>
      <c r="F464" s="21">
        <f>Table1[[#This Row],[New RD]]-Table1[[#This Row],[new   od]]</f>
        <v>11</v>
      </c>
      <c r="G464" s="4">
        <f>IF(Table1[[#This Row],[RequiredDate]]&lt;Table1[[#This Row],[OrderDate]], Table1[[#This Row],[OrderDate]]+7, Table1[[#This Row],[RequiredDate]])</f>
        <v>45665</v>
      </c>
      <c r="H464" s="21">
        <f t="shared" si="78"/>
        <v>11</v>
      </c>
      <c r="I464" s="6" t="str">
        <f>IF(Table1[[#This Row],[New LTD]]&lt;=7,"Yes","No")</f>
        <v>No</v>
      </c>
      <c r="J464" s="6" t="str">
        <f t="shared" si="79"/>
        <v>No</v>
      </c>
      <c r="K464" t="s">
        <v>647</v>
      </c>
      <c r="L464" t="s">
        <v>659</v>
      </c>
      <c r="M464" t="s">
        <v>676</v>
      </c>
      <c r="N464" t="s">
        <v>706</v>
      </c>
      <c r="O464" t="s">
        <v>708</v>
      </c>
      <c r="P464" t="s">
        <v>723</v>
      </c>
      <c r="Q464" t="s">
        <v>731</v>
      </c>
      <c r="R464" t="s">
        <v>1164</v>
      </c>
      <c r="S464" s="6">
        <v>1201.31</v>
      </c>
      <c r="T464" s="6">
        <v>2764.65</v>
      </c>
      <c r="U464" s="6">
        <f t="shared" si="80"/>
        <v>2764.65</v>
      </c>
      <c r="V464" s="8">
        <v>0</v>
      </c>
      <c r="W464" s="6">
        <v>21</v>
      </c>
      <c r="X464" s="6">
        <f t="shared" si="81"/>
        <v>58057.65</v>
      </c>
      <c r="Y464">
        <f t="shared" si="82"/>
        <v>25227.51</v>
      </c>
      <c r="Z464" s="6">
        <f t="shared" si="83"/>
        <v>32830.14</v>
      </c>
      <c r="AA464">
        <f t="shared" si="84"/>
        <v>0.56547483406579491</v>
      </c>
      <c r="AB464" t="str">
        <f t="shared" si="85"/>
        <v>12-2024</v>
      </c>
      <c r="AC464" t="str">
        <f t="shared" si="86"/>
        <v>Q4-2024</v>
      </c>
      <c r="AD464" t="str">
        <f t="shared" si="87"/>
        <v>Asia →China →Shenzhen</v>
      </c>
      <c r="AE464" t="str">
        <f t="shared" si="77"/>
        <v>High</v>
      </c>
      <c r="AF464" t="str">
        <f>TEXT(Table1[[#This Row],[OrderDate]],"MMM")</f>
        <v>Dec</v>
      </c>
      <c r="AG464" t="str">
        <f>TEXT(Table1[[#This Row],[OrderDate]],"YYYY")</f>
        <v>2024</v>
      </c>
      <c r="AI464" s="4">
        <f>IF(Table1[[#This Row],[RequiredDate]]&lt;Table1[[#This Row],[OrderDate]], Table1[[#This Row],[OrderDate]]+7, Table1[[#This Row],[RequiredDate]])</f>
        <v>45665</v>
      </c>
      <c r="AJ464">
        <f>IF(Dashboard!$D$3&gt;'Staging Data'!V464,'Staging Data'!V464,Dashboard!D$3)</f>
        <v>0</v>
      </c>
      <c r="AK464" s="19">
        <f>(100%+Dashboard!$D$4)*'Staging Data'!S464</f>
        <v>1261.3755000000001</v>
      </c>
      <c r="AL464">
        <f>(100%+Dashboard!$D$5)*'Staging Data'!W464</f>
        <v>24.15</v>
      </c>
    </row>
    <row r="465" spans="1:38" x14ac:dyDescent="0.35">
      <c r="A465" s="6" t="s">
        <v>324</v>
      </c>
      <c r="B465" s="4">
        <v>45655</v>
      </c>
      <c r="C465" s="4">
        <v>45669</v>
      </c>
      <c r="D465" s="4">
        <f>IF(Table1[[#This Row],[RequiredDate]]&lt;Table1[[#This Row],[OrderDate]],Table1[[#This Row],[RequiredDate]],Table1[[#This Row],[OrderDate]])</f>
        <v>45655</v>
      </c>
      <c r="E465" s="4">
        <f>IF(Table1[[#This Row],[RequiredDate]]&gt;Table1[[#This Row],[OrderDate]],Table1[[#This Row],[RequiredDate]],Table1[[#This Row],[OrderDate]])</f>
        <v>45669</v>
      </c>
      <c r="F465" s="21">
        <f>Table1[[#This Row],[New RD]]-Table1[[#This Row],[new   od]]</f>
        <v>14</v>
      </c>
      <c r="G465" s="4">
        <f>IF(Table1[[#This Row],[RequiredDate]]&lt;Table1[[#This Row],[OrderDate]], Table1[[#This Row],[OrderDate]]+7, Table1[[#This Row],[RequiredDate]])</f>
        <v>45669</v>
      </c>
      <c r="H465" s="21">
        <f t="shared" si="78"/>
        <v>14</v>
      </c>
      <c r="I465" s="6" t="str">
        <f>IF(Table1[[#This Row],[New LTD]]&lt;=7,"Yes","No")</f>
        <v>No</v>
      </c>
      <c r="J465" s="6" t="str">
        <f t="shared" si="79"/>
        <v>No</v>
      </c>
      <c r="K465" t="s">
        <v>649</v>
      </c>
      <c r="L465" t="s">
        <v>658</v>
      </c>
      <c r="M465" t="s">
        <v>693</v>
      </c>
      <c r="N465" t="s">
        <v>701</v>
      </c>
      <c r="O465" t="s">
        <v>711</v>
      </c>
      <c r="P465" t="s">
        <v>717</v>
      </c>
      <c r="Q465" t="s">
        <v>732</v>
      </c>
      <c r="R465" t="s">
        <v>1044</v>
      </c>
      <c r="S465" s="6">
        <v>1399.72</v>
      </c>
      <c r="T465" s="6">
        <v>3149.21</v>
      </c>
      <c r="U465" s="6">
        <f t="shared" si="80"/>
        <v>3149.21</v>
      </c>
      <c r="V465" s="8">
        <v>0.185</v>
      </c>
      <c r="W465" s="6">
        <v>12</v>
      </c>
      <c r="X465" s="6">
        <f t="shared" si="81"/>
        <v>30799.273800000003</v>
      </c>
      <c r="Y465">
        <f t="shared" si="82"/>
        <v>16796.64</v>
      </c>
      <c r="Z465" s="6">
        <f t="shared" si="83"/>
        <v>14002.633800000003</v>
      </c>
      <c r="AA465">
        <f t="shared" si="84"/>
        <v>0.45464168703873797</v>
      </c>
      <c r="AB465" t="str">
        <f t="shared" si="85"/>
        <v>12-2024</v>
      </c>
      <c r="AC465" t="str">
        <f t="shared" si="86"/>
        <v>Q4-2024</v>
      </c>
      <c r="AD465" t="str">
        <f t="shared" si="87"/>
        <v>Europe →United Kingdom →Manchester</v>
      </c>
      <c r="AE465" t="str">
        <f t="shared" si="77"/>
        <v>High</v>
      </c>
      <c r="AF465" t="str">
        <f>TEXT(Table1[[#This Row],[OrderDate]],"MMM")</f>
        <v>Dec</v>
      </c>
      <c r="AG465" t="str">
        <f>TEXT(Table1[[#This Row],[OrderDate]],"YYYY")</f>
        <v>2024</v>
      </c>
      <c r="AI465" s="4">
        <f>IF(Table1[[#This Row],[RequiredDate]]&lt;Table1[[#This Row],[OrderDate]], Table1[[#This Row],[OrderDate]]+7, Table1[[#This Row],[RequiredDate]])</f>
        <v>45669</v>
      </c>
      <c r="AJ465">
        <f>IF(Dashboard!$D$3&gt;'Staging Data'!V465,'Staging Data'!V465,Dashboard!D$3)</f>
        <v>0.185</v>
      </c>
      <c r="AK465" s="19">
        <f>(100%+Dashboard!$D$4)*'Staging Data'!S465</f>
        <v>1469.7060000000001</v>
      </c>
      <c r="AL465">
        <f>(100%+Dashboard!$D$5)*'Staging Data'!W465</f>
        <v>13.799999999999999</v>
      </c>
    </row>
    <row r="466" spans="1:38" x14ac:dyDescent="0.35">
      <c r="A466" s="6" t="s">
        <v>26</v>
      </c>
      <c r="B466" s="4">
        <v>45660</v>
      </c>
      <c r="C466" s="4">
        <v>45680</v>
      </c>
      <c r="D466" s="4">
        <f>IF(Table1[[#This Row],[RequiredDate]]&lt;Table1[[#This Row],[OrderDate]],Table1[[#This Row],[RequiredDate]],Table1[[#This Row],[OrderDate]])</f>
        <v>45660</v>
      </c>
      <c r="E466" s="4">
        <f>IF(Table1[[#This Row],[RequiredDate]]&gt;Table1[[#This Row],[OrderDate]],Table1[[#This Row],[RequiredDate]],Table1[[#This Row],[OrderDate]])</f>
        <v>45680</v>
      </c>
      <c r="F466" s="21">
        <f>Table1[[#This Row],[New RD]]-Table1[[#This Row],[new   od]]</f>
        <v>20</v>
      </c>
      <c r="G466" s="4">
        <f>IF(Table1[[#This Row],[RequiredDate]]&lt;Table1[[#This Row],[OrderDate]], Table1[[#This Row],[OrderDate]]+7, Table1[[#This Row],[RequiredDate]])</f>
        <v>45680</v>
      </c>
      <c r="H466" s="21">
        <f t="shared" si="78"/>
        <v>20</v>
      </c>
      <c r="I466" s="6" t="str">
        <f>IF(Table1[[#This Row],[New LTD]]&lt;=7,"Yes","No")</f>
        <v>No</v>
      </c>
      <c r="J466" s="6" t="str">
        <f t="shared" si="79"/>
        <v>Yes</v>
      </c>
      <c r="K466" t="s">
        <v>647</v>
      </c>
      <c r="L466" t="s">
        <v>652</v>
      </c>
      <c r="M466" t="s">
        <v>666</v>
      </c>
      <c r="N466" t="s">
        <v>701</v>
      </c>
      <c r="O466" t="s">
        <v>710</v>
      </c>
      <c r="P466" t="s">
        <v>721</v>
      </c>
      <c r="Q466" t="s">
        <v>730</v>
      </c>
      <c r="R466" t="s">
        <v>745</v>
      </c>
      <c r="S466" s="6">
        <v>908.6</v>
      </c>
      <c r="T466" s="6">
        <v>691.37</v>
      </c>
      <c r="U466" s="6">
        <f t="shared" si="80"/>
        <v>691.37</v>
      </c>
      <c r="V466" s="8">
        <v>0.25</v>
      </c>
      <c r="W466" s="6">
        <v>20</v>
      </c>
      <c r="X466" s="6">
        <f t="shared" si="81"/>
        <v>10370.549999999999</v>
      </c>
      <c r="Y466">
        <f t="shared" si="82"/>
        <v>18172</v>
      </c>
      <c r="Z466" s="6">
        <f t="shared" si="83"/>
        <v>-7801.4500000000007</v>
      </c>
      <c r="AA466">
        <f t="shared" si="84"/>
        <v>-0.75226964818645115</v>
      </c>
      <c r="AB466" t="str">
        <f t="shared" si="85"/>
        <v>1-2025</v>
      </c>
      <c r="AC466" t="str">
        <f t="shared" si="86"/>
        <v>Q1-2025</v>
      </c>
      <c r="AD466" t="str">
        <f t="shared" si="87"/>
        <v>Asia →Japan →Osaka</v>
      </c>
      <c r="AE466" t="str">
        <f t="shared" si="77"/>
        <v>Low</v>
      </c>
      <c r="AF466" t="str">
        <f>TEXT(Table1[[#This Row],[OrderDate]],"MMM")</f>
        <v>Jan</v>
      </c>
      <c r="AG466" t="str">
        <f>TEXT(Table1[[#This Row],[OrderDate]],"YYYY")</f>
        <v>2025</v>
      </c>
      <c r="AI466" s="4">
        <f>IF(Table1[[#This Row],[RequiredDate]]&lt;Table1[[#This Row],[OrderDate]], Table1[[#This Row],[OrderDate]]+7, Table1[[#This Row],[RequiredDate]])</f>
        <v>45680</v>
      </c>
      <c r="AJ466">
        <f>IF(Dashboard!$D$3&gt;'Staging Data'!V466,'Staging Data'!V466,Dashboard!D$3)</f>
        <v>0.2</v>
      </c>
      <c r="AK466" s="19">
        <f>(100%+Dashboard!$D$4)*'Staging Data'!S466</f>
        <v>954.03000000000009</v>
      </c>
      <c r="AL466">
        <f>(100%+Dashboard!$D$5)*'Staging Data'!W466</f>
        <v>23</v>
      </c>
    </row>
    <row r="467" spans="1:38" x14ac:dyDescent="0.35">
      <c r="A467" s="6" t="s">
        <v>528</v>
      </c>
      <c r="B467" s="4">
        <v>45661</v>
      </c>
      <c r="C467" s="4">
        <v>45662</v>
      </c>
      <c r="D467" s="4">
        <f>IF(Table1[[#This Row],[RequiredDate]]&lt;Table1[[#This Row],[OrderDate]],Table1[[#This Row],[RequiredDate]],Table1[[#This Row],[OrderDate]])</f>
        <v>45661</v>
      </c>
      <c r="E467" s="4">
        <f>IF(Table1[[#This Row],[RequiredDate]]&gt;Table1[[#This Row],[OrderDate]],Table1[[#This Row],[RequiredDate]],Table1[[#This Row],[OrderDate]])</f>
        <v>45662</v>
      </c>
      <c r="F467" s="21">
        <f>Table1[[#This Row],[New RD]]-Table1[[#This Row],[new   od]]</f>
        <v>1</v>
      </c>
      <c r="G467" s="4">
        <f>IF(Table1[[#This Row],[RequiredDate]]&lt;Table1[[#This Row],[OrderDate]], Table1[[#This Row],[OrderDate]]+7, Table1[[#This Row],[RequiredDate]])</f>
        <v>45662</v>
      </c>
      <c r="H467" s="21">
        <f t="shared" si="78"/>
        <v>1</v>
      </c>
      <c r="I467" s="6" t="str">
        <f>IF(Table1[[#This Row],[New LTD]]&lt;=7,"Yes","No")</f>
        <v>Yes</v>
      </c>
      <c r="J467" s="6" t="str">
        <f t="shared" si="79"/>
        <v>No</v>
      </c>
      <c r="K467" t="s">
        <v>647</v>
      </c>
      <c r="L467" t="s">
        <v>654</v>
      </c>
      <c r="M467" t="s">
        <v>680</v>
      </c>
      <c r="N467" t="s">
        <v>702</v>
      </c>
      <c r="O467" t="s">
        <v>707</v>
      </c>
      <c r="P467" t="s">
        <v>714</v>
      </c>
      <c r="Q467" t="s">
        <v>727</v>
      </c>
      <c r="R467" t="s">
        <v>1247</v>
      </c>
      <c r="S467" s="6">
        <v>1428.33</v>
      </c>
      <c r="T467" s="6">
        <v>3028.05</v>
      </c>
      <c r="U467" s="6">
        <f t="shared" si="80"/>
        <v>3028.05</v>
      </c>
      <c r="V467" s="8">
        <v>0</v>
      </c>
      <c r="W467" s="6">
        <v>11</v>
      </c>
      <c r="X467" s="6">
        <f t="shared" si="81"/>
        <v>33308.550000000003</v>
      </c>
      <c r="Y467">
        <f t="shared" si="82"/>
        <v>15711.63</v>
      </c>
      <c r="Z467" s="6">
        <f t="shared" si="83"/>
        <v>17596.920000000006</v>
      </c>
      <c r="AA467">
        <f t="shared" si="84"/>
        <v>0.52830039134096207</v>
      </c>
      <c r="AB467" t="str">
        <f t="shared" si="85"/>
        <v>1-2025</v>
      </c>
      <c r="AC467" t="str">
        <f t="shared" si="86"/>
        <v>Q1-2025</v>
      </c>
      <c r="AD467" t="str">
        <f t="shared" si="87"/>
        <v>Asia →India →Delhi</v>
      </c>
      <c r="AE467" t="str">
        <f t="shared" si="77"/>
        <v>High</v>
      </c>
      <c r="AF467" t="str">
        <f>TEXT(Table1[[#This Row],[OrderDate]],"MMM")</f>
        <v>Jan</v>
      </c>
      <c r="AG467" t="str">
        <f>TEXT(Table1[[#This Row],[OrderDate]],"YYYY")</f>
        <v>2025</v>
      </c>
      <c r="AI467" s="4">
        <f>IF(Table1[[#This Row],[RequiredDate]]&lt;Table1[[#This Row],[OrderDate]], Table1[[#This Row],[OrderDate]]+7, Table1[[#This Row],[RequiredDate]])</f>
        <v>45662</v>
      </c>
      <c r="AJ467">
        <f>IF(Dashboard!$D$3&gt;'Staging Data'!V467,'Staging Data'!V467,Dashboard!D$3)</f>
        <v>0</v>
      </c>
      <c r="AK467" s="19">
        <f>(100%+Dashboard!$D$4)*'Staging Data'!S467</f>
        <v>1499.7465</v>
      </c>
      <c r="AL467">
        <f>(100%+Dashboard!$D$5)*'Staging Data'!W467</f>
        <v>12.649999999999999</v>
      </c>
    </row>
    <row r="468" spans="1:38" x14ac:dyDescent="0.35">
      <c r="A468" s="6" t="s">
        <v>392</v>
      </c>
      <c r="B468" s="4">
        <v>45664</v>
      </c>
      <c r="C468" s="4">
        <v>45677</v>
      </c>
      <c r="D468" s="4">
        <f>IF(Table1[[#This Row],[RequiredDate]]&lt;Table1[[#This Row],[OrderDate]],Table1[[#This Row],[RequiredDate]],Table1[[#This Row],[OrderDate]])</f>
        <v>45664</v>
      </c>
      <c r="E468" s="4">
        <f>IF(Table1[[#This Row],[RequiredDate]]&gt;Table1[[#This Row],[OrderDate]],Table1[[#This Row],[RequiredDate]],Table1[[#This Row],[OrderDate]])</f>
        <v>45677</v>
      </c>
      <c r="F468" s="21">
        <f>Table1[[#This Row],[New RD]]-Table1[[#This Row],[new   od]]</f>
        <v>13</v>
      </c>
      <c r="G468" s="4">
        <f>IF(Table1[[#This Row],[RequiredDate]]&lt;Table1[[#This Row],[OrderDate]], Table1[[#This Row],[OrderDate]]+7, Table1[[#This Row],[RequiredDate]])</f>
        <v>45677</v>
      </c>
      <c r="H468" s="21">
        <f t="shared" si="78"/>
        <v>13</v>
      </c>
      <c r="I468" s="6" t="str">
        <f>IF(Table1[[#This Row],[New LTD]]&lt;=7,"Yes","No")</f>
        <v>No</v>
      </c>
      <c r="J468" s="6" t="str">
        <f t="shared" si="79"/>
        <v>No</v>
      </c>
      <c r="K468" t="s">
        <v>646</v>
      </c>
      <c r="L468" t="s">
        <v>661</v>
      </c>
      <c r="M468" t="s">
        <v>695</v>
      </c>
      <c r="N468" t="s">
        <v>701</v>
      </c>
      <c r="O468" t="s">
        <v>711</v>
      </c>
      <c r="P468" t="s">
        <v>723</v>
      </c>
      <c r="Q468" t="s">
        <v>729</v>
      </c>
      <c r="R468" t="s">
        <v>1112</v>
      </c>
      <c r="S468" s="6">
        <v>432.13</v>
      </c>
      <c r="T468" s="6">
        <v>1034.6600000000001</v>
      </c>
      <c r="U468" s="6">
        <f t="shared" si="80"/>
        <v>1034.6600000000001</v>
      </c>
      <c r="V468" s="8">
        <v>9.1999999999999998E-2</v>
      </c>
      <c r="W468" s="6">
        <v>7</v>
      </c>
      <c r="X468" s="6">
        <f t="shared" si="81"/>
        <v>6576.298960000001</v>
      </c>
      <c r="Y468">
        <f t="shared" si="82"/>
        <v>3024.91</v>
      </c>
      <c r="Z468" s="6">
        <f t="shared" si="83"/>
        <v>3551.3889600000011</v>
      </c>
      <c r="AA468">
        <f t="shared" si="84"/>
        <v>0.54002851476204794</v>
      </c>
      <c r="AB468" t="str">
        <f t="shared" si="85"/>
        <v>1-2025</v>
      </c>
      <c r="AC468" t="str">
        <f t="shared" si="86"/>
        <v>Q1-2025</v>
      </c>
      <c r="AD468" t="str">
        <f t="shared" si="87"/>
        <v>Africa →South Africa →Cape Town</v>
      </c>
      <c r="AE468" t="str">
        <f t="shared" si="77"/>
        <v>Medium</v>
      </c>
      <c r="AF468" t="str">
        <f>TEXT(Table1[[#This Row],[OrderDate]],"MMM")</f>
        <v>Jan</v>
      </c>
      <c r="AG468" t="str">
        <f>TEXT(Table1[[#This Row],[OrderDate]],"YYYY")</f>
        <v>2025</v>
      </c>
      <c r="AI468" s="4">
        <f>IF(Table1[[#This Row],[RequiredDate]]&lt;Table1[[#This Row],[OrderDate]], Table1[[#This Row],[OrderDate]]+7, Table1[[#This Row],[RequiredDate]])</f>
        <v>45677</v>
      </c>
      <c r="AJ468">
        <f>IF(Dashboard!$D$3&gt;'Staging Data'!V468,'Staging Data'!V468,Dashboard!D$3)</f>
        <v>9.1999999999999998E-2</v>
      </c>
      <c r="AK468" s="19">
        <f>(100%+Dashboard!$D$4)*'Staging Data'!S468</f>
        <v>453.73650000000004</v>
      </c>
      <c r="AL468">
        <f>(100%+Dashboard!$D$5)*'Staging Data'!W468</f>
        <v>8.0499999999999989</v>
      </c>
    </row>
    <row r="469" spans="1:38" x14ac:dyDescent="0.35">
      <c r="A469" s="6" t="s">
        <v>148</v>
      </c>
      <c r="B469" s="4">
        <v>45666</v>
      </c>
      <c r="C469" s="4">
        <v>45672</v>
      </c>
      <c r="D469" s="4">
        <f>IF(Table1[[#This Row],[RequiredDate]]&lt;Table1[[#This Row],[OrderDate]],Table1[[#This Row],[RequiredDate]],Table1[[#This Row],[OrderDate]])</f>
        <v>45666</v>
      </c>
      <c r="E469" s="4">
        <f>IF(Table1[[#This Row],[RequiredDate]]&gt;Table1[[#This Row],[OrderDate]],Table1[[#This Row],[RequiredDate]],Table1[[#This Row],[OrderDate]])</f>
        <v>45672</v>
      </c>
      <c r="F469" s="21">
        <f>Table1[[#This Row],[New RD]]-Table1[[#This Row],[new   od]]</f>
        <v>6</v>
      </c>
      <c r="G469" s="4">
        <f>IF(Table1[[#This Row],[RequiredDate]]&lt;Table1[[#This Row],[OrderDate]], Table1[[#This Row],[OrderDate]]+7, Table1[[#This Row],[RequiredDate]])</f>
        <v>45672</v>
      </c>
      <c r="H469" s="21">
        <f t="shared" si="78"/>
        <v>6</v>
      </c>
      <c r="I469" s="6" t="str">
        <f>IF(Table1[[#This Row],[New LTD]]&lt;=7,"Yes","No")</f>
        <v>Yes</v>
      </c>
      <c r="J469" s="6" t="str">
        <f t="shared" si="79"/>
        <v>No</v>
      </c>
      <c r="K469" t="s">
        <v>647</v>
      </c>
      <c r="L469" t="s">
        <v>659</v>
      </c>
      <c r="M469" t="s">
        <v>699</v>
      </c>
      <c r="N469" t="s">
        <v>702</v>
      </c>
      <c r="O469" t="s">
        <v>708</v>
      </c>
      <c r="P469" t="s">
        <v>712</v>
      </c>
      <c r="Q469" t="s">
        <v>730</v>
      </c>
      <c r="R469" t="s">
        <v>867</v>
      </c>
      <c r="S469" s="6">
        <v>304.77999999999997</v>
      </c>
      <c r="T469" s="6">
        <v>537.27</v>
      </c>
      <c r="U469" s="6">
        <f t="shared" si="80"/>
        <v>537.27</v>
      </c>
      <c r="V469" s="8">
        <v>0.187</v>
      </c>
      <c r="W469" s="6">
        <v>8</v>
      </c>
      <c r="X469" s="6">
        <f t="shared" si="81"/>
        <v>3494.4040799999998</v>
      </c>
      <c r="Y469">
        <f t="shared" si="82"/>
        <v>2438.2399999999998</v>
      </c>
      <c r="Z469" s="6">
        <f t="shared" si="83"/>
        <v>1056.16408</v>
      </c>
      <c r="AA469">
        <f t="shared" si="84"/>
        <v>0.3022444044307549</v>
      </c>
      <c r="AB469" t="str">
        <f t="shared" si="85"/>
        <v>1-2025</v>
      </c>
      <c r="AC469" t="str">
        <f t="shared" si="86"/>
        <v>Q1-2025</v>
      </c>
      <c r="AD469" t="str">
        <f t="shared" si="87"/>
        <v>Asia →China →Beijing</v>
      </c>
      <c r="AE469" t="str">
        <f t="shared" si="77"/>
        <v>Low</v>
      </c>
      <c r="AF469" t="str">
        <f>TEXT(Table1[[#This Row],[OrderDate]],"MMM")</f>
        <v>Jan</v>
      </c>
      <c r="AG469" t="str">
        <f>TEXT(Table1[[#This Row],[OrderDate]],"YYYY")</f>
        <v>2025</v>
      </c>
      <c r="AI469" s="4">
        <f>IF(Table1[[#This Row],[RequiredDate]]&lt;Table1[[#This Row],[OrderDate]], Table1[[#This Row],[OrderDate]]+7, Table1[[#This Row],[RequiredDate]])</f>
        <v>45672</v>
      </c>
      <c r="AJ469">
        <f>IF(Dashboard!$D$3&gt;'Staging Data'!V469,'Staging Data'!V469,Dashboard!D$3)</f>
        <v>0.187</v>
      </c>
      <c r="AK469" s="19">
        <f>(100%+Dashboard!$D$4)*'Staging Data'!S469</f>
        <v>320.01900000000001</v>
      </c>
      <c r="AL469">
        <f>(100%+Dashboard!$D$5)*'Staging Data'!W469</f>
        <v>9.1999999999999993</v>
      </c>
    </row>
    <row r="470" spans="1:38" x14ac:dyDescent="0.35">
      <c r="A470" s="6" t="s">
        <v>549</v>
      </c>
      <c r="B470" s="4">
        <v>45667</v>
      </c>
      <c r="C470" s="4">
        <v>45694</v>
      </c>
      <c r="D470" s="4">
        <f>IF(Table1[[#This Row],[RequiredDate]]&lt;Table1[[#This Row],[OrderDate]],Table1[[#This Row],[RequiredDate]],Table1[[#This Row],[OrderDate]])</f>
        <v>45667</v>
      </c>
      <c r="E470" s="4">
        <f>IF(Table1[[#This Row],[RequiredDate]]&gt;Table1[[#This Row],[OrderDate]],Table1[[#This Row],[RequiredDate]],Table1[[#This Row],[OrderDate]])</f>
        <v>45694</v>
      </c>
      <c r="F470" s="21">
        <f>Table1[[#This Row],[New RD]]-Table1[[#This Row],[new   od]]</f>
        <v>27</v>
      </c>
      <c r="G470" s="4">
        <f>IF(Table1[[#This Row],[RequiredDate]]&lt;Table1[[#This Row],[OrderDate]], Table1[[#This Row],[OrderDate]]+7, Table1[[#This Row],[RequiredDate]])</f>
        <v>45694</v>
      </c>
      <c r="H470" s="21">
        <f t="shared" si="78"/>
        <v>27</v>
      </c>
      <c r="I470" s="6" t="str">
        <f>IF(Table1[[#This Row],[New LTD]]&lt;=7,"Yes","No")</f>
        <v>No</v>
      </c>
      <c r="J470" s="6" t="str">
        <f t="shared" si="79"/>
        <v>No</v>
      </c>
      <c r="K470" t="s">
        <v>648</v>
      </c>
      <c r="L470" t="s">
        <v>655</v>
      </c>
      <c r="M470" t="s">
        <v>672</v>
      </c>
      <c r="N470" t="s">
        <v>703</v>
      </c>
      <c r="O470" t="s">
        <v>707</v>
      </c>
      <c r="P470" t="s">
        <v>717</v>
      </c>
      <c r="Q470" t="s">
        <v>731</v>
      </c>
      <c r="R470" t="s">
        <v>1268</v>
      </c>
      <c r="S470" s="6">
        <v>725.62</v>
      </c>
      <c r="T470" s="6">
        <v>1559.19</v>
      </c>
      <c r="U470" s="6">
        <f t="shared" si="80"/>
        <v>1559.19</v>
      </c>
      <c r="V470" s="8">
        <v>0.19</v>
      </c>
      <c r="W470" s="6">
        <v>12</v>
      </c>
      <c r="X470" s="6">
        <f t="shared" si="81"/>
        <v>15155.326800000001</v>
      </c>
      <c r="Y470">
        <f t="shared" si="82"/>
        <v>8707.44</v>
      </c>
      <c r="Z470" s="6">
        <f t="shared" si="83"/>
        <v>6447.8868000000002</v>
      </c>
      <c r="AA470">
        <f t="shared" si="84"/>
        <v>0.42545349797405885</v>
      </c>
      <c r="AB470" t="str">
        <f t="shared" si="85"/>
        <v>1-2025</v>
      </c>
      <c r="AC470" t="str">
        <f t="shared" si="86"/>
        <v>Q1-2025</v>
      </c>
      <c r="AD470" t="str">
        <f t="shared" si="87"/>
        <v>Americas →Brazil →Brasília</v>
      </c>
      <c r="AE470" t="str">
        <f t="shared" si="77"/>
        <v>Medium</v>
      </c>
      <c r="AF470" t="str">
        <f>TEXT(Table1[[#This Row],[OrderDate]],"MMM")</f>
        <v>Jan</v>
      </c>
      <c r="AG470" t="str">
        <f>TEXT(Table1[[#This Row],[OrderDate]],"YYYY")</f>
        <v>2025</v>
      </c>
      <c r="AI470" s="4">
        <f>IF(Table1[[#This Row],[RequiredDate]]&lt;Table1[[#This Row],[OrderDate]], Table1[[#This Row],[OrderDate]]+7, Table1[[#This Row],[RequiredDate]])</f>
        <v>45694</v>
      </c>
      <c r="AJ470">
        <f>IF(Dashboard!$D$3&gt;'Staging Data'!V470,'Staging Data'!V470,Dashboard!D$3)</f>
        <v>0.19</v>
      </c>
      <c r="AK470" s="19">
        <f>(100%+Dashboard!$D$4)*'Staging Data'!S470</f>
        <v>761.90100000000007</v>
      </c>
      <c r="AL470">
        <f>(100%+Dashboard!$D$5)*'Staging Data'!W470</f>
        <v>13.799999999999999</v>
      </c>
    </row>
    <row r="471" spans="1:38" x14ac:dyDescent="0.35">
      <c r="A471" s="6" t="s">
        <v>344</v>
      </c>
      <c r="B471" s="4">
        <v>45668</v>
      </c>
      <c r="C471" s="4">
        <v>45680</v>
      </c>
      <c r="D471" s="4">
        <f>IF(Table1[[#This Row],[RequiredDate]]&lt;Table1[[#This Row],[OrderDate]],Table1[[#This Row],[RequiredDate]],Table1[[#This Row],[OrderDate]])</f>
        <v>45668</v>
      </c>
      <c r="E471" s="4">
        <f>IF(Table1[[#This Row],[RequiredDate]]&gt;Table1[[#This Row],[OrderDate]],Table1[[#This Row],[RequiredDate]],Table1[[#This Row],[OrderDate]])</f>
        <v>45680</v>
      </c>
      <c r="F471" s="21">
        <f>Table1[[#This Row],[New RD]]-Table1[[#This Row],[new   od]]</f>
        <v>12</v>
      </c>
      <c r="G471" s="4">
        <f>IF(Table1[[#This Row],[RequiredDate]]&lt;Table1[[#This Row],[OrderDate]], Table1[[#This Row],[OrderDate]]+7, Table1[[#This Row],[RequiredDate]])</f>
        <v>45680</v>
      </c>
      <c r="H471" s="21">
        <f t="shared" si="78"/>
        <v>12</v>
      </c>
      <c r="I471" s="6" t="str">
        <f>IF(Table1[[#This Row],[New LTD]]&lt;=7,"Yes","No")</f>
        <v>No</v>
      </c>
      <c r="J471" s="6" t="str">
        <f t="shared" si="79"/>
        <v>No</v>
      </c>
      <c r="K471" t="s">
        <v>648</v>
      </c>
      <c r="L471" t="s">
        <v>660</v>
      </c>
      <c r="M471" t="s">
        <v>697</v>
      </c>
      <c r="N471" t="s">
        <v>704</v>
      </c>
      <c r="O471" t="s">
        <v>710</v>
      </c>
      <c r="P471" t="s">
        <v>722</v>
      </c>
      <c r="Q471" t="s">
        <v>730</v>
      </c>
      <c r="R471" t="s">
        <v>1064</v>
      </c>
      <c r="S471" s="6">
        <v>100.69</v>
      </c>
      <c r="T471" s="6">
        <v>226.14</v>
      </c>
      <c r="U471" s="6">
        <f t="shared" si="80"/>
        <v>226.14</v>
      </c>
      <c r="V471" s="8">
        <v>6.5000000000000002E-2</v>
      </c>
      <c r="W471" s="6">
        <v>12</v>
      </c>
      <c r="X471" s="6">
        <f t="shared" si="81"/>
        <v>2537.2908000000002</v>
      </c>
      <c r="Y471">
        <f t="shared" si="82"/>
        <v>1208.28</v>
      </c>
      <c r="Z471" s="6">
        <f t="shared" si="83"/>
        <v>1329.0108000000002</v>
      </c>
      <c r="AA471">
        <f t="shared" si="84"/>
        <v>0.52379128162999689</v>
      </c>
      <c r="AB471" t="str">
        <f t="shared" si="85"/>
        <v>1-2025</v>
      </c>
      <c r="AC471" t="str">
        <f t="shared" si="86"/>
        <v>Q1-2025</v>
      </c>
      <c r="AD471" t="str">
        <f t="shared" si="87"/>
        <v>Americas →USA →Austin</v>
      </c>
      <c r="AE471" t="str">
        <f t="shared" si="77"/>
        <v>Low</v>
      </c>
      <c r="AF471" t="str">
        <f>TEXT(Table1[[#This Row],[OrderDate]],"MMM")</f>
        <v>Jan</v>
      </c>
      <c r="AG471" t="str">
        <f>TEXT(Table1[[#This Row],[OrderDate]],"YYYY")</f>
        <v>2025</v>
      </c>
      <c r="AI471" s="4">
        <f>IF(Table1[[#This Row],[RequiredDate]]&lt;Table1[[#This Row],[OrderDate]], Table1[[#This Row],[OrderDate]]+7, Table1[[#This Row],[RequiredDate]])</f>
        <v>45680</v>
      </c>
      <c r="AJ471">
        <f>IF(Dashboard!$D$3&gt;'Staging Data'!V471,'Staging Data'!V471,Dashboard!D$3)</f>
        <v>6.5000000000000002E-2</v>
      </c>
      <c r="AK471" s="19">
        <f>(100%+Dashboard!$D$4)*'Staging Data'!S471</f>
        <v>105.72450000000001</v>
      </c>
      <c r="AL471">
        <f>(100%+Dashboard!$D$5)*'Staging Data'!W471</f>
        <v>13.799999999999999</v>
      </c>
    </row>
    <row r="472" spans="1:38" x14ac:dyDescent="0.35">
      <c r="A472" s="6" t="s">
        <v>201</v>
      </c>
      <c r="B472" s="4">
        <v>45670</v>
      </c>
      <c r="C472" s="4">
        <v>45696</v>
      </c>
      <c r="D472" s="4">
        <f>IF(Table1[[#This Row],[RequiredDate]]&lt;Table1[[#This Row],[OrderDate]],Table1[[#This Row],[RequiredDate]],Table1[[#This Row],[OrderDate]])</f>
        <v>45670</v>
      </c>
      <c r="E472" s="4">
        <f>IF(Table1[[#This Row],[RequiredDate]]&gt;Table1[[#This Row],[OrderDate]],Table1[[#This Row],[RequiredDate]],Table1[[#This Row],[OrderDate]])</f>
        <v>45696</v>
      </c>
      <c r="F472" s="21">
        <f>Table1[[#This Row],[New RD]]-Table1[[#This Row],[new   od]]</f>
        <v>26</v>
      </c>
      <c r="G472" s="4">
        <f>IF(Table1[[#This Row],[RequiredDate]]&lt;Table1[[#This Row],[OrderDate]], Table1[[#This Row],[OrderDate]]+7, Table1[[#This Row],[RequiredDate]])</f>
        <v>45696</v>
      </c>
      <c r="H472" s="21">
        <f t="shared" si="78"/>
        <v>26</v>
      </c>
      <c r="I472" s="6" t="str">
        <f>IF(Table1[[#This Row],[New LTD]]&lt;=7,"Yes","No")</f>
        <v>No</v>
      </c>
      <c r="J472" s="6" t="str">
        <f t="shared" si="79"/>
        <v>Yes</v>
      </c>
      <c r="K472" t="s">
        <v>649</v>
      </c>
      <c r="L472" t="s">
        <v>657</v>
      </c>
      <c r="M472" t="s">
        <v>690</v>
      </c>
      <c r="N472" t="s">
        <v>703</v>
      </c>
      <c r="O472" t="s">
        <v>1423</v>
      </c>
      <c r="P472" t="s">
        <v>718</v>
      </c>
      <c r="Q472" t="s">
        <v>732</v>
      </c>
      <c r="R472" t="s">
        <v>920</v>
      </c>
      <c r="S472" s="6">
        <v>594.74</v>
      </c>
      <c r="T472" s="6">
        <v>1020.69</v>
      </c>
      <c r="U472" s="6">
        <f t="shared" si="80"/>
        <v>1020.69</v>
      </c>
      <c r="V472" s="8">
        <v>0.21099999999999999</v>
      </c>
      <c r="W472" s="6">
        <v>6</v>
      </c>
      <c r="X472" s="6">
        <f t="shared" si="81"/>
        <v>4831.9464600000001</v>
      </c>
      <c r="Y472">
        <f t="shared" si="82"/>
        <v>3568.44</v>
      </c>
      <c r="Z472" s="6">
        <f t="shared" si="83"/>
        <v>1263.5064600000001</v>
      </c>
      <c r="AA472">
        <f t="shared" si="84"/>
        <v>0.26149016146176424</v>
      </c>
      <c r="AB472" t="str">
        <f t="shared" si="85"/>
        <v>1-2025</v>
      </c>
      <c r="AC472" t="str">
        <f t="shared" si="86"/>
        <v>Q1-2025</v>
      </c>
      <c r="AD472" t="str">
        <f t="shared" si="87"/>
        <v>Europe →France →Paris</v>
      </c>
      <c r="AE472" t="str">
        <f t="shared" si="77"/>
        <v>Medium</v>
      </c>
      <c r="AF472" t="str">
        <f>TEXT(Table1[[#This Row],[OrderDate]],"MMM")</f>
        <v>Jan</v>
      </c>
      <c r="AG472" t="str">
        <f>TEXT(Table1[[#This Row],[OrderDate]],"YYYY")</f>
        <v>2025</v>
      </c>
      <c r="AI472" s="4">
        <f>IF(Table1[[#This Row],[RequiredDate]]&lt;Table1[[#This Row],[OrderDate]], Table1[[#This Row],[OrderDate]]+7, Table1[[#This Row],[RequiredDate]])</f>
        <v>45696</v>
      </c>
      <c r="AJ472">
        <f>IF(Dashboard!$D$3&gt;'Staging Data'!V472,'Staging Data'!V472,Dashboard!D$3)</f>
        <v>0.2</v>
      </c>
      <c r="AK472" s="19">
        <f>(100%+Dashboard!$D$4)*'Staging Data'!S472</f>
        <v>624.47700000000009</v>
      </c>
      <c r="AL472">
        <f>(100%+Dashboard!$D$5)*'Staging Data'!W472</f>
        <v>6.8999999999999995</v>
      </c>
    </row>
    <row r="473" spans="1:38" x14ac:dyDescent="0.35">
      <c r="A473" s="6" t="s">
        <v>128</v>
      </c>
      <c r="B473" s="4">
        <v>45674</v>
      </c>
      <c r="C473" s="4">
        <v>45681</v>
      </c>
      <c r="D473" s="4">
        <f>IF(Table1[[#This Row],[RequiredDate]]&lt;Table1[[#This Row],[OrderDate]],Table1[[#This Row],[RequiredDate]],Table1[[#This Row],[OrderDate]])</f>
        <v>45674</v>
      </c>
      <c r="E473" s="4">
        <f>IF(Table1[[#This Row],[RequiredDate]]&gt;Table1[[#This Row],[OrderDate]],Table1[[#This Row],[RequiredDate]],Table1[[#This Row],[OrderDate]])</f>
        <v>45681</v>
      </c>
      <c r="F473" s="21">
        <f>Table1[[#This Row],[New RD]]-Table1[[#This Row],[new   od]]</f>
        <v>7</v>
      </c>
      <c r="G473" s="4">
        <f>IF(Table1[[#This Row],[RequiredDate]]&lt;Table1[[#This Row],[OrderDate]], Table1[[#This Row],[OrderDate]]+7, Table1[[#This Row],[RequiredDate]])</f>
        <v>45681</v>
      </c>
      <c r="H473" s="21">
        <f t="shared" si="78"/>
        <v>7</v>
      </c>
      <c r="I473" s="6" t="str">
        <f>IF(Table1[[#This Row],[New LTD]]&lt;=7,"Yes","No")</f>
        <v>Yes</v>
      </c>
      <c r="J473" s="6" t="str">
        <f t="shared" si="79"/>
        <v>No</v>
      </c>
      <c r="K473" t="s">
        <v>648</v>
      </c>
      <c r="L473" t="s">
        <v>660</v>
      </c>
      <c r="M473" t="s">
        <v>697</v>
      </c>
      <c r="N473" t="s">
        <v>706</v>
      </c>
      <c r="O473" t="s">
        <v>708</v>
      </c>
      <c r="P473" t="s">
        <v>715</v>
      </c>
      <c r="Q473" t="s">
        <v>733</v>
      </c>
      <c r="R473" t="s">
        <v>847</v>
      </c>
      <c r="S473" s="6">
        <v>142.09</v>
      </c>
      <c r="T473" s="6">
        <v>218.5</v>
      </c>
      <c r="U473" s="6">
        <f t="shared" si="80"/>
        <v>218.5</v>
      </c>
      <c r="V473" s="8">
        <v>0.11899999999999999</v>
      </c>
      <c r="W473" s="6">
        <v>11</v>
      </c>
      <c r="X473" s="6">
        <f t="shared" si="81"/>
        <v>2117.4834999999998</v>
      </c>
      <c r="Y473">
        <f t="shared" si="82"/>
        <v>1562.99</v>
      </c>
      <c r="Z473" s="6">
        <f t="shared" si="83"/>
        <v>554.49349999999981</v>
      </c>
      <c r="AA473">
        <f t="shared" si="84"/>
        <v>0.26186437816398561</v>
      </c>
      <c r="AB473" t="str">
        <f t="shared" si="85"/>
        <v>1-2025</v>
      </c>
      <c r="AC473" t="str">
        <f t="shared" si="86"/>
        <v>Q1-2025</v>
      </c>
      <c r="AD473" t="str">
        <f t="shared" si="87"/>
        <v>Americas →USA →Austin</v>
      </c>
      <c r="AE473" t="str">
        <f t="shared" si="77"/>
        <v>Low</v>
      </c>
      <c r="AF473" t="str">
        <f>TEXT(Table1[[#This Row],[OrderDate]],"MMM")</f>
        <v>Jan</v>
      </c>
      <c r="AG473" t="str">
        <f>TEXT(Table1[[#This Row],[OrderDate]],"YYYY")</f>
        <v>2025</v>
      </c>
      <c r="AI473" s="4">
        <f>IF(Table1[[#This Row],[RequiredDate]]&lt;Table1[[#This Row],[OrderDate]], Table1[[#This Row],[OrderDate]]+7, Table1[[#This Row],[RequiredDate]])</f>
        <v>45681</v>
      </c>
      <c r="AJ473">
        <f>IF(Dashboard!$D$3&gt;'Staging Data'!V473,'Staging Data'!V473,Dashboard!D$3)</f>
        <v>0.11899999999999999</v>
      </c>
      <c r="AK473" s="19">
        <f>(100%+Dashboard!$D$4)*'Staging Data'!S473</f>
        <v>149.19450000000001</v>
      </c>
      <c r="AL473">
        <f>(100%+Dashboard!$D$5)*'Staging Data'!W473</f>
        <v>12.649999999999999</v>
      </c>
    </row>
    <row r="474" spans="1:38" x14ac:dyDescent="0.35">
      <c r="A474" s="6" t="s">
        <v>418</v>
      </c>
      <c r="B474" s="4">
        <v>45677</v>
      </c>
      <c r="C474" s="4">
        <v>45691</v>
      </c>
      <c r="D474" s="4">
        <f>IF(Table1[[#This Row],[RequiredDate]]&lt;Table1[[#This Row],[OrderDate]],Table1[[#This Row],[RequiredDate]],Table1[[#This Row],[OrderDate]])</f>
        <v>45677</v>
      </c>
      <c r="E474" s="4">
        <f>IF(Table1[[#This Row],[RequiredDate]]&gt;Table1[[#This Row],[OrderDate]],Table1[[#This Row],[RequiredDate]],Table1[[#This Row],[OrderDate]])</f>
        <v>45691</v>
      </c>
      <c r="F474" s="21">
        <f>Table1[[#This Row],[New RD]]-Table1[[#This Row],[new   od]]</f>
        <v>14</v>
      </c>
      <c r="G474" s="4">
        <f>IF(Table1[[#This Row],[RequiredDate]]&lt;Table1[[#This Row],[OrderDate]], Table1[[#This Row],[OrderDate]]+7, Table1[[#This Row],[RequiredDate]])</f>
        <v>45691</v>
      </c>
      <c r="H474" s="21">
        <f t="shared" si="78"/>
        <v>14</v>
      </c>
      <c r="I474" s="6" t="str">
        <f>IF(Table1[[#This Row],[New LTD]]&lt;=7,"Yes","No")</f>
        <v>No</v>
      </c>
      <c r="J474" s="6" t="str">
        <f t="shared" si="79"/>
        <v>No</v>
      </c>
      <c r="K474" t="s">
        <v>648</v>
      </c>
      <c r="L474" t="s">
        <v>655</v>
      </c>
      <c r="M474" t="s">
        <v>672</v>
      </c>
      <c r="N474" t="s">
        <v>706</v>
      </c>
      <c r="O474" t="s">
        <v>709</v>
      </c>
      <c r="P474" t="s">
        <v>721</v>
      </c>
      <c r="Q474" t="s">
        <v>727</v>
      </c>
      <c r="R474" t="s">
        <v>1137</v>
      </c>
      <c r="S474" s="6">
        <v>974.11</v>
      </c>
      <c r="T474" s="6">
        <v>880.99</v>
      </c>
      <c r="U474" s="6">
        <f t="shared" si="80"/>
        <v>880.99</v>
      </c>
      <c r="V474" s="8">
        <v>0.111</v>
      </c>
      <c r="W474" s="6">
        <v>10</v>
      </c>
      <c r="X474" s="6">
        <f t="shared" si="81"/>
        <v>7832.0010999999995</v>
      </c>
      <c r="Y474">
        <f t="shared" si="82"/>
        <v>9741.1</v>
      </c>
      <c r="Z474" s="6">
        <f t="shared" si="83"/>
        <v>-1909.0989000000009</v>
      </c>
      <c r="AA474">
        <f t="shared" si="84"/>
        <v>-0.2437562093805121</v>
      </c>
      <c r="AB474" t="str">
        <f t="shared" si="85"/>
        <v>1-2025</v>
      </c>
      <c r="AC474" t="str">
        <f t="shared" si="86"/>
        <v>Q1-2025</v>
      </c>
      <c r="AD474" t="str">
        <f t="shared" si="87"/>
        <v>Americas →Brazil →Brasília</v>
      </c>
      <c r="AE474" t="str">
        <f t="shared" ref="AE474:AE537" si="88">IF(T474&lt;=LowerCutOff,"Low", IF(T474&lt;=HigherCutOff,"Medium","High"))</f>
        <v>Medium</v>
      </c>
      <c r="AF474" t="str">
        <f>TEXT(Table1[[#This Row],[OrderDate]],"MMM")</f>
        <v>Jan</v>
      </c>
      <c r="AG474" t="str">
        <f>TEXT(Table1[[#This Row],[OrderDate]],"YYYY")</f>
        <v>2025</v>
      </c>
      <c r="AI474" s="4">
        <f>IF(Table1[[#This Row],[RequiredDate]]&lt;Table1[[#This Row],[OrderDate]], Table1[[#This Row],[OrderDate]]+7, Table1[[#This Row],[RequiredDate]])</f>
        <v>45691</v>
      </c>
      <c r="AJ474">
        <f>IF(Dashboard!$D$3&gt;'Staging Data'!V474,'Staging Data'!V474,Dashboard!D$3)</f>
        <v>0.111</v>
      </c>
      <c r="AK474" s="19">
        <f>(100%+Dashboard!$D$4)*'Staging Data'!S474</f>
        <v>1022.8155</v>
      </c>
      <c r="AL474">
        <f>(100%+Dashboard!$D$5)*'Staging Data'!W474</f>
        <v>11.5</v>
      </c>
    </row>
    <row r="475" spans="1:38" x14ac:dyDescent="0.35">
      <c r="A475" s="6" t="s">
        <v>68</v>
      </c>
      <c r="B475" s="4">
        <v>45678</v>
      </c>
      <c r="C475" s="4">
        <v>45704</v>
      </c>
      <c r="D475" s="4">
        <f>IF(Table1[[#This Row],[RequiredDate]]&lt;Table1[[#This Row],[OrderDate]],Table1[[#This Row],[RequiredDate]],Table1[[#This Row],[OrderDate]])</f>
        <v>45678</v>
      </c>
      <c r="E475" s="4">
        <f>IF(Table1[[#This Row],[RequiredDate]]&gt;Table1[[#This Row],[OrderDate]],Table1[[#This Row],[RequiredDate]],Table1[[#This Row],[OrderDate]])</f>
        <v>45704</v>
      </c>
      <c r="F475" s="21">
        <f>Table1[[#This Row],[New RD]]-Table1[[#This Row],[new   od]]</f>
        <v>26</v>
      </c>
      <c r="G475" s="4">
        <f>IF(Table1[[#This Row],[RequiredDate]]&lt;Table1[[#This Row],[OrderDate]], Table1[[#This Row],[OrderDate]]+7, Table1[[#This Row],[RequiredDate]])</f>
        <v>45704</v>
      </c>
      <c r="H475" s="21">
        <f t="shared" si="78"/>
        <v>26</v>
      </c>
      <c r="I475" s="6" t="str">
        <f>IF(Table1[[#This Row],[New LTD]]&lt;=7,"Yes","No")</f>
        <v>No</v>
      </c>
      <c r="J475" s="6" t="str">
        <f t="shared" si="79"/>
        <v>No</v>
      </c>
      <c r="K475" t="s">
        <v>649</v>
      </c>
      <c r="L475" t="s">
        <v>657</v>
      </c>
      <c r="M475" t="s">
        <v>679</v>
      </c>
      <c r="N475" t="s">
        <v>701</v>
      </c>
      <c r="O475" t="s">
        <v>710</v>
      </c>
      <c r="P475" t="s">
        <v>719</v>
      </c>
      <c r="Q475" t="s">
        <v>731</v>
      </c>
      <c r="R475" t="s">
        <v>787</v>
      </c>
      <c r="S475" s="6">
        <v>204.11</v>
      </c>
      <c r="T475" s="6">
        <v>236.87</v>
      </c>
      <c r="U475" s="6">
        <f t="shared" si="80"/>
        <v>236.87</v>
      </c>
      <c r="V475" s="8">
        <v>0.182</v>
      </c>
      <c r="W475" s="6">
        <v>13</v>
      </c>
      <c r="X475" s="6">
        <f t="shared" si="81"/>
        <v>2518.8755800000004</v>
      </c>
      <c r="Y475">
        <f t="shared" si="82"/>
        <v>2653.4300000000003</v>
      </c>
      <c r="Z475" s="6">
        <f t="shared" si="83"/>
        <v>-134.55441999999994</v>
      </c>
      <c r="AA475">
        <f t="shared" si="84"/>
        <v>-5.3418446337075494E-2</v>
      </c>
      <c r="AB475" t="str">
        <f t="shared" si="85"/>
        <v>1-2025</v>
      </c>
      <c r="AC475" t="str">
        <f t="shared" si="86"/>
        <v>Q1-2025</v>
      </c>
      <c r="AD475" t="str">
        <f t="shared" si="87"/>
        <v>Europe →France →Lyon</v>
      </c>
      <c r="AE475" t="str">
        <f t="shared" si="88"/>
        <v>Low</v>
      </c>
      <c r="AF475" t="str">
        <f>TEXT(Table1[[#This Row],[OrderDate]],"MMM")</f>
        <v>Jan</v>
      </c>
      <c r="AG475" t="str">
        <f>TEXT(Table1[[#This Row],[OrderDate]],"YYYY")</f>
        <v>2025</v>
      </c>
      <c r="AI475" s="4">
        <f>IF(Table1[[#This Row],[RequiredDate]]&lt;Table1[[#This Row],[OrderDate]], Table1[[#This Row],[OrderDate]]+7, Table1[[#This Row],[RequiredDate]])</f>
        <v>45704</v>
      </c>
      <c r="AJ475">
        <f>IF(Dashboard!$D$3&gt;'Staging Data'!V475,'Staging Data'!V475,Dashboard!D$3)</f>
        <v>0.182</v>
      </c>
      <c r="AK475" s="19">
        <f>(100%+Dashboard!$D$4)*'Staging Data'!S475</f>
        <v>214.31550000000001</v>
      </c>
      <c r="AL475">
        <f>(100%+Dashboard!$D$5)*'Staging Data'!W475</f>
        <v>14.95</v>
      </c>
    </row>
    <row r="476" spans="1:38" x14ac:dyDescent="0.35">
      <c r="A476" s="6" t="s">
        <v>221</v>
      </c>
      <c r="B476" s="4">
        <v>45678</v>
      </c>
      <c r="C476" s="4">
        <v>45702</v>
      </c>
      <c r="D476" s="4">
        <f>IF(Table1[[#This Row],[RequiredDate]]&lt;Table1[[#This Row],[OrderDate]],Table1[[#This Row],[RequiredDate]],Table1[[#This Row],[OrderDate]])</f>
        <v>45678</v>
      </c>
      <c r="E476" s="4">
        <f>IF(Table1[[#This Row],[RequiredDate]]&gt;Table1[[#This Row],[OrderDate]],Table1[[#This Row],[RequiredDate]],Table1[[#This Row],[OrderDate]])</f>
        <v>45702</v>
      </c>
      <c r="F476" s="21">
        <f>Table1[[#This Row],[New RD]]-Table1[[#This Row],[new   od]]</f>
        <v>24</v>
      </c>
      <c r="G476" s="4">
        <f>IF(Table1[[#This Row],[RequiredDate]]&lt;Table1[[#This Row],[OrderDate]], Table1[[#This Row],[OrderDate]]+7, Table1[[#This Row],[RequiredDate]])</f>
        <v>45702</v>
      </c>
      <c r="H476" s="21">
        <f t="shared" si="78"/>
        <v>24</v>
      </c>
      <c r="I476" s="6" t="str">
        <f>IF(Table1[[#This Row],[New LTD]]&lt;=7,"Yes","No")</f>
        <v>No</v>
      </c>
      <c r="J476" s="6" t="str">
        <f t="shared" si="79"/>
        <v>No</v>
      </c>
      <c r="K476" t="s">
        <v>646</v>
      </c>
      <c r="L476" t="s">
        <v>650</v>
      </c>
      <c r="M476" t="s">
        <v>664</v>
      </c>
      <c r="N476" t="s">
        <v>705</v>
      </c>
      <c r="O476" t="s">
        <v>707</v>
      </c>
      <c r="P476" t="s">
        <v>713</v>
      </c>
      <c r="Q476" t="s">
        <v>733</v>
      </c>
      <c r="R476" t="s">
        <v>941</v>
      </c>
      <c r="S476" s="6">
        <v>1030.44</v>
      </c>
      <c r="T476" s="6">
        <v>2562.84</v>
      </c>
      <c r="U476" s="6">
        <f t="shared" si="80"/>
        <v>2562.84</v>
      </c>
      <c r="V476" s="8">
        <v>0.14799999999999999</v>
      </c>
      <c r="W476" s="6">
        <v>13</v>
      </c>
      <c r="X476" s="6">
        <f t="shared" si="81"/>
        <v>28386.015839999996</v>
      </c>
      <c r="Y476">
        <f t="shared" si="82"/>
        <v>13395.720000000001</v>
      </c>
      <c r="Z476" s="6">
        <f t="shared" si="83"/>
        <v>14990.295839999995</v>
      </c>
      <c r="AA476">
        <f t="shared" si="84"/>
        <v>0.52808734852027039</v>
      </c>
      <c r="AB476" t="str">
        <f t="shared" si="85"/>
        <v>1-2025</v>
      </c>
      <c r="AC476" t="str">
        <f t="shared" si="86"/>
        <v>Q1-2025</v>
      </c>
      <c r="AD476" t="str">
        <f t="shared" si="87"/>
        <v>Africa →Kenya →Nairobi</v>
      </c>
      <c r="AE476" t="str">
        <f t="shared" si="88"/>
        <v>High</v>
      </c>
      <c r="AF476" t="str">
        <f>TEXT(Table1[[#This Row],[OrderDate]],"MMM")</f>
        <v>Jan</v>
      </c>
      <c r="AG476" t="str">
        <f>TEXT(Table1[[#This Row],[OrderDate]],"YYYY")</f>
        <v>2025</v>
      </c>
      <c r="AI476" s="4">
        <f>IF(Table1[[#This Row],[RequiredDate]]&lt;Table1[[#This Row],[OrderDate]], Table1[[#This Row],[OrderDate]]+7, Table1[[#This Row],[RequiredDate]])</f>
        <v>45702</v>
      </c>
      <c r="AJ476">
        <f>IF(Dashboard!$D$3&gt;'Staging Data'!V476,'Staging Data'!V476,Dashboard!D$3)</f>
        <v>0.14799999999999999</v>
      </c>
      <c r="AK476" s="19">
        <f>(100%+Dashboard!$D$4)*'Staging Data'!S476</f>
        <v>1081.9620000000002</v>
      </c>
      <c r="AL476">
        <f>(100%+Dashboard!$D$5)*'Staging Data'!W476</f>
        <v>14.95</v>
      </c>
    </row>
    <row r="477" spans="1:38" x14ac:dyDescent="0.35">
      <c r="A477" s="6" t="s">
        <v>313</v>
      </c>
      <c r="B477" s="4">
        <v>45679</v>
      </c>
      <c r="C477" s="4">
        <v>45679</v>
      </c>
      <c r="D477" s="4">
        <f>IF(Table1[[#This Row],[RequiredDate]]&lt;Table1[[#This Row],[OrderDate]],Table1[[#This Row],[RequiredDate]],Table1[[#This Row],[OrderDate]])</f>
        <v>45679</v>
      </c>
      <c r="E477" s="4">
        <f>IF(Table1[[#This Row],[RequiredDate]]&gt;Table1[[#This Row],[OrderDate]],Table1[[#This Row],[RequiredDate]],Table1[[#This Row],[OrderDate]])</f>
        <v>45679</v>
      </c>
      <c r="F477" s="21">
        <f>Table1[[#This Row],[New RD]]-Table1[[#This Row],[new   od]]</f>
        <v>0</v>
      </c>
      <c r="G477" s="4">
        <f>IF(Table1[[#This Row],[RequiredDate]]&lt;Table1[[#This Row],[OrderDate]], Table1[[#This Row],[OrderDate]]+7, Table1[[#This Row],[RequiredDate]])</f>
        <v>45679</v>
      </c>
      <c r="H477" s="21">
        <f t="shared" si="78"/>
        <v>0</v>
      </c>
      <c r="I477" s="6" t="str">
        <f>IF(Table1[[#This Row],[New LTD]]&lt;=7,"Yes","No")</f>
        <v>Yes</v>
      </c>
      <c r="J477" s="6" t="str">
        <f t="shared" si="79"/>
        <v>No</v>
      </c>
      <c r="K477" t="s">
        <v>649</v>
      </c>
      <c r="L477" t="s">
        <v>657</v>
      </c>
      <c r="M477" t="s">
        <v>679</v>
      </c>
      <c r="N477" t="s">
        <v>705</v>
      </c>
      <c r="O477" t="s">
        <v>708</v>
      </c>
      <c r="P477" t="s">
        <v>717</v>
      </c>
      <c r="Q477" t="s">
        <v>733</v>
      </c>
      <c r="R477" t="s">
        <v>1033</v>
      </c>
      <c r="S477" s="6">
        <v>591.72</v>
      </c>
      <c r="T477" s="6">
        <v>577.24</v>
      </c>
      <c r="U477" s="6">
        <f t="shared" si="80"/>
        <v>577.24</v>
      </c>
      <c r="V477" s="8">
        <v>0</v>
      </c>
      <c r="W477" s="6">
        <v>22</v>
      </c>
      <c r="X477" s="6">
        <f t="shared" si="81"/>
        <v>12699.28</v>
      </c>
      <c r="Y477">
        <f t="shared" si="82"/>
        <v>13017.84</v>
      </c>
      <c r="Z477" s="6">
        <f t="shared" si="83"/>
        <v>-318.55999999999949</v>
      </c>
      <c r="AA477">
        <f t="shared" si="84"/>
        <v>-2.5084886702238195E-2</v>
      </c>
      <c r="AB477" t="str">
        <f t="shared" si="85"/>
        <v>1-2025</v>
      </c>
      <c r="AC477" t="str">
        <f t="shared" si="86"/>
        <v>Q1-2025</v>
      </c>
      <c r="AD477" t="str">
        <f t="shared" si="87"/>
        <v>Europe →France →Lyon</v>
      </c>
      <c r="AE477" t="str">
        <f t="shared" si="88"/>
        <v>Low</v>
      </c>
      <c r="AF477" t="str">
        <f>TEXT(Table1[[#This Row],[OrderDate]],"MMM")</f>
        <v>Jan</v>
      </c>
      <c r="AG477" t="str">
        <f>TEXT(Table1[[#This Row],[OrderDate]],"YYYY")</f>
        <v>2025</v>
      </c>
      <c r="AI477" s="4">
        <f>IF(Table1[[#This Row],[RequiredDate]]&lt;Table1[[#This Row],[OrderDate]], Table1[[#This Row],[OrderDate]]+7, Table1[[#This Row],[RequiredDate]])</f>
        <v>45679</v>
      </c>
      <c r="AJ477">
        <f>IF(Dashboard!$D$3&gt;'Staging Data'!V477,'Staging Data'!V477,Dashboard!D$3)</f>
        <v>0</v>
      </c>
      <c r="AK477" s="19">
        <f>(100%+Dashboard!$D$4)*'Staging Data'!S477</f>
        <v>621.30600000000004</v>
      </c>
      <c r="AL477">
        <f>(100%+Dashboard!$D$5)*'Staging Data'!W477</f>
        <v>25.299999999999997</v>
      </c>
    </row>
    <row r="478" spans="1:38" x14ac:dyDescent="0.35">
      <c r="A478" s="6" t="s">
        <v>322</v>
      </c>
      <c r="B478" s="4">
        <v>45679</v>
      </c>
      <c r="C478" s="4">
        <v>45692</v>
      </c>
      <c r="D478" s="4">
        <f>IF(Table1[[#This Row],[RequiredDate]]&lt;Table1[[#This Row],[OrderDate]],Table1[[#This Row],[RequiredDate]],Table1[[#This Row],[OrderDate]])</f>
        <v>45679</v>
      </c>
      <c r="E478" s="4">
        <f>IF(Table1[[#This Row],[RequiredDate]]&gt;Table1[[#This Row],[OrderDate]],Table1[[#This Row],[RequiredDate]],Table1[[#This Row],[OrderDate]])</f>
        <v>45692</v>
      </c>
      <c r="F478" s="21">
        <f>Table1[[#This Row],[New RD]]-Table1[[#This Row],[new   od]]</f>
        <v>13</v>
      </c>
      <c r="G478" s="4">
        <f>IF(Table1[[#This Row],[RequiredDate]]&lt;Table1[[#This Row],[OrderDate]], Table1[[#This Row],[OrderDate]]+7, Table1[[#This Row],[RequiredDate]])</f>
        <v>45692</v>
      </c>
      <c r="H478" s="21">
        <f t="shared" si="78"/>
        <v>13</v>
      </c>
      <c r="I478" s="6" t="str">
        <f>IF(Table1[[#This Row],[New LTD]]&lt;=7,"Yes","No")</f>
        <v>No</v>
      </c>
      <c r="J478" s="6" t="str">
        <f t="shared" si="79"/>
        <v>No</v>
      </c>
      <c r="K478" t="s">
        <v>647</v>
      </c>
      <c r="L478" t="s">
        <v>652</v>
      </c>
      <c r="M478" t="s">
        <v>689</v>
      </c>
      <c r="N478" t="s">
        <v>705</v>
      </c>
      <c r="O478" t="s">
        <v>710</v>
      </c>
      <c r="P478" t="s">
        <v>716</v>
      </c>
      <c r="Q478" t="s">
        <v>728</v>
      </c>
      <c r="R478" t="s">
        <v>1042</v>
      </c>
      <c r="S478" s="6">
        <v>122.29</v>
      </c>
      <c r="T478" s="6">
        <v>224.95</v>
      </c>
      <c r="U478" s="6">
        <f t="shared" si="80"/>
        <v>224.95</v>
      </c>
      <c r="V478" s="8">
        <v>0.153</v>
      </c>
      <c r="W478" s="6">
        <v>28</v>
      </c>
      <c r="X478" s="6">
        <f t="shared" si="81"/>
        <v>5334.9141999999993</v>
      </c>
      <c r="Y478">
        <f t="shared" si="82"/>
        <v>3424.1200000000003</v>
      </c>
      <c r="Z478" s="6">
        <f t="shared" si="83"/>
        <v>1910.7941999999989</v>
      </c>
      <c r="AA478">
        <f t="shared" si="84"/>
        <v>0.3581677471026618</v>
      </c>
      <c r="AB478" t="str">
        <f t="shared" si="85"/>
        <v>1-2025</v>
      </c>
      <c r="AC478" t="str">
        <f t="shared" si="86"/>
        <v>Q1-2025</v>
      </c>
      <c r="AD478" t="str">
        <f t="shared" si="87"/>
        <v>Asia →Japan →Tokyo</v>
      </c>
      <c r="AE478" t="str">
        <f t="shared" si="88"/>
        <v>Low</v>
      </c>
      <c r="AF478" t="str">
        <f>TEXT(Table1[[#This Row],[OrderDate]],"MMM")</f>
        <v>Jan</v>
      </c>
      <c r="AG478" t="str">
        <f>TEXT(Table1[[#This Row],[OrderDate]],"YYYY")</f>
        <v>2025</v>
      </c>
      <c r="AI478" s="4">
        <f>IF(Table1[[#This Row],[RequiredDate]]&lt;Table1[[#This Row],[OrderDate]], Table1[[#This Row],[OrderDate]]+7, Table1[[#This Row],[RequiredDate]])</f>
        <v>45692</v>
      </c>
      <c r="AJ478">
        <f>IF(Dashboard!$D$3&gt;'Staging Data'!V478,'Staging Data'!V478,Dashboard!D$3)</f>
        <v>0.153</v>
      </c>
      <c r="AK478" s="19">
        <f>(100%+Dashboard!$D$4)*'Staging Data'!S478</f>
        <v>128.40450000000001</v>
      </c>
      <c r="AL478">
        <f>(100%+Dashboard!$D$5)*'Staging Data'!W478</f>
        <v>32.199999999999996</v>
      </c>
    </row>
    <row r="479" spans="1:38" x14ac:dyDescent="0.35">
      <c r="A479" s="6" t="s">
        <v>115</v>
      </c>
      <c r="B479" s="4">
        <v>45684</v>
      </c>
      <c r="C479" s="4">
        <v>45703</v>
      </c>
      <c r="D479" s="4">
        <f>IF(Table1[[#This Row],[RequiredDate]]&lt;Table1[[#This Row],[OrderDate]],Table1[[#This Row],[RequiredDate]],Table1[[#This Row],[OrderDate]])</f>
        <v>45684</v>
      </c>
      <c r="E479" s="4">
        <f>IF(Table1[[#This Row],[RequiredDate]]&gt;Table1[[#This Row],[OrderDate]],Table1[[#This Row],[RequiredDate]],Table1[[#This Row],[OrderDate]])</f>
        <v>45703</v>
      </c>
      <c r="F479" s="21">
        <f>Table1[[#This Row],[New RD]]-Table1[[#This Row],[new   od]]</f>
        <v>19</v>
      </c>
      <c r="G479" s="4">
        <f>IF(Table1[[#This Row],[RequiredDate]]&lt;Table1[[#This Row],[OrderDate]], Table1[[#This Row],[OrderDate]]+7, Table1[[#This Row],[RequiredDate]])</f>
        <v>45703</v>
      </c>
      <c r="H479" s="21">
        <f t="shared" si="78"/>
        <v>19</v>
      </c>
      <c r="I479" s="6" t="str">
        <f>IF(Table1[[#This Row],[New LTD]]&lt;=7,"Yes","No")</f>
        <v>No</v>
      </c>
      <c r="J479" s="6" t="str">
        <f t="shared" si="79"/>
        <v>No</v>
      </c>
      <c r="K479" t="s">
        <v>647</v>
      </c>
      <c r="L479" t="s">
        <v>659</v>
      </c>
      <c r="M479" t="s">
        <v>676</v>
      </c>
      <c r="N479" t="s">
        <v>703</v>
      </c>
      <c r="O479" t="s">
        <v>711</v>
      </c>
      <c r="P479" t="s">
        <v>716</v>
      </c>
      <c r="Q479" t="s">
        <v>730</v>
      </c>
      <c r="R479" t="s">
        <v>834</v>
      </c>
      <c r="S479" s="6">
        <v>1253.22</v>
      </c>
      <c r="T479" s="6">
        <v>3104.71</v>
      </c>
      <c r="U479" s="6">
        <f t="shared" si="80"/>
        <v>3104.71</v>
      </c>
      <c r="V479" s="8">
        <v>0</v>
      </c>
      <c r="W479" s="6">
        <v>17</v>
      </c>
      <c r="X479" s="6">
        <f t="shared" si="81"/>
        <v>52780.07</v>
      </c>
      <c r="Y479">
        <f t="shared" si="82"/>
        <v>21304.74</v>
      </c>
      <c r="Z479" s="6">
        <f t="shared" si="83"/>
        <v>31475.329999999998</v>
      </c>
      <c r="AA479">
        <f t="shared" si="84"/>
        <v>0.59634877331538205</v>
      </c>
      <c r="AB479" t="str">
        <f t="shared" si="85"/>
        <v>1-2025</v>
      </c>
      <c r="AC479" t="str">
        <f t="shared" si="86"/>
        <v>Q1-2025</v>
      </c>
      <c r="AD479" t="str">
        <f t="shared" si="87"/>
        <v>Asia →China →Shenzhen</v>
      </c>
      <c r="AE479" t="str">
        <f t="shared" si="88"/>
        <v>High</v>
      </c>
      <c r="AF479" t="str">
        <f>TEXT(Table1[[#This Row],[OrderDate]],"MMM")</f>
        <v>Jan</v>
      </c>
      <c r="AG479" t="str">
        <f>TEXT(Table1[[#This Row],[OrderDate]],"YYYY")</f>
        <v>2025</v>
      </c>
      <c r="AI479" s="4">
        <f>IF(Table1[[#This Row],[RequiredDate]]&lt;Table1[[#This Row],[OrderDate]], Table1[[#This Row],[OrderDate]]+7, Table1[[#This Row],[RequiredDate]])</f>
        <v>45703</v>
      </c>
      <c r="AJ479">
        <f>IF(Dashboard!$D$3&gt;'Staging Data'!V479,'Staging Data'!V479,Dashboard!D$3)</f>
        <v>0</v>
      </c>
      <c r="AK479" s="19">
        <f>(100%+Dashboard!$D$4)*'Staging Data'!S479</f>
        <v>1315.8810000000001</v>
      </c>
      <c r="AL479">
        <f>(100%+Dashboard!$D$5)*'Staging Data'!W479</f>
        <v>19.549999999999997</v>
      </c>
    </row>
    <row r="480" spans="1:38" x14ac:dyDescent="0.35">
      <c r="A480" s="6" t="s">
        <v>227</v>
      </c>
      <c r="B480" s="4">
        <v>45686</v>
      </c>
      <c r="C480" s="4">
        <v>45694</v>
      </c>
      <c r="D480" s="4">
        <f>IF(Table1[[#This Row],[RequiredDate]]&lt;Table1[[#This Row],[OrderDate]],Table1[[#This Row],[RequiredDate]],Table1[[#This Row],[OrderDate]])</f>
        <v>45686</v>
      </c>
      <c r="E480" s="4">
        <f>IF(Table1[[#This Row],[RequiredDate]]&gt;Table1[[#This Row],[OrderDate]],Table1[[#This Row],[RequiredDate]],Table1[[#This Row],[OrderDate]])</f>
        <v>45694</v>
      </c>
      <c r="F480" s="21">
        <f>Table1[[#This Row],[New RD]]-Table1[[#This Row],[new   od]]</f>
        <v>8</v>
      </c>
      <c r="G480" s="4">
        <f>IF(Table1[[#This Row],[RequiredDate]]&lt;Table1[[#This Row],[OrderDate]], Table1[[#This Row],[OrderDate]]+7, Table1[[#This Row],[RequiredDate]])</f>
        <v>45694</v>
      </c>
      <c r="H480" s="21">
        <f t="shared" si="78"/>
        <v>8</v>
      </c>
      <c r="I480" s="6" t="str">
        <f>IF(Table1[[#This Row],[New LTD]]&lt;=7,"Yes","No")</f>
        <v>No</v>
      </c>
      <c r="J480" s="6" t="str">
        <f t="shared" si="79"/>
        <v>No</v>
      </c>
      <c r="K480" t="s">
        <v>646</v>
      </c>
      <c r="L480" t="s">
        <v>650</v>
      </c>
      <c r="M480" t="s">
        <v>662</v>
      </c>
      <c r="N480" t="s">
        <v>702</v>
      </c>
      <c r="O480" t="s">
        <v>707</v>
      </c>
      <c r="P480" t="s">
        <v>717</v>
      </c>
      <c r="Q480" t="s">
        <v>730</v>
      </c>
      <c r="R480" t="s">
        <v>947</v>
      </c>
      <c r="S480" s="6">
        <v>1445.27</v>
      </c>
      <c r="T480" s="6">
        <v>2691.45</v>
      </c>
      <c r="U480" s="6">
        <f t="shared" si="80"/>
        <v>2691.45</v>
      </c>
      <c r="V480" s="8">
        <v>0</v>
      </c>
      <c r="W480" s="6">
        <v>9</v>
      </c>
      <c r="X480" s="6">
        <f t="shared" si="81"/>
        <v>24223.05</v>
      </c>
      <c r="Y480">
        <f t="shared" si="82"/>
        <v>13007.43</v>
      </c>
      <c r="Z480" s="6">
        <f t="shared" si="83"/>
        <v>11215.619999999999</v>
      </c>
      <c r="AA480">
        <f t="shared" si="84"/>
        <v>0.46301436028906351</v>
      </c>
      <c r="AB480" t="str">
        <f t="shared" si="85"/>
        <v>1-2025</v>
      </c>
      <c r="AC480" t="str">
        <f t="shared" si="86"/>
        <v>Q1-2025</v>
      </c>
      <c r="AD480" t="str">
        <f t="shared" si="87"/>
        <v>Africa →Kenya →Kisumu</v>
      </c>
      <c r="AE480" t="str">
        <f t="shared" si="88"/>
        <v>High</v>
      </c>
      <c r="AF480" t="str">
        <f>TEXT(Table1[[#This Row],[OrderDate]],"MMM")</f>
        <v>Jan</v>
      </c>
      <c r="AG480" t="str">
        <f>TEXT(Table1[[#This Row],[OrderDate]],"YYYY")</f>
        <v>2025</v>
      </c>
      <c r="AI480" s="4">
        <f>IF(Table1[[#This Row],[RequiredDate]]&lt;Table1[[#This Row],[OrderDate]], Table1[[#This Row],[OrderDate]]+7, Table1[[#This Row],[RequiredDate]])</f>
        <v>45694</v>
      </c>
      <c r="AJ480">
        <f>IF(Dashboard!$D$3&gt;'Staging Data'!V480,'Staging Data'!V480,Dashboard!D$3)</f>
        <v>0</v>
      </c>
      <c r="AK480" s="19">
        <f>(100%+Dashboard!$D$4)*'Staging Data'!S480</f>
        <v>1517.5335</v>
      </c>
      <c r="AL480">
        <f>(100%+Dashboard!$D$5)*'Staging Data'!W480</f>
        <v>10.35</v>
      </c>
    </row>
    <row r="481" spans="1:38" x14ac:dyDescent="0.35">
      <c r="A481" s="6" t="s">
        <v>394</v>
      </c>
      <c r="B481" s="4">
        <v>45688</v>
      </c>
      <c r="C481" s="4">
        <v>45705</v>
      </c>
      <c r="D481" s="4">
        <f>IF(Table1[[#This Row],[RequiredDate]]&lt;Table1[[#This Row],[OrderDate]],Table1[[#This Row],[RequiredDate]],Table1[[#This Row],[OrderDate]])</f>
        <v>45688</v>
      </c>
      <c r="E481" s="4">
        <f>IF(Table1[[#This Row],[RequiredDate]]&gt;Table1[[#This Row],[OrderDate]],Table1[[#This Row],[RequiredDate]],Table1[[#This Row],[OrderDate]])</f>
        <v>45705</v>
      </c>
      <c r="F481" s="21">
        <f>Table1[[#This Row],[New RD]]-Table1[[#This Row],[new   od]]</f>
        <v>17</v>
      </c>
      <c r="G481" s="4">
        <f>IF(Table1[[#This Row],[RequiredDate]]&lt;Table1[[#This Row],[OrderDate]], Table1[[#This Row],[OrderDate]]+7, Table1[[#This Row],[RequiredDate]])</f>
        <v>45705</v>
      </c>
      <c r="H481" s="21">
        <f t="shared" si="78"/>
        <v>17</v>
      </c>
      <c r="I481" s="6" t="str">
        <f>IF(Table1[[#This Row],[New LTD]]&lt;=7,"Yes","No")</f>
        <v>No</v>
      </c>
      <c r="J481" s="6" t="str">
        <f t="shared" si="79"/>
        <v>No</v>
      </c>
      <c r="K481" t="s">
        <v>649</v>
      </c>
      <c r="L481" t="s">
        <v>658</v>
      </c>
      <c r="M481" t="s">
        <v>683</v>
      </c>
      <c r="N481" t="s">
        <v>706</v>
      </c>
      <c r="O481" t="s">
        <v>707</v>
      </c>
      <c r="P481" t="s">
        <v>722</v>
      </c>
      <c r="Q481" t="s">
        <v>727</v>
      </c>
      <c r="R481" t="s">
        <v>812</v>
      </c>
      <c r="S481" s="6">
        <v>378.26</v>
      </c>
      <c r="T481" s="6">
        <v>541.55999999999995</v>
      </c>
      <c r="U481" s="6">
        <f t="shared" si="80"/>
        <v>541.55999999999995</v>
      </c>
      <c r="V481" s="8">
        <v>0.16300000000000001</v>
      </c>
      <c r="W481" s="6">
        <v>25</v>
      </c>
      <c r="X481" s="6">
        <f t="shared" si="81"/>
        <v>11332.142999999998</v>
      </c>
      <c r="Y481">
        <f t="shared" si="82"/>
        <v>9456.5</v>
      </c>
      <c r="Z481" s="6">
        <f t="shared" si="83"/>
        <v>1875.6429999999982</v>
      </c>
      <c r="AA481">
        <f t="shared" si="84"/>
        <v>0.16551529573885526</v>
      </c>
      <c r="AB481" t="str">
        <f t="shared" si="85"/>
        <v>1-2025</v>
      </c>
      <c r="AC481" t="str">
        <f t="shared" si="86"/>
        <v>Q1-2025</v>
      </c>
      <c r="AD481" t="str">
        <f t="shared" si="87"/>
        <v>Europe →United Kingdom →London</v>
      </c>
      <c r="AE481" t="str">
        <f t="shared" si="88"/>
        <v>Low</v>
      </c>
      <c r="AF481" t="str">
        <f>TEXT(Table1[[#This Row],[OrderDate]],"MMM")</f>
        <v>Jan</v>
      </c>
      <c r="AG481" t="str">
        <f>TEXT(Table1[[#This Row],[OrderDate]],"YYYY")</f>
        <v>2025</v>
      </c>
      <c r="AI481" s="4">
        <f>IF(Table1[[#This Row],[RequiredDate]]&lt;Table1[[#This Row],[OrderDate]], Table1[[#This Row],[OrderDate]]+7, Table1[[#This Row],[RequiredDate]])</f>
        <v>45705</v>
      </c>
      <c r="AJ481">
        <f>IF(Dashboard!$D$3&gt;'Staging Data'!V481,'Staging Data'!V481,Dashboard!D$3)</f>
        <v>0.16300000000000001</v>
      </c>
      <c r="AK481" s="19">
        <f>(100%+Dashboard!$D$4)*'Staging Data'!S481</f>
        <v>397.173</v>
      </c>
      <c r="AL481">
        <f>(100%+Dashboard!$D$5)*'Staging Data'!W481</f>
        <v>28.749999999999996</v>
      </c>
    </row>
    <row r="482" spans="1:38" x14ac:dyDescent="0.35">
      <c r="A482" s="6" t="s">
        <v>197</v>
      </c>
      <c r="B482" s="4">
        <v>45690</v>
      </c>
      <c r="C482" s="4">
        <v>45720</v>
      </c>
      <c r="D482" s="4">
        <f>IF(Table1[[#This Row],[RequiredDate]]&lt;Table1[[#This Row],[OrderDate]],Table1[[#This Row],[RequiredDate]],Table1[[#This Row],[OrderDate]])</f>
        <v>45690</v>
      </c>
      <c r="E482" s="4">
        <f>IF(Table1[[#This Row],[RequiredDate]]&gt;Table1[[#This Row],[OrderDate]],Table1[[#This Row],[RequiredDate]],Table1[[#This Row],[OrderDate]])</f>
        <v>45720</v>
      </c>
      <c r="F482" s="21">
        <f>Table1[[#This Row],[New RD]]-Table1[[#This Row],[new   od]]</f>
        <v>30</v>
      </c>
      <c r="G482" s="4">
        <f>IF(Table1[[#This Row],[RequiredDate]]&lt;Table1[[#This Row],[OrderDate]], Table1[[#This Row],[OrderDate]]+7, Table1[[#This Row],[RequiredDate]])</f>
        <v>45720</v>
      </c>
      <c r="H482" s="21">
        <f t="shared" si="78"/>
        <v>30</v>
      </c>
      <c r="I482" s="6" t="str">
        <f>IF(Table1[[#This Row],[New LTD]]&lt;=7,"Yes","No")</f>
        <v>No</v>
      </c>
      <c r="J482" s="6" t="str">
        <f t="shared" si="79"/>
        <v>No</v>
      </c>
      <c r="K482" t="s">
        <v>647</v>
      </c>
      <c r="L482" t="s">
        <v>652</v>
      </c>
      <c r="M482" t="s">
        <v>666</v>
      </c>
      <c r="N482" t="s">
        <v>702</v>
      </c>
      <c r="O482" t="s">
        <v>710</v>
      </c>
      <c r="P482" t="s">
        <v>716</v>
      </c>
      <c r="Q482" t="s">
        <v>733</v>
      </c>
      <c r="R482" t="s">
        <v>916</v>
      </c>
      <c r="S482" s="6">
        <v>766.59</v>
      </c>
      <c r="T482" s="6">
        <v>1912.8</v>
      </c>
      <c r="U482" s="6">
        <f t="shared" si="80"/>
        <v>1912.8</v>
      </c>
      <c r="V482" s="8">
        <v>0.19600000000000001</v>
      </c>
      <c r="W482" s="6">
        <v>5</v>
      </c>
      <c r="X482" s="6">
        <f t="shared" si="81"/>
        <v>7689.4560000000001</v>
      </c>
      <c r="Y482">
        <f t="shared" si="82"/>
        <v>3832.9500000000003</v>
      </c>
      <c r="Z482" s="6">
        <f t="shared" si="83"/>
        <v>3856.5059999999999</v>
      </c>
      <c r="AA482">
        <f t="shared" si="84"/>
        <v>0.50153170783472845</v>
      </c>
      <c r="AB482" t="str">
        <f t="shared" si="85"/>
        <v>2-2025</v>
      </c>
      <c r="AC482" t="str">
        <f t="shared" si="86"/>
        <v>Q1-2025</v>
      </c>
      <c r="AD482" t="str">
        <f t="shared" si="87"/>
        <v>Asia →Japan →Osaka</v>
      </c>
      <c r="AE482" t="str">
        <f t="shared" si="88"/>
        <v>High</v>
      </c>
      <c r="AF482" t="str">
        <f>TEXT(Table1[[#This Row],[OrderDate]],"MMM")</f>
        <v>Feb</v>
      </c>
      <c r="AG482" t="str">
        <f>TEXT(Table1[[#This Row],[OrderDate]],"YYYY")</f>
        <v>2025</v>
      </c>
      <c r="AI482" s="4">
        <f>IF(Table1[[#This Row],[RequiredDate]]&lt;Table1[[#This Row],[OrderDate]], Table1[[#This Row],[OrderDate]]+7, Table1[[#This Row],[RequiredDate]])</f>
        <v>45720</v>
      </c>
      <c r="AJ482">
        <f>IF(Dashboard!$D$3&gt;'Staging Data'!V482,'Staging Data'!V482,Dashboard!D$3)</f>
        <v>0.19600000000000001</v>
      </c>
      <c r="AK482" s="19">
        <f>(100%+Dashboard!$D$4)*'Staging Data'!S482</f>
        <v>804.91950000000008</v>
      </c>
      <c r="AL482">
        <f>(100%+Dashboard!$D$5)*'Staging Data'!W482</f>
        <v>5.75</v>
      </c>
    </row>
    <row r="483" spans="1:38" x14ac:dyDescent="0.35">
      <c r="A483" s="6" t="s">
        <v>218</v>
      </c>
      <c r="B483" s="4">
        <v>45692</v>
      </c>
      <c r="C483" s="4">
        <v>45713</v>
      </c>
      <c r="D483" s="4">
        <f>IF(Table1[[#This Row],[RequiredDate]]&lt;Table1[[#This Row],[OrderDate]],Table1[[#This Row],[RequiredDate]],Table1[[#This Row],[OrderDate]])</f>
        <v>45692</v>
      </c>
      <c r="E483" s="4">
        <f>IF(Table1[[#This Row],[RequiredDate]]&gt;Table1[[#This Row],[OrderDate]],Table1[[#This Row],[RequiredDate]],Table1[[#This Row],[OrderDate]])</f>
        <v>45713</v>
      </c>
      <c r="F483" s="21">
        <f>Table1[[#This Row],[New RD]]-Table1[[#This Row],[new   od]]</f>
        <v>21</v>
      </c>
      <c r="G483" s="4">
        <f>IF(Table1[[#This Row],[RequiredDate]]&lt;Table1[[#This Row],[OrderDate]], Table1[[#This Row],[OrderDate]]+7, Table1[[#This Row],[RequiredDate]])</f>
        <v>45713</v>
      </c>
      <c r="H483" s="21">
        <f t="shared" si="78"/>
        <v>21</v>
      </c>
      <c r="I483" s="6" t="str">
        <f>IF(Table1[[#This Row],[New LTD]]&lt;=7,"Yes","No")</f>
        <v>No</v>
      </c>
      <c r="J483" s="6" t="str">
        <f t="shared" si="79"/>
        <v>No</v>
      </c>
      <c r="K483" t="s">
        <v>649</v>
      </c>
      <c r="L483" t="s">
        <v>658</v>
      </c>
      <c r="M483" t="s">
        <v>674</v>
      </c>
      <c r="N483" t="s">
        <v>701</v>
      </c>
      <c r="O483" t="s">
        <v>709</v>
      </c>
      <c r="P483" t="s">
        <v>726</v>
      </c>
      <c r="Q483" t="s">
        <v>732</v>
      </c>
      <c r="R483" t="s">
        <v>938</v>
      </c>
      <c r="S483" s="6">
        <v>1016.32</v>
      </c>
      <c r="T483" s="6">
        <v>2253.42</v>
      </c>
      <c r="U483" s="6">
        <f t="shared" si="80"/>
        <v>2253.42</v>
      </c>
      <c r="V483" s="8">
        <v>5.5E-2</v>
      </c>
      <c r="W483" s="6">
        <v>12</v>
      </c>
      <c r="X483" s="6">
        <f t="shared" si="81"/>
        <v>25553.782800000001</v>
      </c>
      <c r="Y483">
        <f t="shared" si="82"/>
        <v>12195.84</v>
      </c>
      <c r="Z483" s="6">
        <f t="shared" si="83"/>
        <v>13357.942800000001</v>
      </c>
      <c r="AA483">
        <f t="shared" si="84"/>
        <v>0.52273837124419797</v>
      </c>
      <c r="AB483" t="str">
        <f t="shared" si="85"/>
        <v>2-2025</v>
      </c>
      <c r="AC483" t="str">
        <f t="shared" si="86"/>
        <v>Q1-2025</v>
      </c>
      <c r="AD483" t="str">
        <f t="shared" si="87"/>
        <v>Europe →United Kingdom →Birmingham</v>
      </c>
      <c r="AE483" t="str">
        <f t="shared" si="88"/>
        <v>High</v>
      </c>
      <c r="AF483" t="str">
        <f>TEXT(Table1[[#This Row],[OrderDate]],"MMM")</f>
        <v>Feb</v>
      </c>
      <c r="AG483" t="str">
        <f>TEXT(Table1[[#This Row],[OrderDate]],"YYYY")</f>
        <v>2025</v>
      </c>
      <c r="AI483" s="4">
        <f>IF(Table1[[#This Row],[RequiredDate]]&lt;Table1[[#This Row],[OrderDate]], Table1[[#This Row],[OrderDate]]+7, Table1[[#This Row],[RequiredDate]])</f>
        <v>45713</v>
      </c>
      <c r="AJ483">
        <f>IF(Dashboard!$D$3&gt;'Staging Data'!V483,'Staging Data'!V483,Dashboard!D$3)</f>
        <v>5.5E-2</v>
      </c>
      <c r="AK483" s="19">
        <f>(100%+Dashboard!$D$4)*'Staging Data'!S483</f>
        <v>1067.1360000000002</v>
      </c>
      <c r="AL483">
        <f>(100%+Dashboard!$D$5)*'Staging Data'!W483</f>
        <v>13.799999999999999</v>
      </c>
    </row>
    <row r="484" spans="1:38" x14ac:dyDescent="0.35">
      <c r="A484" s="6" t="s">
        <v>578</v>
      </c>
      <c r="B484" s="4">
        <v>45692</v>
      </c>
      <c r="C484" s="4">
        <v>45696</v>
      </c>
      <c r="D484" s="4">
        <f>IF(Table1[[#This Row],[RequiredDate]]&lt;Table1[[#This Row],[OrderDate]],Table1[[#This Row],[RequiredDate]],Table1[[#This Row],[OrderDate]])</f>
        <v>45692</v>
      </c>
      <c r="E484" s="4">
        <f>IF(Table1[[#This Row],[RequiredDate]]&gt;Table1[[#This Row],[OrderDate]],Table1[[#This Row],[RequiredDate]],Table1[[#This Row],[OrderDate]])</f>
        <v>45696</v>
      </c>
      <c r="F484" s="21">
        <f>Table1[[#This Row],[New RD]]-Table1[[#This Row],[new   od]]</f>
        <v>4</v>
      </c>
      <c r="G484" s="4">
        <f>IF(Table1[[#This Row],[RequiredDate]]&lt;Table1[[#This Row],[OrderDate]], Table1[[#This Row],[OrderDate]]+7, Table1[[#This Row],[RequiredDate]])</f>
        <v>45696</v>
      </c>
      <c r="H484" s="21">
        <f t="shared" si="78"/>
        <v>4</v>
      </c>
      <c r="I484" s="6" t="str">
        <f>IF(Table1[[#This Row],[New LTD]]&lt;=7,"Yes","No")</f>
        <v>Yes</v>
      </c>
      <c r="J484" s="6" t="str">
        <f t="shared" si="79"/>
        <v>No</v>
      </c>
      <c r="K484" t="s">
        <v>649</v>
      </c>
      <c r="L484" t="s">
        <v>658</v>
      </c>
      <c r="M484" t="s">
        <v>693</v>
      </c>
      <c r="N484" t="s">
        <v>706</v>
      </c>
      <c r="O484" t="s">
        <v>709</v>
      </c>
      <c r="P484" t="s">
        <v>716</v>
      </c>
      <c r="Q484" t="s">
        <v>729</v>
      </c>
      <c r="R484" t="s">
        <v>1296</v>
      </c>
      <c r="S484" s="6">
        <v>586.21</v>
      </c>
      <c r="T484" s="6">
        <v>727.22</v>
      </c>
      <c r="U484" s="6">
        <f t="shared" si="80"/>
        <v>727.22</v>
      </c>
      <c r="V484" s="8">
        <v>6.8000000000000005E-2</v>
      </c>
      <c r="W484" s="6">
        <v>15</v>
      </c>
      <c r="X484" s="6">
        <f t="shared" si="81"/>
        <v>10166.535600000001</v>
      </c>
      <c r="Y484">
        <f t="shared" si="82"/>
        <v>8793.1500000000015</v>
      </c>
      <c r="Z484" s="6">
        <f t="shared" si="83"/>
        <v>1373.3855999999996</v>
      </c>
      <c r="AA484">
        <f t="shared" si="84"/>
        <v>0.13508884973559721</v>
      </c>
      <c r="AB484" t="str">
        <f t="shared" si="85"/>
        <v>2-2025</v>
      </c>
      <c r="AC484" t="str">
        <f t="shared" si="86"/>
        <v>Q1-2025</v>
      </c>
      <c r="AD484" t="str">
        <f t="shared" si="87"/>
        <v>Europe →United Kingdom →Manchester</v>
      </c>
      <c r="AE484" t="str">
        <f t="shared" si="88"/>
        <v>Low</v>
      </c>
      <c r="AF484" t="str">
        <f>TEXT(Table1[[#This Row],[OrderDate]],"MMM")</f>
        <v>Feb</v>
      </c>
      <c r="AG484" t="str">
        <f>TEXT(Table1[[#This Row],[OrderDate]],"YYYY")</f>
        <v>2025</v>
      </c>
      <c r="AI484" s="4">
        <f>IF(Table1[[#This Row],[RequiredDate]]&lt;Table1[[#This Row],[OrderDate]], Table1[[#This Row],[OrderDate]]+7, Table1[[#This Row],[RequiredDate]])</f>
        <v>45696</v>
      </c>
      <c r="AJ484">
        <f>IF(Dashboard!$D$3&gt;'Staging Data'!V484,'Staging Data'!V484,Dashboard!D$3)</f>
        <v>6.8000000000000005E-2</v>
      </c>
      <c r="AK484" s="19">
        <f>(100%+Dashboard!$D$4)*'Staging Data'!S484</f>
        <v>615.52050000000008</v>
      </c>
      <c r="AL484">
        <f>(100%+Dashboard!$D$5)*'Staging Data'!W484</f>
        <v>17.25</v>
      </c>
    </row>
    <row r="485" spans="1:38" x14ac:dyDescent="0.35">
      <c r="A485" s="6" t="s">
        <v>393</v>
      </c>
      <c r="B485" s="4">
        <v>45694</v>
      </c>
      <c r="C485" s="4">
        <v>45703</v>
      </c>
      <c r="D485" s="4">
        <f>IF(Table1[[#This Row],[RequiredDate]]&lt;Table1[[#This Row],[OrderDate]],Table1[[#This Row],[RequiredDate]],Table1[[#This Row],[OrderDate]])</f>
        <v>45694</v>
      </c>
      <c r="E485" s="4">
        <f>IF(Table1[[#This Row],[RequiredDate]]&gt;Table1[[#This Row],[OrderDate]],Table1[[#This Row],[RequiredDate]],Table1[[#This Row],[OrderDate]])</f>
        <v>45703</v>
      </c>
      <c r="F485" s="21">
        <f>Table1[[#This Row],[New RD]]-Table1[[#This Row],[new   od]]</f>
        <v>9</v>
      </c>
      <c r="G485" s="4">
        <f>IF(Table1[[#This Row],[RequiredDate]]&lt;Table1[[#This Row],[OrderDate]], Table1[[#This Row],[OrderDate]]+7, Table1[[#This Row],[RequiredDate]])</f>
        <v>45703</v>
      </c>
      <c r="H485" s="21">
        <f t="shared" si="78"/>
        <v>9</v>
      </c>
      <c r="I485" s="6" t="str">
        <f>IF(Table1[[#This Row],[New LTD]]&lt;=7,"Yes","No")</f>
        <v>No</v>
      </c>
      <c r="J485" s="6" t="str">
        <f t="shared" si="79"/>
        <v>No</v>
      </c>
      <c r="K485" t="s">
        <v>648</v>
      </c>
      <c r="L485" t="s">
        <v>655</v>
      </c>
      <c r="M485" t="s">
        <v>670</v>
      </c>
      <c r="N485" t="s">
        <v>703</v>
      </c>
      <c r="O485" t="s">
        <v>710</v>
      </c>
      <c r="P485" t="s">
        <v>721</v>
      </c>
      <c r="Q485" t="s">
        <v>729</v>
      </c>
      <c r="R485" t="s">
        <v>1113</v>
      </c>
      <c r="S485" s="6">
        <v>837.39</v>
      </c>
      <c r="T485" s="6">
        <v>1905.42</v>
      </c>
      <c r="U485" s="6">
        <f t="shared" si="80"/>
        <v>1905.42</v>
      </c>
      <c r="V485" s="8">
        <v>3.2000000000000001E-2</v>
      </c>
      <c r="W485" s="6">
        <v>18</v>
      </c>
      <c r="X485" s="6">
        <f t="shared" si="81"/>
        <v>33200.038079999998</v>
      </c>
      <c r="Y485">
        <f t="shared" si="82"/>
        <v>15073.02</v>
      </c>
      <c r="Z485" s="6">
        <f t="shared" si="83"/>
        <v>18127.018079999998</v>
      </c>
      <c r="AA485">
        <f t="shared" si="84"/>
        <v>0.54599389423350919</v>
      </c>
      <c r="AB485" t="str">
        <f t="shared" si="85"/>
        <v>2-2025</v>
      </c>
      <c r="AC485" t="str">
        <f t="shared" si="86"/>
        <v>Q1-2025</v>
      </c>
      <c r="AD485" t="str">
        <f t="shared" si="87"/>
        <v>Americas →Brazil →São Paulo</v>
      </c>
      <c r="AE485" t="str">
        <f t="shared" si="88"/>
        <v>High</v>
      </c>
      <c r="AF485" t="str">
        <f>TEXT(Table1[[#This Row],[OrderDate]],"MMM")</f>
        <v>Feb</v>
      </c>
      <c r="AG485" t="str">
        <f>TEXT(Table1[[#This Row],[OrderDate]],"YYYY")</f>
        <v>2025</v>
      </c>
      <c r="AI485" s="4">
        <f>IF(Table1[[#This Row],[RequiredDate]]&lt;Table1[[#This Row],[OrderDate]], Table1[[#This Row],[OrderDate]]+7, Table1[[#This Row],[RequiredDate]])</f>
        <v>45703</v>
      </c>
      <c r="AJ485">
        <f>IF(Dashboard!$D$3&gt;'Staging Data'!V485,'Staging Data'!V485,Dashboard!D$3)</f>
        <v>3.2000000000000001E-2</v>
      </c>
      <c r="AK485" s="19">
        <f>(100%+Dashboard!$D$4)*'Staging Data'!S485</f>
        <v>879.2595</v>
      </c>
      <c r="AL485">
        <f>(100%+Dashboard!$D$5)*'Staging Data'!W485</f>
        <v>20.7</v>
      </c>
    </row>
    <row r="486" spans="1:38" x14ac:dyDescent="0.35">
      <c r="A486" s="6" t="s">
        <v>540</v>
      </c>
      <c r="B486" s="4">
        <v>45695</v>
      </c>
      <c r="C486" s="4">
        <v>45704</v>
      </c>
      <c r="D486" s="4">
        <f>IF(Table1[[#This Row],[RequiredDate]]&lt;Table1[[#This Row],[OrderDate]],Table1[[#This Row],[RequiredDate]],Table1[[#This Row],[OrderDate]])</f>
        <v>45695</v>
      </c>
      <c r="E486" s="4">
        <f>IF(Table1[[#This Row],[RequiredDate]]&gt;Table1[[#This Row],[OrderDate]],Table1[[#This Row],[RequiredDate]],Table1[[#This Row],[OrderDate]])</f>
        <v>45704</v>
      </c>
      <c r="F486" s="21">
        <f>Table1[[#This Row],[New RD]]-Table1[[#This Row],[new   od]]</f>
        <v>9</v>
      </c>
      <c r="G486" s="4">
        <f>IF(Table1[[#This Row],[RequiredDate]]&lt;Table1[[#This Row],[OrderDate]], Table1[[#This Row],[OrderDate]]+7, Table1[[#This Row],[RequiredDate]])</f>
        <v>45704</v>
      </c>
      <c r="H486" s="21">
        <f t="shared" si="78"/>
        <v>9</v>
      </c>
      <c r="I486" s="6" t="str">
        <f>IF(Table1[[#This Row],[New LTD]]&lt;=7,"Yes","No")</f>
        <v>No</v>
      </c>
      <c r="J486" s="6" t="str">
        <f t="shared" si="79"/>
        <v>No</v>
      </c>
      <c r="K486" t="s">
        <v>646</v>
      </c>
      <c r="L486" t="s">
        <v>651</v>
      </c>
      <c r="M486" t="s">
        <v>665</v>
      </c>
      <c r="N486" t="s">
        <v>705</v>
      </c>
      <c r="O486" t="s">
        <v>710</v>
      </c>
      <c r="P486" t="s">
        <v>712</v>
      </c>
      <c r="Q486" t="s">
        <v>728</v>
      </c>
      <c r="R486" t="s">
        <v>1259</v>
      </c>
      <c r="S486" s="6">
        <v>90.68</v>
      </c>
      <c r="T486" s="6">
        <v>118.17</v>
      </c>
      <c r="U486" s="6">
        <f t="shared" si="80"/>
        <v>118.17</v>
      </c>
      <c r="V486" s="8">
        <v>0.13500000000000001</v>
      </c>
      <c r="W486" s="6">
        <v>21</v>
      </c>
      <c r="X486" s="6">
        <f t="shared" si="81"/>
        <v>2146.5580500000001</v>
      </c>
      <c r="Y486">
        <f t="shared" si="82"/>
        <v>1904.2800000000002</v>
      </c>
      <c r="Z486" s="6">
        <f t="shared" si="83"/>
        <v>242.27804999999989</v>
      </c>
      <c r="AA486">
        <f t="shared" si="84"/>
        <v>0.11286815653552899</v>
      </c>
      <c r="AB486" t="str">
        <f t="shared" si="85"/>
        <v>2-2025</v>
      </c>
      <c r="AC486" t="str">
        <f t="shared" si="86"/>
        <v>Q1-2025</v>
      </c>
      <c r="AD486" t="str">
        <f t="shared" si="87"/>
        <v>Africa →Nigeria →Lagos</v>
      </c>
      <c r="AE486" t="str">
        <f t="shared" si="88"/>
        <v>Low</v>
      </c>
      <c r="AF486" t="str">
        <f>TEXT(Table1[[#This Row],[OrderDate]],"MMM")</f>
        <v>Feb</v>
      </c>
      <c r="AG486" t="str">
        <f>TEXT(Table1[[#This Row],[OrderDate]],"YYYY")</f>
        <v>2025</v>
      </c>
      <c r="AI486" s="4">
        <f>IF(Table1[[#This Row],[RequiredDate]]&lt;Table1[[#This Row],[OrderDate]], Table1[[#This Row],[OrderDate]]+7, Table1[[#This Row],[RequiredDate]])</f>
        <v>45704</v>
      </c>
      <c r="AJ486">
        <f>IF(Dashboard!$D$3&gt;'Staging Data'!V486,'Staging Data'!V486,Dashboard!D$3)</f>
        <v>0.13500000000000001</v>
      </c>
      <c r="AK486" s="19">
        <f>(100%+Dashboard!$D$4)*'Staging Data'!S486</f>
        <v>95.214000000000013</v>
      </c>
      <c r="AL486">
        <f>(100%+Dashboard!$D$5)*'Staging Data'!W486</f>
        <v>24.15</v>
      </c>
    </row>
    <row r="487" spans="1:38" x14ac:dyDescent="0.35">
      <c r="A487" s="6" t="s">
        <v>71</v>
      </c>
      <c r="B487" s="4">
        <v>45697</v>
      </c>
      <c r="C487" s="4">
        <v>45717</v>
      </c>
      <c r="D487" s="4">
        <f>IF(Table1[[#This Row],[RequiredDate]]&lt;Table1[[#This Row],[OrderDate]],Table1[[#This Row],[RequiredDate]],Table1[[#This Row],[OrderDate]])</f>
        <v>45697</v>
      </c>
      <c r="E487" s="4">
        <f>IF(Table1[[#This Row],[RequiredDate]]&gt;Table1[[#This Row],[OrderDate]],Table1[[#This Row],[RequiredDate]],Table1[[#This Row],[OrderDate]])</f>
        <v>45717</v>
      </c>
      <c r="F487" s="21">
        <f>Table1[[#This Row],[New RD]]-Table1[[#This Row],[new   od]]</f>
        <v>20</v>
      </c>
      <c r="G487" s="4">
        <f>IF(Table1[[#This Row],[RequiredDate]]&lt;Table1[[#This Row],[OrderDate]], Table1[[#This Row],[OrderDate]]+7, Table1[[#This Row],[RequiredDate]])</f>
        <v>45717</v>
      </c>
      <c r="H487" s="21">
        <f t="shared" si="78"/>
        <v>20</v>
      </c>
      <c r="I487" s="6" t="str">
        <f>IF(Table1[[#This Row],[New LTD]]&lt;=7,"Yes","No")</f>
        <v>No</v>
      </c>
      <c r="J487" s="6" t="str">
        <f t="shared" si="79"/>
        <v>No</v>
      </c>
      <c r="K487" t="s">
        <v>648</v>
      </c>
      <c r="L487" t="s">
        <v>655</v>
      </c>
      <c r="M487" t="s">
        <v>670</v>
      </c>
      <c r="N487" t="s">
        <v>701</v>
      </c>
      <c r="O487" t="s">
        <v>710</v>
      </c>
      <c r="P487" t="s">
        <v>717</v>
      </c>
      <c r="Q487" t="s">
        <v>731</v>
      </c>
      <c r="R487" t="s">
        <v>790</v>
      </c>
      <c r="S487" s="6">
        <v>1154.6400000000001</v>
      </c>
      <c r="T487" s="6">
        <v>2794.13</v>
      </c>
      <c r="U487" s="6">
        <f t="shared" si="80"/>
        <v>2794.13</v>
      </c>
      <c r="V487" s="8">
        <v>3.5000000000000003E-2</v>
      </c>
      <c r="W487" s="6">
        <v>11</v>
      </c>
      <c r="X487" s="6">
        <f t="shared" si="81"/>
        <v>29659.68995</v>
      </c>
      <c r="Y487">
        <f t="shared" si="82"/>
        <v>12701.04</v>
      </c>
      <c r="Z487" s="6">
        <f t="shared" si="83"/>
        <v>16958.649949999999</v>
      </c>
      <c r="AA487">
        <f t="shared" si="84"/>
        <v>0.57177435025749479</v>
      </c>
      <c r="AB487" t="str">
        <f t="shared" si="85"/>
        <v>2-2025</v>
      </c>
      <c r="AC487" t="str">
        <f t="shared" si="86"/>
        <v>Q1-2025</v>
      </c>
      <c r="AD487" t="str">
        <f t="shared" si="87"/>
        <v>Americas →Brazil →São Paulo</v>
      </c>
      <c r="AE487" t="str">
        <f t="shared" si="88"/>
        <v>High</v>
      </c>
      <c r="AF487" t="str">
        <f>TEXT(Table1[[#This Row],[OrderDate]],"MMM")</f>
        <v>Feb</v>
      </c>
      <c r="AG487" t="str">
        <f>TEXT(Table1[[#This Row],[OrderDate]],"YYYY")</f>
        <v>2025</v>
      </c>
      <c r="AI487" s="4">
        <f>IF(Table1[[#This Row],[RequiredDate]]&lt;Table1[[#This Row],[OrderDate]], Table1[[#This Row],[OrderDate]]+7, Table1[[#This Row],[RequiredDate]])</f>
        <v>45717</v>
      </c>
      <c r="AJ487">
        <f>IF(Dashboard!$D$3&gt;'Staging Data'!V487,'Staging Data'!V487,Dashboard!D$3)</f>
        <v>3.5000000000000003E-2</v>
      </c>
      <c r="AK487" s="19">
        <f>(100%+Dashboard!$D$4)*'Staging Data'!S487</f>
        <v>1212.3720000000001</v>
      </c>
      <c r="AL487">
        <f>(100%+Dashboard!$D$5)*'Staging Data'!W487</f>
        <v>12.649999999999999</v>
      </c>
    </row>
    <row r="488" spans="1:38" x14ac:dyDescent="0.35">
      <c r="A488" s="6" t="s">
        <v>145</v>
      </c>
      <c r="B488" s="4">
        <v>45700</v>
      </c>
      <c r="C488" s="4">
        <v>45716</v>
      </c>
      <c r="D488" s="4">
        <f>IF(Table1[[#This Row],[RequiredDate]]&lt;Table1[[#This Row],[OrderDate]],Table1[[#This Row],[RequiredDate]],Table1[[#This Row],[OrderDate]])</f>
        <v>45700</v>
      </c>
      <c r="E488" s="4">
        <f>IF(Table1[[#This Row],[RequiredDate]]&gt;Table1[[#This Row],[OrderDate]],Table1[[#This Row],[RequiredDate]],Table1[[#This Row],[OrderDate]])</f>
        <v>45716</v>
      </c>
      <c r="F488" s="21">
        <f>Table1[[#This Row],[New RD]]-Table1[[#This Row],[new   od]]</f>
        <v>16</v>
      </c>
      <c r="G488" s="4">
        <f>IF(Table1[[#This Row],[RequiredDate]]&lt;Table1[[#This Row],[OrderDate]], Table1[[#This Row],[OrderDate]]+7, Table1[[#This Row],[RequiredDate]])</f>
        <v>45716</v>
      </c>
      <c r="H488" s="21">
        <f t="shared" si="78"/>
        <v>16</v>
      </c>
      <c r="I488" s="6" t="str">
        <f>IF(Table1[[#This Row],[New LTD]]&lt;=7,"Yes","No")</f>
        <v>No</v>
      </c>
      <c r="J488" s="6" t="str">
        <f t="shared" si="79"/>
        <v>No</v>
      </c>
      <c r="K488" t="s">
        <v>648</v>
      </c>
      <c r="L488" t="s">
        <v>655</v>
      </c>
      <c r="M488" t="s">
        <v>670</v>
      </c>
      <c r="N488" t="s">
        <v>703</v>
      </c>
      <c r="O488" t="s">
        <v>711</v>
      </c>
      <c r="P488" t="s">
        <v>717</v>
      </c>
      <c r="Q488" t="s">
        <v>732</v>
      </c>
      <c r="R488" t="s">
        <v>864</v>
      </c>
      <c r="S488" s="6">
        <v>414.95</v>
      </c>
      <c r="T488" s="6">
        <v>1027.73</v>
      </c>
      <c r="U488" s="6">
        <f t="shared" si="80"/>
        <v>1027.73</v>
      </c>
      <c r="V488" s="8">
        <v>6.3E-2</v>
      </c>
      <c r="W488" s="6">
        <v>8</v>
      </c>
      <c r="X488" s="6">
        <f t="shared" si="81"/>
        <v>7703.8640800000003</v>
      </c>
      <c r="Y488">
        <f t="shared" si="82"/>
        <v>3319.6</v>
      </c>
      <c r="Z488" s="6">
        <f t="shared" si="83"/>
        <v>4384.2640800000008</v>
      </c>
      <c r="AA488">
        <f t="shared" si="84"/>
        <v>0.56909935513815568</v>
      </c>
      <c r="AB488" t="str">
        <f t="shared" si="85"/>
        <v>2-2025</v>
      </c>
      <c r="AC488" t="str">
        <f t="shared" si="86"/>
        <v>Q1-2025</v>
      </c>
      <c r="AD488" t="str">
        <f t="shared" si="87"/>
        <v>Americas →Brazil →São Paulo</v>
      </c>
      <c r="AE488" t="str">
        <f t="shared" si="88"/>
        <v>Medium</v>
      </c>
      <c r="AF488" t="str">
        <f>TEXT(Table1[[#This Row],[OrderDate]],"MMM")</f>
        <v>Feb</v>
      </c>
      <c r="AG488" t="str">
        <f>TEXT(Table1[[#This Row],[OrderDate]],"YYYY")</f>
        <v>2025</v>
      </c>
      <c r="AI488" s="4">
        <f>IF(Table1[[#This Row],[RequiredDate]]&lt;Table1[[#This Row],[OrderDate]], Table1[[#This Row],[OrderDate]]+7, Table1[[#This Row],[RequiredDate]])</f>
        <v>45716</v>
      </c>
      <c r="AJ488">
        <f>IF(Dashboard!$D$3&gt;'Staging Data'!V488,'Staging Data'!V488,Dashboard!D$3)</f>
        <v>6.3E-2</v>
      </c>
      <c r="AK488" s="19">
        <f>(100%+Dashboard!$D$4)*'Staging Data'!S488</f>
        <v>435.69749999999999</v>
      </c>
      <c r="AL488">
        <f>(100%+Dashboard!$D$5)*'Staging Data'!W488</f>
        <v>9.1999999999999993</v>
      </c>
    </row>
    <row r="489" spans="1:38" x14ac:dyDescent="0.35">
      <c r="A489" s="6" t="s">
        <v>173</v>
      </c>
      <c r="B489" s="4">
        <v>45703</v>
      </c>
      <c r="C489" s="4">
        <v>45703</v>
      </c>
      <c r="D489" s="4">
        <f>IF(Table1[[#This Row],[RequiredDate]]&lt;Table1[[#This Row],[OrderDate]],Table1[[#This Row],[RequiredDate]],Table1[[#This Row],[OrderDate]])</f>
        <v>45703</v>
      </c>
      <c r="E489" s="4">
        <f>IF(Table1[[#This Row],[RequiredDate]]&gt;Table1[[#This Row],[OrderDate]],Table1[[#This Row],[RequiredDate]],Table1[[#This Row],[OrderDate]])</f>
        <v>45703</v>
      </c>
      <c r="F489" s="21">
        <f>Table1[[#This Row],[New RD]]-Table1[[#This Row],[new   od]]</f>
        <v>0</v>
      </c>
      <c r="G489" s="4">
        <f>IF(Table1[[#This Row],[RequiredDate]]&lt;Table1[[#This Row],[OrderDate]], Table1[[#This Row],[OrderDate]]+7, Table1[[#This Row],[RequiredDate]])</f>
        <v>45703</v>
      </c>
      <c r="H489" s="21">
        <f t="shared" si="78"/>
        <v>0</v>
      </c>
      <c r="I489" s="6" t="str">
        <f>IF(Table1[[#This Row],[New LTD]]&lt;=7,"Yes","No")</f>
        <v>Yes</v>
      </c>
      <c r="J489" s="6" t="str">
        <f t="shared" si="79"/>
        <v>No</v>
      </c>
      <c r="K489" t="s">
        <v>649</v>
      </c>
      <c r="L489" t="s">
        <v>656</v>
      </c>
      <c r="M489" t="s">
        <v>698</v>
      </c>
      <c r="N489" t="s">
        <v>705</v>
      </c>
      <c r="O489" t="s">
        <v>709</v>
      </c>
      <c r="P489" t="s">
        <v>716</v>
      </c>
      <c r="Q489" t="s">
        <v>733</v>
      </c>
      <c r="R489" t="s">
        <v>892</v>
      </c>
      <c r="S489" s="6">
        <v>815.83</v>
      </c>
      <c r="T489" s="6">
        <v>1982.18</v>
      </c>
      <c r="U489" s="6">
        <f t="shared" si="80"/>
        <v>1982.18</v>
      </c>
      <c r="V489" s="8">
        <v>0.127</v>
      </c>
      <c r="W489" s="6">
        <v>6</v>
      </c>
      <c r="X489" s="6">
        <f t="shared" si="81"/>
        <v>10382.65884</v>
      </c>
      <c r="Y489">
        <f t="shared" si="82"/>
        <v>4894.9800000000005</v>
      </c>
      <c r="Z489" s="6">
        <f t="shared" si="83"/>
        <v>5487.6788399999996</v>
      </c>
      <c r="AA489">
        <f t="shared" si="84"/>
        <v>0.52854272923408507</v>
      </c>
      <c r="AB489" t="str">
        <f t="shared" si="85"/>
        <v>2-2025</v>
      </c>
      <c r="AC489" t="str">
        <f t="shared" si="86"/>
        <v>Q1-2025</v>
      </c>
      <c r="AD489" t="str">
        <f t="shared" si="87"/>
        <v>Europe →Germany →Frankfurt</v>
      </c>
      <c r="AE489" t="str">
        <f t="shared" si="88"/>
        <v>High</v>
      </c>
      <c r="AF489" t="str">
        <f>TEXT(Table1[[#This Row],[OrderDate]],"MMM")</f>
        <v>Feb</v>
      </c>
      <c r="AG489" t="str">
        <f>TEXT(Table1[[#This Row],[OrderDate]],"YYYY")</f>
        <v>2025</v>
      </c>
      <c r="AI489" s="4">
        <f>IF(Table1[[#This Row],[RequiredDate]]&lt;Table1[[#This Row],[OrderDate]], Table1[[#This Row],[OrderDate]]+7, Table1[[#This Row],[RequiredDate]])</f>
        <v>45703</v>
      </c>
      <c r="AJ489">
        <f>IF(Dashboard!$D$3&gt;'Staging Data'!V489,'Staging Data'!V489,Dashboard!D$3)</f>
        <v>0.127</v>
      </c>
      <c r="AK489" s="19">
        <f>(100%+Dashboard!$D$4)*'Staging Data'!S489</f>
        <v>856.62150000000008</v>
      </c>
      <c r="AL489">
        <f>(100%+Dashboard!$D$5)*'Staging Data'!W489</f>
        <v>6.8999999999999995</v>
      </c>
    </row>
    <row r="490" spans="1:38" x14ac:dyDescent="0.35">
      <c r="A490" s="6" t="s">
        <v>568</v>
      </c>
      <c r="B490" s="4">
        <v>45703</v>
      </c>
      <c r="C490" s="4">
        <v>45717</v>
      </c>
      <c r="D490" s="4">
        <f>IF(Table1[[#This Row],[RequiredDate]]&lt;Table1[[#This Row],[OrderDate]],Table1[[#This Row],[RequiredDate]],Table1[[#This Row],[OrderDate]])</f>
        <v>45703</v>
      </c>
      <c r="E490" s="4">
        <f>IF(Table1[[#This Row],[RequiredDate]]&gt;Table1[[#This Row],[OrderDate]],Table1[[#This Row],[RequiredDate]],Table1[[#This Row],[OrderDate]])</f>
        <v>45717</v>
      </c>
      <c r="F490" s="21">
        <f>Table1[[#This Row],[New RD]]-Table1[[#This Row],[new   od]]</f>
        <v>14</v>
      </c>
      <c r="G490" s="4">
        <f>IF(Table1[[#This Row],[RequiredDate]]&lt;Table1[[#This Row],[OrderDate]], Table1[[#This Row],[OrderDate]]+7, Table1[[#This Row],[RequiredDate]])</f>
        <v>45717</v>
      </c>
      <c r="H490" s="21">
        <f t="shared" si="78"/>
        <v>14</v>
      </c>
      <c r="I490" s="6" t="str">
        <f>IF(Table1[[#This Row],[New LTD]]&lt;=7,"Yes","No")</f>
        <v>No</v>
      </c>
      <c r="J490" s="6" t="str">
        <f t="shared" si="79"/>
        <v>No</v>
      </c>
      <c r="K490" t="s">
        <v>646</v>
      </c>
      <c r="L490" t="s">
        <v>650</v>
      </c>
      <c r="M490" t="s">
        <v>675</v>
      </c>
      <c r="N490" t="s">
        <v>702</v>
      </c>
      <c r="O490" t="s">
        <v>711</v>
      </c>
      <c r="P490" t="s">
        <v>716</v>
      </c>
      <c r="Q490" t="s">
        <v>733</v>
      </c>
      <c r="R490" t="s">
        <v>1286</v>
      </c>
      <c r="S490" s="6">
        <v>1162.8599999999999</v>
      </c>
      <c r="T490" s="6">
        <v>1447.68</v>
      </c>
      <c r="U490" s="6">
        <f t="shared" si="80"/>
        <v>1447.68</v>
      </c>
      <c r="V490" s="8">
        <v>8.6999999999999994E-2</v>
      </c>
      <c r="W490" s="6">
        <v>12</v>
      </c>
      <c r="X490" s="6">
        <f t="shared" si="81"/>
        <v>15860.782080000001</v>
      </c>
      <c r="Y490">
        <f t="shared" si="82"/>
        <v>13954.32</v>
      </c>
      <c r="Z490" s="6">
        <f t="shared" si="83"/>
        <v>1906.4620800000012</v>
      </c>
      <c r="AA490">
        <f t="shared" si="84"/>
        <v>0.12019975247021369</v>
      </c>
      <c r="AB490" t="str">
        <f t="shared" si="85"/>
        <v>2-2025</v>
      </c>
      <c r="AC490" t="str">
        <f t="shared" si="86"/>
        <v>Q1-2025</v>
      </c>
      <c r="AD490" t="str">
        <f t="shared" si="87"/>
        <v>Africa →Kenya →Mombasa</v>
      </c>
      <c r="AE490" t="str">
        <f t="shared" si="88"/>
        <v>Medium</v>
      </c>
      <c r="AF490" t="str">
        <f>TEXT(Table1[[#This Row],[OrderDate]],"MMM")</f>
        <v>Feb</v>
      </c>
      <c r="AG490" t="str">
        <f>TEXT(Table1[[#This Row],[OrderDate]],"YYYY")</f>
        <v>2025</v>
      </c>
      <c r="AI490" s="4">
        <f>IF(Table1[[#This Row],[RequiredDate]]&lt;Table1[[#This Row],[OrderDate]], Table1[[#This Row],[OrderDate]]+7, Table1[[#This Row],[RequiredDate]])</f>
        <v>45717</v>
      </c>
      <c r="AJ490">
        <f>IF(Dashboard!$D$3&gt;'Staging Data'!V490,'Staging Data'!V490,Dashboard!D$3)</f>
        <v>8.6999999999999994E-2</v>
      </c>
      <c r="AK490" s="19">
        <f>(100%+Dashboard!$D$4)*'Staging Data'!S490</f>
        <v>1221.0029999999999</v>
      </c>
      <c r="AL490">
        <f>(100%+Dashboard!$D$5)*'Staging Data'!W490</f>
        <v>13.799999999999999</v>
      </c>
    </row>
    <row r="491" spans="1:38" x14ac:dyDescent="0.35">
      <c r="A491" s="6" t="s">
        <v>603</v>
      </c>
      <c r="B491" s="4">
        <v>45703</v>
      </c>
      <c r="C491" s="4">
        <v>45715</v>
      </c>
      <c r="D491" s="4">
        <f>IF(Table1[[#This Row],[RequiredDate]]&lt;Table1[[#This Row],[OrderDate]],Table1[[#This Row],[RequiredDate]],Table1[[#This Row],[OrderDate]])</f>
        <v>45703</v>
      </c>
      <c r="E491" s="4">
        <f>IF(Table1[[#This Row],[RequiredDate]]&gt;Table1[[#This Row],[OrderDate]],Table1[[#This Row],[RequiredDate]],Table1[[#This Row],[OrderDate]])</f>
        <v>45715</v>
      </c>
      <c r="F491" s="21">
        <f>Table1[[#This Row],[New RD]]-Table1[[#This Row],[new   od]]</f>
        <v>12</v>
      </c>
      <c r="G491" s="4">
        <f>IF(Table1[[#This Row],[RequiredDate]]&lt;Table1[[#This Row],[OrderDate]], Table1[[#This Row],[OrderDate]]+7, Table1[[#This Row],[RequiredDate]])</f>
        <v>45715</v>
      </c>
      <c r="H491" s="21">
        <f t="shared" si="78"/>
        <v>12</v>
      </c>
      <c r="I491" s="6" t="str">
        <f>IF(Table1[[#This Row],[New LTD]]&lt;=7,"Yes","No")</f>
        <v>No</v>
      </c>
      <c r="J491" s="6" t="str">
        <f t="shared" si="79"/>
        <v>No</v>
      </c>
      <c r="K491" t="s">
        <v>649</v>
      </c>
      <c r="L491" t="s">
        <v>657</v>
      </c>
      <c r="M491" t="s">
        <v>679</v>
      </c>
      <c r="N491" t="s">
        <v>703</v>
      </c>
      <c r="O491" t="s">
        <v>711</v>
      </c>
      <c r="P491" t="s">
        <v>723</v>
      </c>
      <c r="Q491" t="s">
        <v>733</v>
      </c>
      <c r="R491" t="s">
        <v>1321</v>
      </c>
      <c r="S491" s="6">
        <v>1027.26</v>
      </c>
      <c r="T491" s="6">
        <v>2200.41</v>
      </c>
      <c r="U491" s="6">
        <f t="shared" si="80"/>
        <v>2200.41</v>
      </c>
      <c r="V491" s="8">
        <v>8.7999999999999995E-2</v>
      </c>
      <c r="W491" s="6">
        <v>6</v>
      </c>
      <c r="X491" s="6">
        <f t="shared" si="81"/>
        <v>12040.64352</v>
      </c>
      <c r="Y491">
        <f t="shared" si="82"/>
        <v>6163.5599999999995</v>
      </c>
      <c r="Z491" s="6">
        <f t="shared" si="83"/>
        <v>5877.0835200000001</v>
      </c>
      <c r="AA491">
        <f t="shared" si="84"/>
        <v>0.48810377204822358</v>
      </c>
      <c r="AB491" t="str">
        <f t="shared" si="85"/>
        <v>2-2025</v>
      </c>
      <c r="AC491" t="str">
        <f t="shared" si="86"/>
        <v>Q1-2025</v>
      </c>
      <c r="AD491" t="str">
        <f t="shared" si="87"/>
        <v>Europe →France →Lyon</v>
      </c>
      <c r="AE491" t="str">
        <f t="shared" si="88"/>
        <v>High</v>
      </c>
      <c r="AF491" t="str">
        <f>TEXT(Table1[[#This Row],[OrderDate]],"MMM")</f>
        <v>Feb</v>
      </c>
      <c r="AG491" t="str">
        <f>TEXT(Table1[[#This Row],[OrderDate]],"YYYY")</f>
        <v>2025</v>
      </c>
      <c r="AI491" s="4">
        <f>IF(Table1[[#This Row],[RequiredDate]]&lt;Table1[[#This Row],[OrderDate]], Table1[[#This Row],[OrderDate]]+7, Table1[[#This Row],[RequiredDate]])</f>
        <v>45715</v>
      </c>
      <c r="AJ491">
        <f>IF(Dashboard!$D$3&gt;'Staging Data'!V491,'Staging Data'!V491,Dashboard!D$3)</f>
        <v>8.7999999999999995E-2</v>
      </c>
      <c r="AK491" s="19">
        <f>(100%+Dashboard!$D$4)*'Staging Data'!S491</f>
        <v>1078.623</v>
      </c>
      <c r="AL491">
        <f>(100%+Dashboard!$D$5)*'Staging Data'!W491</f>
        <v>6.8999999999999995</v>
      </c>
    </row>
    <row r="492" spans="1:38" x14ac:dyDescent="0.35">
      <c r="A492" s="6" t="s">
        <v>567</v>
      </c>
      <c r="B492" s="4">
        <v>45704</v>
      </c>
      <c r="C492" s="4">
        <v>45733</v>
      </c>
      <c r="D492" s="4">
        <f>IF(Table1[[#This Row],[RequiredDate]]&lt;Table1[[#This Row],[OrderDate]],Table1[[#This Row],[RequiredDate]],Table1[[#This Row],[OrderDate]])</f>
        <v>45704</v>
      </c>
      <c r="E492" s="4">
        <f>IF(Table1[[#This Row],[RequiredDate]]&gt;Table1[[#This Row],[OrderDate]],Table1[[#This Row],[RequiredDate]],Table1[[#This Row],[OrderDate]])</f>
        <v>45733</v>
      </c>
      <c r="F492" s="21">
        <f>Table1[[#This Row],[New RD]]-Table1[[#This Row],[new   od]]</f>
        <v>29</v>
      </c>
      <c r="G492" s="4">
        <f>IF(Table1[[#This Row],[RequiredDate]]&lt;Table1[[#This Row],[OrderDate]], Table1[[#This Row],[OrderDate]]+7, Table1[[#This Row],[RequiredDate]])</f>
        <v>45733</v>
      </c>
      <c r="H492" s="21">
        <f t="shared" si="78"/>
        <v>29</v>
      </c>
      <c r="I492" s="6" t="str">
        <f>IF(Table1[[#This Row],[New LTD]]&lt;=7,"Yes","No")</f>
        <v>No</v>
      </c>
      <c r="J492" s="6" t="str">
        <f t="shared" si="79"/>
        <v>No</v>
      </c>
      <c r="K492" t="s">
        <v>649</v>
      </c>
      <c r="L492" t="s">
        <v>656</v>
      </c>
      <c r="M492" t="s">
        <v>684</v>
      </c>
      <c r="N492" t="s">
        <v>704</v>
      </c>
      <c r="O492" t="s">
        <v>707</v>
      </c>
      <c r="P492" t="s">
        <v>716</v>
      </c>
      <c r="Q492" t="s">
        <v>733</v>
      </c>
      <c r="R492" t="s">
        <v>1285</v>
      </c>
      <c r="S492" s="6">
        <v>730.42</v>
      </c>
      <c r="T492" s="6">
        <v>956.7</v>
      </c>
      <c r="U492" s="6">
        <f t="shared" si="80"/>
        <v>956.7</v>
      </c>
      <c r="V492" s="8">
        <v>4.2000000000000003E-2</v>
      </c>
      <c r="W492" s="6">
        <v>22</v>
      </c>
      <c r="X492" s="6">
        <f t="shared" si="81"/>
        <v>20163.409200000002</v>
      </c>
      <c r="Y492">
        <f t="shared" si="82"/>
        <v>16069.24</v>
      </c>
      <c r="Z492" s="6">
        <f t="shared" si="83"/>
        <v>4094.1692000000021</v>
      </c>
      <c r="AA492">
        <f t="shared" si="84"/>
        <v>0.20304945256975698</v>
      </c>
      <c r="AB492" t="str">
        <f t="shared" si="85"/>
        <v>2-2025</v>
      </c>
      <c r="AC492" t="str">
        <f t="shared" si="86"/>
        <v>Q1-2025</v>
      </c>
      <c r="AD492" t="str">
        <f t="shared" si="87"/>
        <v>Europe →Germany →Munich</v>
      </c>
      <c r="AE492" t="str">
        <f t="shared" si="88"/>
        <v>Medium</v>
      </c>
      <c r="AF492" t="str">
        <f>TEXT(Table1[[#This Row],[OrderDate]],"MMM")</f>
        <v>Feb</v>
      </c>
      <c r="AG492" t="str">
        <f>TEXT(Table1[[#This Row],[OrderDate]],"YYYY")</f>
        <v>2025</v>
      </c>
      <c r="AI492" s="4">
        <f>IF(Table1[[#This Row],[RequiredDate]]&lt;Table1[[#This Row],[OrderDate]], Table1[[#This Row],[OrderDate]]+7, Table1[[#This Row],[RequiredDate]])</f>
        <v>45733</v>
      </c>
      <c r="AJ492">
        <f>IF(Dashboard!$D$3&gt;'Staging Data'!V492,'Staging Data'!V492,Dashboard!D$3)</f>
        <v>4.2000000000000003E-2</v>
      </c>
      <c r="AK492" s="19">
        <f>(100%+Dashboard!$D$4)*'Staging Data'!S492</f>
        <v>766.94100000000003</v>
      </c>
      <c r="AL492">
        <f>(100%+Dashboard!$D$5)*'Staging Data'!W492</f>
        <v>25.299999999999997</v>
      </c>
    </row>
    <row r="493" spans="1:38" x14ac:dyDescent="0.35">
      <c r="A493" s="6" t="s">
        <v>610</v>
      </c>
      <c r="B493" s="4">
        <v>45705</v>
      </c>
      <c r="C493" s="4">
        <v>45703</v>
      </c>
      <c r="D493" s="4">
        <f>IF(Table1[[#This Row],[RequiredDate]]&lt;Table1[[#This Row],[OrderDate]],Table1[[#This Row],[RequiredDate]],Table1[[#This Row],[OrderDate]])</f>
        <v>45703</v>
      </c>
      <c r="E493" s="4">
        <f>IF(Table1[[#This Row],[RequiredDate]]&gt;Table1[[#This Row],[OrderDate]],Table1[[#This Row],[RequiredDate]],Table1[[#This Row],[OrderDate]])</f>
        <v>45705</v>
      </c>
      <c r="F493" s="21">
        <f>Table1[[#This Row],[New RD]]-Table1[[#This Row],[new   od]]</f>
        <v>2</v>
      </c>
      <c r="G493" s="4">
        <f>IF(Table1[[#This Row],[RequiredDate]]&lt;Table1[[#This Row],[OrderDate]], Table1[[#This Row],[OrderDate]]+7, Table1[[#This Row],[RequiredDate]])</f>
        <v>45712</v>
      </c>
      <c r="H493" s="21">
        <f t="shared" si="78"/>
        <v>7</v>
      </c>
      <c r="I493" s="6" t="str">
        <f>IF(Table1[[#This Row],[New LTD]]&lt;=7,"Yes","No")</f>
        <v>Yes</v>
      </c>
      <c r="J493" s="6" t="str">
        <f t="shared" si="79"/>
        <v>No</v>
      </c>
      <c r="K493" t="s">
        <v>648</v>
      </c>
      <c r="L493" t="s">
        <v>653</v>
      </c>
      <c r="M493" t="s">
        <v>667</v>
      </c>
      <c r="N493" t="s">
        <v>705</v>
      </c>
      <c r="O493" t="s">
        <v>707</v>
      </c>
      <c r="P493" t="s">
        <v>726</v>
      </c>
      <c r="Q493" t="s">
        <v>727</v>
      </c>
      <c r="R493" t="s">
        <v>1328</v>
      </c>
      <c r="S493" s="6">
        <v>1133.47</v>
      </c>
      <c r="T493" s="6">
        <v>1698.75</v>
      </c>
      <c r="U493" s="6">
        <f t="shared" si="80"/>
        <v>1698.75</v>
      </c>
      <c r="V493" s="8">
        <v>4.2999999999999997E-2</v>
      </c>
      <c r="W493" s="6">
        <v>5</v>
      </c>
      <c r="X493" s="6">
        <f t="shared" si="81"/>
        <v>8128.5187499999993</v>
      </c>
      <c r="Y493">
        <f t="shared" si="82"/>
        <v>5667.35</v>
      </c>
      <c r="Z493" s="6">
        <f t="shared" si="83"/>
        <v>2461.1687499999989</v>
      </c>
      <c r="AA493">
        <f t="shared" si="84"/>
        <v>0.30278194904821976</v>
      </c>
      <c r="AB493" t="str">
        <f t="shared" si="85"/>
        <v>2-2025</v>
      </c>
      <c r="AC493" t="str">
        <f t="shared" si="86"/>
        <v>Q1-2025</v>
      </c>
      <c r="AD493" t="str">
        <f t="shared" si="87"/>
        <v>Americas →Canada →Toronto</v>
      </c>
      <c r="AE493" t="str">
        <f t="shared" si="88"/>
        <v>High</v>
      </c>
      <c r="AF493" t="str">
        <f>TEXT(Table1[[#This Row],[OrderDate]],"MMM")</f>
        <v>Feb</v>
      </c>
      <c r="AG493" t="str">
        <f>TEXT(Table1[[#This Row],[OrderDate]],"YYYY")</f>
        <v>2025</v>
      </c>
      <c r="AI493" s="4">
        <f>IF(Table1[[#This Row],[RequiredDate]]&lt;Table1[[#This Row],[OrderDate]], Table1[[#This Row],[OrderDate]]+7, Table1[[#This Row],[RequiredDate]])</f>
        <v>45712</v>
      </c>
      <c r="AJ493">
        <f>IF(Dashboard!$D$3&gt;'Staging Data'!V493,'Staging Data'!V493,Dashboard!D$3)</f>
        <v>4.2999999999999997E-2</v>
      </c>
      <c r="AK493" s="19">
        <f>(100%+Dashboard!$D$4)*'Staging Data'!S493</f>
        <v>1190.1435000000001</v>
      </c>
      <c r="AL493">
        <f>(100%+Dashboard!$D$5)*'Staging Data'!W493</f>
        <v>5.75</v>
      </c>
    </row>
    <row r="494" spans="1:38" x14ac:dyDescent="0.35">
      <c r="A494" s="6" t="s">
        <v>285</v>
      </c>
      <c r="B494" s="4">
        <v>45707</v>
      </c>
      <c r="C494" s="4">
        <v>45725</v>
      </c>
      <c r="D494" s="4">
        <f>IF(Table1[[#This Row],[RequiredDate]]&lt;Table1[[#This Row],[OrderDate]],Table1[[#This Row],[RequiredDate]],Table1[[#This Row],[OrderDate]])</f>
        <v>45707</v>
      </c>
      <c r="E494" s="4">
        <f>IF(Table1[[#This Row],[RequiredDate]]&gt;Table1[[#This Row],[OrderDate]],Table1[[#This Row],[RequiredDate]],Table1[[#This Row],[OrderDate]])</f>
        <v>45725</v>
      </c>
      <c r="F494" s="21">
        <f>Table1[[#This Row],[New RD]]-Table1[[#This Row],[new   od]]</f>
        <v>18</v>
      </c>
      <c r="G494" s="4">
        <f>IF(Table1[[#This Row],[RequiredDate]]&lt;Table1[[#This Row],[OrderDate]], Table1[[#This Row],[OrderDate]]+7, Table1[[#This Row],[RequiredDate]])</f>
        <v>45725</v>
      </c>
      <c r="H494" s="21">
        <f t="shared" si="78"/>
        <v>18</v>
      </c>
      <c r="I494" s="6" t="str">
        <f>IF(Table1[[#This Row],[New LTD]]&lt;=7,"Yes","No")</f>
        <v>No</v>
      </c>
      <c r="J494" s="6" t="str">
        <f t="shared" si="79"/>
        <v>No</v>
      </c>
      <c r="K494" t="s">
        <v>647</v>
      </c>
      <c r="L494" t="s">
        <v>654</v>
      </c>
      <c r="M494" t="s">
        <v>680</v>
      </c>
      <c r="N494" t="s">
        <v>705</v>
      </c>
      <c r="O494" t="s">
        <v>711</v>
      </c>
      <c r="P494" t="s">
        <v>719</v>
      </c>
      <c r="Q494" t="s">
        <v>732</v>
      </c>
      <c r="R494" t="s">
        <v>1005</v>
      </c>
      <c r="S494" s="6">
        <v>325.87</v>
      </c>
      <c r="T494" s="6">
        <v>538.79</v>
      </c>
      <c r="U494" s="6">
        <f t="shared" si="80"/>
        <v>538.79</v>
      </c>
      <c r="V494" s="8">
        <v>0.17399999999999999</v>
      </c>
      <c r="W494" s="6">
        <v>16</v>
      </c>
      <c r="X494" s="6">
        <f t="shared" si="81"/>
        <v>7120.6486400000003</v>
      </c>
      <c r="Y494">
        <f t="shared" si="82"/>
        <v>5213.92</v>
      </c>
      <c r="Z494" s="6">
        <f t="shared" si="83"/>
        <v>1906.7286400000003</v>
      </c>
      <c r="AA494">
        <f t="shared" si="84"/>
        <v>0.26777457172778013</v>
      </c>
      <c r="AB494" t="str">
        <f t="shared" si="85"/>
        <v>2-2025</v>
      </c>
      <c r="AC494" t="str">
        <f t="shared" si="86"/>
        <v>Q1-2025</v>
      </c>
      <c r="AD494" t="str">
        <f t="shared" si="87"/>
        <v>Asia →India →Delhi</v>
      </c>
      <c r="AE494" t="str">
        <f t="shared" si="88"/>
        <v>Low</v>
      </c>
      <c r="AF494" t="str">
        <f>TEXT(Table1[[#This Row],[OrderDate]],"MMM")</f>
        <v>Feb</v>
      </c>
      <c r="AG494" t="str">
        <f>TEXT(Table1[[#This Row],[OrderDate]],"YYYY")</f>
        <v>2025</v>
      </c>
      <c r="AI494" s="4">
        <f>IF(Table1[[#This Row],[RequiredDate]]&lt;Table1[[#This Row],[OrderDate]], Table1[[#This Row],[OrderDate]]+7, Table1[[#This Row],[RequiredDate]])</f>
        <v>45725</v>
      </c>
      <c r="AJ494">
        <f>IF(Dashboard!$D$3&gt;'Staging Data'!V494,'Staging Data'!V494,Dashboard!D$3)</f>
        <v>0.17399999999999999</v>
      </c>
      <c r="AK494" s="19">
        <f>(100%+Dashboard!$D$4)*'Staging Data'!S494</f>
        <v>342.1635</v>
      </c>
      <c r="AL494">
        <f>(100%+Dashboard!$D$5)*'Staging Data'!W494</f>
        <v>18.399999999999999</v>
      </c>
    </row>
    <row r="495" spans="1:38" x14ac:dyDescent="0.35">
      <c r="A495" s="6" t="s">
        <v>421</v>
      </c>
      <c r="B495" s="4">
        <v>45709</v>
      </c>
      <c r="C495" s="4">
        <v>45737</v>
      </c>
      <c r="D495" s="4">
        <f>IF(Table1[[#This Row],[RequiredDate]]&lt;Table1[[#This Row],[OrderDate]],Table1[[#This Row],[RequiredDate]],Table1[[#This Row],[OrderDate]])</f>
        <v>45709</v>
      </c>
      <c r="E495" s="4">
        <f>IF(Table1[[#This Row],[RequiredDate]]&gt;Table1[[#This Row],[OrderDate]],Table1[[#This Row],[RequiredDate]],Table1[[#This Row],[OrderDate]])</f>
        <v>45737</v>
      </c>
      <c r="F495" s="21">
        <f>Table1[[#This Row],[New RD]]-Table1[[#This Row],[new   od]]</f>
        <v>28</v>
      </c>
      <c r="G495" s="4">
        <f>IF(Table1[[#This Row],[RequiredDate]]&lt;Table1[[#This Row],[OrderDate]], Table1[[#This Row],[OrderDate]]+7, Table1[[#This Row],[RequiredDate]])</f>
        <v>45737</v>
      </c>
      <c r="H495" s="21">
        <f t="shared" si="78"/>
        <v>28</v>
      </c>
      <c r="I495" s="6" t="str">
        <f>IF(Table1[[#This Row],[New LTD]]&lt;=7,"Yes","No")</f>
        <v>No</v>
      </c>
      <c r="J495" s="6" t="str">
        <f t="shared" si="79"/>
        <v>No</v>
      </c>
      <c r="K495" t="s">
        <v>646</v>
      </c>
      <c r="L495" t="s">
        <v>651</v>
      </c>
      <c r="M495" t="s">
        <v>669</v>
      </c>
      <c r="N495" t="s">
        <v>706</v>
      </c>
      <c r="O495" t="s">
        <v>709</v>
      </c>
      <c r="P495" t="s">
        <v>714</v>
      </c>
      <c r="Q495" t="s">
        <v>730</v>
      </c>
      <c r="R495" t="s">
        <v>1140</v>
      </c>
      <c r="S495" s="6">
        <v>1437.39</v>
      </c>
      <c r="T495" s="6">
        <v>1388.31</v>
      </c>
      <c r="U495" s="6">
        <f t="shared" si="80"/>
        <v>1388.31</v>
      </c>
      <c r="V495" s="8">
        <v>0.13800000000000001</v>
      </c>
      <c r="W495" s="6">
        <v>18</v>
      </c>
      <c r="X495" s="6">
        <f t="shared" si="81"/>
        <v>21541.017959999997</v>
      </c>
      <c r="Y495">
        <f t="shared" si="82"/>
        <v>25873.02</v>
      </c>
      <c r="Z495" s="6">
        <f t="shared" si="83"/>
        <v>-4332.002040000003</v>
      </c>
      <c r="AA495">
        <f t="shared" si="84"/>
        <v>-0.20110479681341872</v>
      </c>
      <c r="AB495" t="str">
        <f t="shared" si="85"/>
        <v>2-2025</v>
      </c>
      <c r="AC495" t="str">
        <f t="shared" si="86"/>
        <v>Q1-2025</v>
      </c>
      <c r="AD495" t="str">
        <f t="shared" si="87"/>
        <v>Africa →Nigeria →Abuja</v>
      </c>
      <c r="AE495" t="str">
        <f t="shared" si="88"/>
        <v>Medium</v>
      </c>
      <c r="AF495" t="str">
        <f>TEXT(Table1[[#This Row],[OrderDate]],"MMM")</f>
        <v>Feb</v>
      </c>
      <c r="AG495" t="str">
        <f>TEXT(Table1[[#This Row],[OrderDate]],"YYYY")</f>
        <v>2025</v>
      </c>
      <c r="AI495" s="4">
        <f>IF(Table1[[#This Row],[RequiredDate]]&lt;Table1[[#This Row],[OrderDate]], Table1[[#This Row],[OrderDate]]+7, Table1[[#This Row],[RequiredDate]])</f>
        <v>45737</v>
      </c>
      <c r="AJ495">
        <f>IF(Dashboard!$D$3&gt;'Staging Data'!V495,'Staging Data'!V495,Dashboard!D$3)</f>
        <v>0.13800000000000001</v>
      </c>
      <c r="AK495" s="19">
        <f>(100%+Dashboard!$D$4)*'Staging Data'!S495</f>
        <v>1509.2595000000001</v>
      </c>
      <c r="AL495">
        <f>(100%+Dashboard!$D$5)*'Staging Data'!W495</f>
        <v>20.7</v>
      </c>
    </row>
    <row r="496" spans="1:38" x14ac:dyDescent="0.35">
      <c r="A496" s="6" t="s">
        <v>435</v>
      </c>
      <c r="B496" s="4">
        <v>45713</v>
      </c>
      <c r="C496" s="4">
        <v>45733</v>
      </c>
      <c r="D496" s="4">
        <f>IF(Table1[[#This Row],[RequiredDate]]&lt;Table1[[#This Row],[OrderDate]],Table1[[#This Row],[RequiredDate]],Table1[[#This Row],[OrderDate]])</f>
        <v>45713</v>
      </c>
      <c r="E496" s="4">
        <f>IF(Table1[[#This Row],[RequiredDate]]&gt;Table1[[#This Row],[OrderDate]],Table1[[#This Row],[RequiredDate]],Table1[[#This Row],[OrderDate]])</f>
        <v>45733</v>
      </c>
      <c r="F496" s="21">
        <f>Table1[[#This Row],[New RD]]-Table1[[#This Row],[new   od]]</f>
        <v>20</v>
      </c>
      <c r="G496" s="4">
        <f>IF(Table1[[#This Row],[RequiredDate]]&lt;Table1[[#This Row],[OrderDate]], Table1[[#This Row],[OrderDate]]+7, Table1[[#This Row],[RequiredDate]])</f>
        <v>45733</v>
      </c>
      <c r="H496" s="21">
        <f t="shared" si="78"/>
        <v>20</v>
      </c>
      <c r="I496" s="6" t="str">
        <f>IF(Table1[[#This Row],[New LTD]]&lt;=7,"Yes","No")</f>
        <v>No</v>
      </c>
      <c r="J496" s="6" t="str">
        <f t="shared" si="79"/>
        <v>No</v>
      </c>
      <c r="K496" t="s">
        <v>648</v>
      </c>
      <c r="L496" t="s">
        <v>660</v>
      </c>
      <c r="M496" t="s">
        <v>686</v>
      </c>
      <c r="N496" t="s">
        <v>703</v>
      </c>
      <c r="O496" t="s">
        <v>709</v>
      </c>
      <c r="P496" t="s">
        <v>722</v>
      </c>
      <c r="Q496" t="s">
        <v>730</v>
      </c>
      <c r="R496" t="s">
        <v>1154</v>
      </c>
      <c r="S496" s="6">
        <v>1205.26</v>
      </c>
      <c r="T496" s="6">
        <v>1696.35</v>
      </c>
      <c r="U496" s="6">
        <f t="shared" si="80"/>
        <v>1696.35</v>
      </c>
      <c r="V496" s="8">
        <v>1.9E-2</v>
      </c>
      <c r="W496" s="6">
        <v>6</v>
      </c>
      <c r="X496" s="6">
        <f t="shared" si="81"/>
        <v>9984.7160999999978</v>
      </c>
      <c r="Y496">
        <f t="shared" si="82"/>
        <v>7231.5599999999995</v>
      </c>
      <c r="Z496" s="6">
        <f t="shared" si="83"/>
        <v>2753.1560999999983</v>
      </c>
      <c r="AA496">
        <f t="shared" si="84"/>
        <v>0.27573704374028213</v>
      </c>
      <c r="AB496" t="str">
        <f t="shared" si="85"/>
        <v>2-2025</v>
      </c>
      <c r="AC496" t="str">
        <f t="shared" si="86"/>
        <v>Q1-2025</v>
      </c>
      <c r="AD496" t="str">
        <f t="shared" si="87"/>
        <v>Americas →USA →San Francisco</v>
      </c>
      <c r="AE496" t="str">
        <f t="shared" si="88"/>
        <v>High</v>
      </c>
      <c r="AF496" t="str">
        <f>TEXT(Table1[[#This Row],[OrderDate]],"MMM")</f>
        <v>Feb</v>
      </c>
      <c r="AG496" t="str">
        <f>TEXT(Table1[[#This Row],[OrderDate]],"YYYY")</f>
        <v>2025</v>
      </c>
      <c r="AI496" s="4">
        <f>IF(Table1[[#This Row],[RequiredDate]]&lt;Table1[[#This Row],[OrderDate]], Table1[[#This Row],[OrderDate]]+7, Table1[[#This Row],[RequiredDate]])</f>
        <v>45733</v>
      </c>
      <c r="AJ496">
        <f>IF(Dashboard!$D$3&gt;'Staging Data'!V496,'Staging Data'!V496,Dashboard!D$3)</f>
        <v>1.9E-2</v>
      </c>
      <c r="AK496" s="19">
        <f>(100%+Dashboard!$D$4)*'Staging Data'!S496</f>
        <v>1265.5230000000001</v>
      </c>
      <c r="AL496">
        <f>(100%+Dashboard!$D$5)*'Staging Data'!W496</f>
        <v>6.8999999999999995</v>
      </c>
    </row>
    <row r="497" spans="1:38" x14ac:dyDescent="0.35">
      <c r="A497" s="6" t="s">
        <v>645</v>
      </c>
      <c r="B497" s="4">
        <v>45716</v>
      </c>
      <c r="C497" s="4">
        <v>45726</v>
      </c>
      <c r="D497" s="4">
        <f>IF(Table1[[#This Row],[RequiredDate]]&lt;Table1[[#This Row],[OrderDate]],Table1[[#This Row],[RequiredDate]],Table1[[#This Row],[OrderDate]])</f>
        <v>45716</v>
      </c>
      <c r="E497" s="4">
        <f>IF(Table1[[#This Row],[RequiredDate]]&gt;Table1[[#This Row],[OrderDate]],Table1[[#This Row],[RequiredDate]],Table1[[#This Row],[OrderDate]])</f>
        <v>45726</v>
      </c>
      <c r="F497" s="21">
        <f>Table1[[#This Row],[New RD]]-Table1[[#This Row],[new   od]]</f>
        <v>10</v>
      </c>
      <c r="G497" s="4">
        <f>IF(Table1[[#This Row],[RequiredDate]]&lt;Table1[[#This Row],[OrderDate]], Table1[[#This Row],[OrderDate]]+7, Table1[[#This Row],[RequiredDate]])</f>
        <v>45726</v>
      </c>
      <c r="H497" s="21">
        <f t="shared" si="78"/>
        <v>10</v>
      </c>
      <c r="I497" s="6" t="str">
        <f>IF(Table1[[#This Row],[New LTD]]&lt;=7,"Yes","No")</f>
        <v>No</v>
      </c>
      <c r="J497" s="6" t="str">
        <f t="shared" si="79"/>
        <v>No</v>
      </c>
      <c r="K497" t="s">
        <v>647</v>
      </c>
      <c r="L497" t="s">
        <v>652</v>
      </c>
      <c r="M497" t="s">
        <v>666</v>
      </c>
      <c r="N497" t="s">
        <v>702</v>
      </c>
      <c r="O497" t="s">
        <v>710</v>
      </c>
      <c r="P497" t="s">
        <v>725</v>
      </c>
      <c r="Q497" t="s">
        <v>731</v>
      </c>
      <c r="R497" t="s">
        <v>1363</v>
      </c>
      <c r="S497" s="6">
        <v>51.86</v>
      </c>
      <c r="T497" s="6">
        <v>45.98</v>
      </c>
      <c r="U497" s="6">
        <f t="shared" si="80"/>
        <v>45.98</v>
      </c>
      <c r="V497" s="8">
        <v>0.17299999999999999</v>
      </c>
      <c r="W497" s="6">
        <v>7</v>
      </c>
      <c r="X497" s="6">
        <f t="shared" si="81"/>
        <v>266.17821999999995</v>
      </c>
      <c r="Y497">
        <f t="shared" si="82"/>
        <v>363.02</v>
      </c>
      <c r="Z497" s="6">
        <f t="shared" si="83"/>
        <v>-96.841780000000028</v>
      </c>
      <c r="AA497">
        <f t="shared" si="84"/>
        <v>-0.3638230806412337</v>
      </c>
      <c r="AB497" t="str">
        <f t="shared" si="85"/>
        <v>2-2025</v>
      </c>
      <c r="AC497" t="str">
        <f t="shared" si="86"/>
        <v>Q1-2025</v>
      </c>
      <c r="AD497" t="str">
        <f t="shared" si="87"/>
        <v>Asia →Japan →Osaka</v>
      </c>
      <c r="AE497" t="str">
        <f t="shared" si="88"/>
        <v>Low</v>
      </c>
      <c r="AF497" t="str">
        <f>TEXT(Table1[[#This Row],[OrderDate]],"MMM")</f>
        <v>Feb</v>
      </c>
      <c r="AG497" t="str">
        <f>TEXT(Table1[[#This Row],[OrderDate]],"YYYY")</f>
        <v>2025</v>
      </c>
      <c r="AI497" s="4">
        <f>IF(Table1[[#This Row],[RequiredDate]]&lt;Table1[[#This Row],[OrderDate]], Table1[[#This Row],[OrderDate]]+7, Table1[[#This Row],[RequiredDate]])</f>
        <v>45726</v>
      </c>
      <c r="AJ497">
        <f>IF(Dashboard!$D$3&gt;'Staging Data'!V497,'Staging Data'!V497,Dashboard!D$3)</f>
        <v>0.17299999999999999</v>
      </c>
      <c r="AK497" s="19">
        <f>(100%+Dashboard!$D$4)*'Staging Data'!S497</f>
        <v>54.453000000000003</v>
      </c>
      <c r="AL497">
        <f>(100%+Dashboard!$D$5)*'Staging Data'!W497</f>
        <v>8.0499999999999989</v>
      </c>
    </row>
    <row r="498" spans="1:38" x14ac:dyDescent="0.35">
      <c r="A498" s="6" t="s">
        <v>146</v>
      </c>
      <c r="B498" s="4">
        <v>45719</v>
      </c>
      <c r="C498" s="4">
        <v>45740</v>
      </c>
      <c r="D498" s="4">
        <f>IF(Table1[[#This Row],[RequiredDate]]&lt;Table1[[#This Row],[OrderDate]],Table1[[#This Row],[RequiredDate]],Table1[[#This Row],[OrderDate]])</f>
        <v>45719</v>
      </c>
      <c r="E498" s="4">
        <f>IF(Table1[[#This Row],[RequiredDate]]&gt;Table1[[#This Row],[OrderDate]],Table1[[#This Row],[RequiredDate]],Table1[[#This Row],[OrderDate]])</f>
        <v>45740</v>
      </c>
      <c r="F498" s="21">
        <f>Table1[[#This Row],[New RD]]-Table1[[#This Row],[new   od]]</f>
        <v>21</v>
      </c>
      <c r="G498" s="4">
        <f>IF(Table1[[#This Row],[RequiredDate]]&lt;Table1[[#This Row],[OrderDate]], Table1[[#This Row],[OrderDate]]+7, Table1[[#This Row],[RequiredDate]])</f>
        <v>45740</v>
      </c>
      <c r="H498" s="21">
        <f t="shared" si="78"/>
        <v>21</v>
      </c>
      <c r="I498" s="6" t="str">
        <f>IF(Table1[[#This Row],[New LTD]]&lt;=7,"Yes","No")</f>
        <v>No</v>
      </c>
      <c r="J498" s="6" t="str">
        <f t="shared" si="79"/>
        <v>No</v>
      </c>
      <c r="K498" t="s">
        <v>646</v>
      </c>
      <c r="L498" t="s">
        <v>651</v>
      </c>
      <c r="M498" t="s">
        <v>669</v>
      </c>
      <c r="N498" t="s">
        <v>706</v>
      </c>
      <c r="O498" t="s">
        <v>711</v>
      </c>
      <c r="P498" t="s">
        <v>722</v>
      </c>
      <c r="Q498" t="s">
        <v>733</v>
      </c>
      <c r="R498" t="s">
        <v>865</v>
      </c>
      <c r="S498" s="6">
        <v>555.95000000000005</v>
      </c>
      <c r="T498" s="6">
        <v>468.09</v>
      </c>
      <c r="U498" s="6">
        <f t="shared" si="80"/>
        <v>468.09</v>
      </c>
      <c r="V498" s="8">
        <v>0.14199999999999999</v>
      </c>
      <c r="W498" s="6">
        <v>11</v>
      </c>
      <c r="X498" s="6">
        <f t="shared" si="81"/>
        <v>4417.8334199999999</v>
      </c>
      <c r="Y498">
        <f t="shared" si="82"/>
        <v>6115.4500000000007</v>
      </c>
      <c r="Z498" s="6">
        <f t="shared" si="83"/>
        <v>-1697.6165800000008</v>
      </c>
      <c r="AA498">
        <f t="shared" si="84"/>
        <v>-0.38426450674095375</v>
      </c>
      <c r="AB498" t="str">
        <f t="shared" si="85"/>
        <v>3-2025</v>
      </c>
      <c r="AC498" t="str">
        <f t="shared" si="86"/>
        <v>Q1-2025</v>
      </c>
      <c r="AD498" t="str">
        <f t="shared" si="87"/>
        <v>Africa →Nigeria →Abuja</v>
      </c>
      <c r="AE498" t="str">
        <f t="shared" si="88"/>
        <v>Low</v>
      </c>
      <c r="AF498" t="str">
        <f>TEXT(Table1[[#This Row],[OrderDate]],"MMM")</f>
        <v>Mar</v>
      </c>
      <c r="AG498" t="str">
        <f>TEXT(Table1[[#This Row],[OrderDate]],"YYYY")</f>
        <v>2025</v>
      </c>
      <c r="AI498" s="4">
        <f>IF(Table1[[#This Row],[RequiredDate]]&lt;Table1[[#This Row],[OrderDate]], Table1[[#This Row],[OrderDate]]+7, Table1[[#This Row],[RequiredDate]])</f>
        <v>45740</v>
      </c>
      <c r="AJ498">
        <f>IF(Dashboard!$D$3&gt;'Staging Data'!V498,'Staging Data'!V498,Dashboard!D$3)</f>
        <v>0.14199999999999999</v>
      </c>
      <c r="AK498" s="19">
        <f>(100%+Dashboard!$D$4)*'Staging Data'!S498</f>
        <v>583.74750000000006</v>
      </c>
      <c r="AL498">
        <f>(100%+Dashboard!$D$5)*'Staging Data'!W498</f>
        <v>12.649999999999999</v>
      </c>
    </row>
    <row r="499" spans="1:38" x14ac:dyDescent="0.35">
      <c r="A499" s="6" t="s">
        <v>27</v>
      </c>
      <c r="B499" s="4">
        <v>45722</v>
      </c>
      <c r="C499" s="4">
        <v>45747</v>
      </c>
      <c r="D499" s="4">
        <f>IF(Table1[[#This Row],[RequiredDate]]&lt;Table1[[#This Row],[OrderDate]],Table1[[#This Row],[RequiredDate]],Table1[[#This Row],[OrderDate]])</f>
        <v>45722</v>
      </c>
      <c r="E499" s="4">
        <f>IF(Table1[[#This Row],[RequiredDate]]&gt;Table1[[#This Row],[OrderDate]],Table1[[#This Row],[RequiredDate]],Table1[[#This Row],[OrderDate]])</f>
        <v>45747</v>
      </c>
      <c r="F499" s="21">
        <f>Table1[[#This Row],[New RD]]-Table1[[#This Row],[new   od]]</f>
        <v>25</v>
      </c>
      <c r="G499" s="4">
        <f>IF(Table1[[#This Row],[RequiredDate]]&lt;Table1[[#This Row],[OrderDate]], Table1[[#This Row],[OrderDate]]+7, Table1[[#This Row],[RequiredDate]])</f>
        <v>45747</v>
      </c>
      <c r="H499" s="21">
        <f t="shared" si="78"/>
        <v>25</v>
      </c>
      <c r="I499" s="6" t="str">
        <f>IF(Table1[[#This Row],[New LTD]]&lt;=7,"Yes","No")</f>
        <v>No</v>
      </c>
      <c r="J499" s="6" t="str">
        <f t="shared" si="79"/>
        <v>No</v>
      </c>
      <c r="K499" t="s">
        <v>648</v>
      </c>
      <c r="L499" t="s">
        <v>655</v>
      </c>
      <c r="M499" t="s">
        <v>672</v>
      </c>
      <c r="N499" t="s">
        <v>703</v>
      </c>
      <c r="O499" t="s">
        <v>708</v>
      </c>
      <c r="P499" t="s">
        <v>713</v>
      </c>
      <c r="Q499" t="s">
        <v>727</v>
      </c>
      <c r="R499" t="s">
        <v>746</v>
      </c>
      <c r="S499" s="6">
        <v>331.57</v>
      </c>
      <c r="T499" s="6">
        <v>548.4</v>
      </c>
      <c r="U499" s="6">
        <f t="shared" si="80"/>
        <v>548.4</v>
      </c>
      <c r="V499" s="8">
        <v>9.4E-2</v>
      </c>
      <c r="W499" s="6">
        <v>10</v>
      </c>
      <c r="X499" s="6">
        <f t="shared" si="81"/>
        <v>4968.5039999999999</v>
      </c>
      <c r="Y499">
        <f t="shared" si="82"/>
        <v>3315.7</v>
      </c>
      <c r="Z499" s="6">
        <f t="shared" si="83"/>
        <v>1652.8040000000001</v>
      </c>
      <c r="AA499">
        <f t="shared" si="84"/>
        <v>0.33265626836568918</v>
      </c>
      <c r="AB499" t="str">
        <f t="shared" si="85"/>
        <v>3-2025</v>
      </c>
      <c r="AC499" t="str">
        <f t="shared" si="86"/>
        <v>Q1-2025</v>
      </c>
      <c r="AD499" t="str">
        <f t="shared" si="87"/>
        <v>Americas →Brazil →Brasília</v>
      </c>
      <c r="AE499" t="str">
        <f t="shared" si="88"/>
        <v>Low</v>
      </c>
      <c r="AF499" t="str">
        <f>TEXT(Table1[[#This Row],[OrderDate]],"MMM")</f>
        <v>Mar</v>
      </c>
      <c r="AG499" t="str">
        <f>TEXT(Table1[[#This Row],[OrderDate]],"YYYY")</f>
        <v>2025</v>
      </c>
      <c r="AI499" s="4">
        <f>IF(Table1[[#This Row],[RequiredDate]]&lt;Table1[[#This Row],[OrderDate]], Table1[[#This Row],[OrderDate]]+7, Table1[[#This Row],[RequiredDate]])</f>
        <v>45747</v>
      </c>
      <c r="AJ499">
        <f>IF(Dashboard!$D$3&gt;'Staging Data'!V499,'Staging Data'!V499,Dashboard!D$3)</f>
        <v>9.4E-2</v>
      </c>
      <c r="AK499" s="19">
        <f>(100%+Dashboard!$D$4)*'Staging Data'!S499</f>
        <v>348.14850000000001</v>
      </c>
      <c r="AL499">
        <f>(100%+Dashboard!$D$5)*'Staging Data'!W499</f>
        <v>11.5</v>
      </c>
    </row>
    <row r="500" spans="1:38" x14ac:dyDescent="0.35">
      <c r="A500" s="6" t="s">
        <v>422</v>
      </c>
      <c r="B500" s="4">
        <v>45724</v>
      </c>
      <c r="C500" s="4">
        <v>45731</v>
      </c>
      <c r="D500" s="4">
        <f>IF(Table1[[#This Row],[RequiredDate]]&lt;Table1[[#This Row],[OrderDate]],Table1[[#This Row],[RequiredDate]],Table1[[#This Row],[OrderDate]])</f>
        <v>45724</v>
      </c>
      <c r="E500" s="4">
        <f>IF(Table1[[#This Row],[RequiredDate]]&gt;Table1[[#This Row],[OrderDate]],Table1[[#This Row],[RequiredDate]],Table1[[#This Row],[OrderDate]])</f>
        <v>45731</v>
      </c>
      <c r="F500" s="21">
        <f>Table1[[#This Row],[New RD]]-Table1[[#This Row],[new   od]]</f>
        <v>7</v>
      </c>
      <c r="G500" s="4">
        <f>IF(Table1[[#This Row],[RequiredDate]]&lt;Table1[[#This Row],[OrderDate]], Table1[[#This Row],[OrderDate]]+7, Table1[[#This Row],[RequiredDate]])</f>
        <v>45731</v>
      </c>
      <c r="H500" s="21">
        <f t="shared" si="78"/>
        <v>7</v>
      </c>
      <c r="I500" s="6" t="str">
        <f>IF(Table1[[#This Row],[New LTD]]&lt;=7,"Yes","No")</f>
        <v>Yes</v>
      </c>
      <c r="J500" s="6" t="str">
        <f t="shared" si="79"/>
        <v>No</v>
      </c>
      <c r="K500" t="s">
        <v>647</v>
      </c>
      <c r="L500" t="s">
        <v>654</v>
      </c>
      <c r="M500" t="s">
        <v>668</v>
      </c>
      <c r="N500" t="s">
        <v>701</v>
      </c>
      <c r="O500" t="s">
        <v>710</v>
      </c>
      <c r="P500" t="s">
        <v>723</v>
      </c>
      <c r="Q500" t="s">
        <v>731</v>
      </c>
      <c r="R500" t="s">
        <v>1141</v>
      </c>
      <c r="S500" s="6">
        <v>475.66</v>
      </c>
      <c r="T500" s="6">
        <v>529.14</v>
      </c>
      <c r="U500" s="6">
        <f t="shared" si="80"/>
        <v>529.14</v>
      </c>
      <c r="V500" s="8">
        <v>0.19600000000000001</v>
      </c>
      <c r="W500" s="6">
        <v>11</v>
      </c>
      <c r="X500" s="6">
        <f t="shared" si="81"/>
        <v>4679.7141600000004</v>
      </c>
      <c r="Y500">
        <f t="shared" si="82"/>
        <v>5232.26</v>
      </c>
      <c r="Z500" s="6">
        <f t="shared" si="83"/>
        <v>-552.54583999999977</v>
      </c>
      <c r="AA500">
        <f t="shared" si="84"/>
        <v>-0.11807256193613323</v>
      </c>
      <c r="AB500" t="str">
        <f t="shared" si="85"/>
        <v>3-2025</v>
      </c>
      <c r="AC500" t="str">
        <f t="shared" si="86"/>
        <v>Q1-2025</v>
      </c>
      <c r="AD500" t="str">
        <f t="shared" si="87"/>
        <v>Asia →India →Bengaluru</v>
      </c>
      <c r="AE500" t="str">
        <f t="shared" si="88"/>
        <v>Low</v>
      </c>
      <c r="AF500" t="str">
        <f>TEXT(Table1[[#This Row],[OrderDate]],"MMM")</f>
        <v>Mar</v>
      </c>
      <c r="AG500" t="str">
        <f>TEXT(Table1[[#This Row],[OrderDate]],"YYYY")</f>
        <v>2025</v>
      </c>
      <c r="AI500" s="4">
        <f>IF(Table1[[#This Row],[RequiredDate]]&lt;Table1[[#This Row],[OrderDate]], Table1[[#This Row],[OrderDate]]+7, Table1[[#This Row],[RequiredDate]])</f>
        <v>45731</v>
      </c>
      <c r="AJ500">
        <f>IF(Dashboard!$D$3&gt;'Staging Data'!V500,'Staging Data'!V500,Dashboard!D$3)</f>
        <v>0.19600000000000001</v>
      </c>
      <c r="AK500" s="19">
        <f>(100%+Dashboard!$D$4)*'Staging Data'!S500</f>
        <v>499.44300000000004</v>
      </c>
      <c r="AL500">
        <f>(100%+Dashboard!$D$5)*'Staging Data'!W500</f>
        <v>12.649999999999999</v>
      </c>
    </row>
    <row r="501" spans="1:38" x14ac:dyDescent="0.35">
      <c r="A501" s="6" t="s">
        <v>518</v>
      </c>
      <c r="B501" s="4">
        <v>45726</v>
      </c>
      <c r="C501" s="4">
        <v>45743</v>
      </c>
      <c r="D501" s="4">
        <f>IF(Table1[[#This Row],[RequiredDate]]&lt;Table1[[#This Row],[OrderDate]],Table1[[#This Row],[RequiredDate]],Table1[[#This Row],[OrderDate]])</f>
        <v>45726</v>
      </c>
      <c r="E501" s="4">
        <f>IF(Table1[[#This Row],[RequiredDate]]&gt;Table1[[#This Row],[OrderDate]],Table1[[#This Row],[RequiredDate]],Table1[[#This Row],[OrderDate]])</f>
        <v>45743</v>
      </c>
      <c r="F501" s="21">
        <f>Table1[[#This Row],[New RD]]-Table1[[#This Row],[new   od]]</f>
        <v>17</v>
      </c>
      <c r="G501" s="4">
        <f>IF(Table1[[#This Row],[RequiredDate]]&lt;Table1[[#This Row],[OrderDate]], Table1[[#This Row],[OrderDate]]+7, Table1[[#This Row],[RequiredDate]])</f>
        <v>45743</v>
      </c>
      <c r="H501" s="21">
        <f t="shared" si="78"/>
        <v>17</v>
      </c>
      <c r="I501" s="6" t="str">
        <f>IF(Table1[[#This Row],[New LTD]]&lt;=7,"Yes","No")</f>
        <v>No</v>
      </c>
      <c r="J501" s="6" t="str">
        <f t="shared" si="79"/>
        <v>No</v>
      </c>
      <c r="K501" t="s">
        <v>648</v>
      </c>
      <c r="L501" t="s">
        <v>655</v>
      </c>
      <c r="M501" t="s">
        <v>692</v>
      </c>
      <c r="N501" t="s">
        <v>706</v>
      </c>
      <c r="O501" t="s">
        <v>711</v>
      </c>
      <c r="P501" t="s">
        <v>721</v>
      </c>
      <c r="Q501" t="s">
        <v>729</v>
      </c>
      <c r="R501" t="s">
        <v>1237</v>
      </c>
      <c r="S501" s="6">
        <v>996.73</v>
      </c>
      <c r="T501" s="6">
        <v>1217.43</v>
      </c>
      <c r="U501" s="6">
        <f t="shared" si="80"/>
        <v>1217.43</v>
      </c>
      <c r="V501" s="8">
        <v>7.0000000000000007E-2</v>
      </c>
      <c r="W501" s="6">
        <v>9</v>
      </c>
      <c r="X501" s="6">
        <f t="shared" si="81"/>
        <v>10189.8891</v>
      </c>
      <c r="Y501">
        <f t="shared" si="82"/>
        <v>8970.57</v>
      </c>
      <c r="Z501" s="6">
        <f t="shared" si="83"/>
        <v>1219.3191000000006</v>
      </c>
      <c r="AA501">
        <f t="shared" si="84"/>
        <v>0.11965970267527255</v>
      </c>
      <c r="AB501" t="str">
        <f t="shared" si="85"/>
        <v>3-2025</v>
      </c>
      <c r="AC501" t="str">
        <f t="shared" si="86"/>
        <v>Q1-2025</v>
      </c>
      <c r="AD501" t="str">
        <f t="shared" si="87"/>
        <v>Americas →Brazil →Rio de Janeiro</v>
      </c>
      <c r="AE501" t="str">
        <f t="shared" si="88"/>
        <v>Medium</v>
      </c>
      <c r="AF501" t="str">
        <f>TEXT(Table1[[#This Row],[OrderDate]],"MMM")</f>
        <v>Mar</v>
      </c>
      <c r="AG501" t="str">
        <f>TEXT(Table1[[#This Row],[OrderDate]],"YYYY")</f>
        <v>2025</v>
      </c>
      <c r="AI501" s="4">
        <f>IF(Table1[[#This Row],[RequiredDate]]&lt;Table1[[#This Row],[OrderDate]], Table1[[#This Row],[OrderDate]]+7, Table1[[#This Row],[RequiredDate]])</f>
        <v>45743</v>
      </c>
      <c r="AJ501">
        <f>IF(Dashboard!$D$3&gt;'Staging Data'!V501,'Staging Data'!V501,Dashboard!D$3)</f>
        <v>7.0000000000000007E-2</v>
      </c>
      <c r="AK501" s="19">
        <f>(100%+Dashboard!$D$4)*'Staging Data'!S501</f>
        <v>1046.5665000000001</v>
      </c>
      <c r="AL501">
        <f>(100%+Dashboard!$D$5)*'Staging Data'!W501</f>
        <v>10.35</v>
      </c>
    </row>
    <row r="502" spans="1:38" x14ac:dyDescent="0.35">
      <c r="A502" s="6" t="s">
        <v>612</v>
      </c>
      <c r="B502" s="4">
        <v>45726</v>
      </c>
      <c r="C502" s="4">
        <v>45751</v>
      </c>
      <c r="D502" s="4">
        <f>IF(Table1[[#This Row],[RequiredDate]]&lt;Table1[[#This Row],[OrderDate]],Table1[[#This Row],[RequiredDate]],Table1[[#This Row],[OrderDate]])</f>
        <v>45726</v>
      </c>
      <c r="E502" s="4">
        <f>IF(Table1[[#This Row],[RequiredDate]]&gt;Table1[[#This Row],[OrderDate]],Table1[[#This Row],[RequiredDate]],Table1[[#This Row],[OrderDate]])</f>
        <v>45751</v>
      </c>
      <c r="F502" s="21">
        <f>Table1[[#This Row],[New RD]]-Table1[[#This Row],[new   od]]</f>
        <v>25</v>
      </c>
      <c r="G502" s="4">
        <f>IF(Table1[[#This Row],[RequiredDate]]&lt;Table1[[#This Row],[OrderDate]], Table1[[#This Row],[OrderDate]]+7, Table1[[#This Row],[RequiredDate]])</f>
        <v>45751</v>
      </c>
      <c r="H502" s="21">
        <f t="shared" si="78"/>
        <v>25</v>
      </c>
      <c r="I502" s="6" t="str">
        <f>IF(Table1[[#This Row],[New LTD]]&lt;=7,"Yes","No")</f>
        <v>No</v>
      </c>
      <c r="J502" s="6" t="str">
        <f t="shared" si="79"/>
        <v>No</v>
      </c>
      <c r="K502" t="s">
        <v>647</v>
      </c>
      <c r="L502" t="s">
        <v>652</v>
      </c>
      <c r="M502" t="s">
        <v>666</v>
      </c>
      <c r="N502" t="s">
        <v>701</v>
      </c>
      <c r="O502" t="s">
        <v>711</v>
      </c>
      <c r="P502" t="s">
        <v>722</v>
      </c>
      <c r="Q502" t="s">
        <v>728</v>
      </c>
      <c r="R502" t="s">
        <v>1330</v>
      </c>
      <c r="S502" s="6">
        <v>783.72</v>
      </c>
      <c r="T502" s="6">
        <v>1355.94</v>
      </c>
      <c r="U502" s="6">
        <f t="shared" si="80"/>
        <v>1355.94</v>
      </c>
      <c r="V502" s="8">
        <v>0.187</v>
      </c>
      <c r="W502" s="6">
        <v>4</v>
      </c>
      <c r="X502" s="6">
        <f t="shared" si="81"/>
        <v>4409.5168800000001</v>
      </c>
      <c r="Y502">
        <f t="shared" si="82"/>
        <v>3134.88</v>
      </c>
      <c r="Z502" s="6">
        <f t="shared" si="83"/>
        <v>1274.63688</v>
      </c>
      <c r="AA502">
        <f t="shared" si="84"/>
        <v>0.28906497348525856</v>
      </c>
      <c r="AB502" t="str">
        <f t="shared" si="85"/>
        <v>3-2025</v>
      </c>
      <c r="AC502" t="str">
        <f t="shared" si="86"/>
        <v>Q1-2025</v>
      </c>
      <c r="AD502" t="str">
        <f t="shared" si="87"/>
        <v>Asia →Japan →Osaka</v>
      </c>
      <c r="AE502" t="str">
        <f t="shared" si="88"/>
        <v>Medium</v>
      </c>
      <c r="AF502" t="str">
        <f>TEXT(Table1[[#This Row],[OrderDate]],"MMM")</f>
        <v>Mar</v>
      </c>
      <c r="AG502" t="str">
        <f>TEXT(Table1[[#This Row],[OrderDate]],"YYYY")</f>
        <v>2025</v>
      </c>
      <c r="AI502" s="4">
        <f>IF(Table1[[#This Row],[RequiredDate]]&lt;Table1[[#This Row],[OrderDate]], Table1[[#This Row],[OrderDate]]+7, Table1[[#This Row],[RequiredDate]])</f>
        <v>45751</v>
      </c>
      <c r="AJ502">
        <f>IF(Dashboard!$D$3&gt;'Staging Data'!V502,'Staging Data'!V502,Dashboard!D$3)</f>
        <v>0.187</v>
      </c>
      <c r="AK502" s="19">
        <f>(100%+Dashboard!$D$4)*'Staging Data'!S502</f>
        <v>822.90600000000006</v>
      </c>
      <c r="AL502">
        <f>(100%+Dashboard!$D$5)*'Staging Data'!W502</f>
        <v>4.5999999999999996</v>
      </c>
    </row>
    <row r="503" spans="1:38" x14ac:dyDescent="0.35">
      <c r="A503" s="6" t="s">
        <v>545</v>
      </c>
      <c r="B503" s="4">
        <v>45727</v>
      </c>
      <c r="C503" s="4">
        <v>45742</v>
      </c>
      <c r="D503" s="4">
        <f>IF(Table1[[#This Row],[RequiredDate]]&lt;Table1[[#This Row],[OrderDate]],Table1[[#This Row],[RequiredDate]],Table1[[#This Row],[OrderDate]])</f>
        <v>45727</v>
      </c>
      <c r="E503" s="4">
        <f>IF(Table1[[#This Row],[RequiredDate]]&gt;Table1[[#This Row],[OrderDate]],Table1[[#This Row],[RequiredDate]],Table1[[#This Row],[OrderDate]])</f>
        <v>45742</v>
      </c>
      <c r="F503" s="21">
        <f>Table1[[#This Row],[New RD]]-Table1[[#This Row],[new   od]]</f>
        <v>15</v>
      </c>
      <c r="G503" s="4">
        <f>IF(Table1[[#This Row],[RequiredDate]]&lt;Table1[[#This Row],[OrderDate]], Table1[[#This Row],[OrderDate]]+7, Table1[[#This Row],[RequiredDate]])</f>
        <v>45742</v>
      </c>
      <c r="H503" s="21">
        <f t="shared" si="78"/>
        <v>15</v>
      </c>
      <c r="I503" s="6" t="str">
        <f>IF(Table1[[#This Row],[New LTD]]&lt;=7,"Yes","No")</f>
        <v>No</v>
      </c>
      <c r="J503" s="6" t="str">
        <f t="shared" si="79"/>
        <v>No</v>
      </c>
      <c r="K503" t="s">
        <v>649</v>
      </c>
      <c r="L503" t="s">
        <v>656</v>
      </c>
      <c r="M503" t="s">
        <v>671</v>
      </c>
      <c r="N503" t="s">
        <v>705</v>
      </c>
      <c r="O503" t="s">
        <v>708</v>
      </c>
      <c r="P503" t="s">
        <v>714</v>
      </c>
      <c r="Q503" t="s">
        <v>730</v>
      </c>
      <c r="R503" t="s">
        <v>1264</v>
      </c>
      <c r="S503" s="6">
        <v>116.97</v>
      </c>
      <c r="T503" s="6">
        <v>140.82</v>
      </c>
      <c r="U503" s="6">
        <f t="shared" si="80"/>
        <v>140.82</v>
      </c>
      <c r="V503" s="8">
        <v>0.122</v>
      </c>
      <c r="W503" s="6">
        <v>5</v>
      </c>
      <c r="X503" s="6">
        <f t="shared" si="81"/>
        <v>618.19979999999987</v>
      </c>
      <c r="Y503">
        <f t="shared" si="82"/>
        <v>584.85</v>
      </c>
      <c r="Z503" s="6">
        <f t="shared" si="83"/>
        <v>33.349799999999846</v>
      </c>
      <c r="AA503">
        <f t="shared" si="84"/>
        <v>5.3946636669891926E-2</v>
      </c>
      <c r="AB503" t="str">
        <f t="shared" si="85"/>
        <v>3-2025</v>
      </c>
      <c r="AC503" t="str">
        <f t="shared" si="86"/>
        <v>Q1-2025</v>
      </c>
      <c r="AD503" t="str">
        <f t="shared" si="87"/>
        <v>Europe →Germany →Berlin</v>
      </c>
      <c r="AE503" t="str">
        <f t="shared" si="88"/>
        <v>Low</v>
      </c>
      <c r="AF503" t="str">
        <f>TEXT(Table1[[#This Row],[OrderDate]],"MMM")</f>
        <v>Mar</v>
      </c>
      <c r="AG503" t="str">
        <f>TEXT(Table1[[#This Row],[OrderDate]],"YYYY")</f>
        <v>2025</v>
      </c>
      <c r="AI503" s="4">
        <f>IF(Table1[[#This Row],[RequiredDate]]&lt;Table1[[#This Row],[OrderDate]], Table1[[#This Row],[OrderDate]]+7, Table1[[#This Row],[RequiredDate]])</f>
        <v>45742</v>
      </c>
      <c r="AJ503">
        <f>IF(Dashboard!$D$3&gt;'Staging Data'!V503,'Staging Data'!V503,Dashboard!D$3)</f>
        <v>0.122</v>
      </c>
      <c r="AK503" s="19">
        <f>(100%+Dashboard!$D$4)*'Staging Data'!S503</f>
        <v>122.8185</v>
      </c>
      <c r="AL503">
        <f>(100%+Dashboard!$D$5)*'Staging Data'!W503</f>
        <v>5.75</v>
      </c>
    </row>
    <row r="504" spans="1:38" x14ac:dyDescent="0.35">
      <c r="A504" s="6" t="s">
        <v>629</v>
      </c>
      <c r="B504" s="4">
        <v>45727</v>
      </c>
      <c r="C504" s="4">
        <v>45743</v>
      </c>
      <c r="D504" s="4">
        <f>IF(Table1[[#This Row],[RequiredDate]]&lt;Table1[[#This Row],[OrderDate]],Table1[[#This Row],[RequiredDate]],Table1[[#This Row],[OrderDate]])</f>
        <v>45727</v>
      </c>
      <c r="E504" s="4">
        <f>IF(Table1[[#This Row],[RequiredDate]]&gt;Table1[[#This Row],[OrderDate]],Table1[[#This Row],[RequiredDate]],Table1[[#This Row],[OrderDate]])</f>
        <v>45743</v>
      </c>
      <c r="F504" s="21">
        <f>Table1[[#This Row],[New RD]]-Table1[[#This Row],[new   od]]</f>
        <v>16</v>
      </c>
      <c r="G504" s="4">
        <f>IF(Table1[[#This Row],[RequiredDate]]&lt;Table1[[#This Row],[OrderDate]], Table1[[#This Row],[OrderDate]]+7, Table1[[#This Row],[RequiredDate]])</f>
        <v>45743</v>
      </c>
      <c r="H504" s="21">
        <f t="shared" si="78"/>
        <v>16</v>
      </c>
      <c r="I504" s="6" t="str">
        <f>IF(Table1[[#This Row],[New LTD]]&lt;=7,"Yes","No")</f>
        <v>No</v>
      </c>
      <c r="J504" s="6" t="str">
        <f t="shared" si="79"/>
        <v>No</v>
      </c>
      <c r="K504" t="s">
        <v>647</v>
      </c>
      <c r="L504" t="s">
        <v>652</v>
      </c>
      <c r="M504" t="s">
        <v>689</v>
      </c>
      <c r="N504" t="s">
        <v>706</v>
      </c>
      <c r="O504" t="s">
        <v>710</v>
      </c>
      <c r="P504" t="s">
        <v>717</v>
      </c>
      <c r="Q504" t="s">
        <v>728</v>
      </c>
      <c r="R504" t="s">
        <v>1347</v>
      </c>
      <c r="S504" s="6">
        <v>1317.58</v>
      </c>
      <c r="T504" s="6">
        <v>1897.74</v>
      </c>
      <c r="U504" s="6">
        <f t="shared" si="80"/>
        <v>1897.74</v>
      </c>
      <c r="V504" s="8">
        <v>8.1000000000000003E-2</v>
      </c>
      <c r="W504" s="6">
        <v>6</v>
      </c>
      <c r="X504" s="6">
        <f t="shared" si="81"/>
        <v>10464.138360000001</v>
      </c>
      <c r="Y504">
        <f t="shared" si="82"/>
        <v>7905.48</v>
      </c>
      <c r="Z504" s="6">
        <f t="shared" si="83"/>
        <v>2558.6583600000013</v>
      </c>
      <c r="AA504">
        <f t="shared" si="84"/>
        <v>0.24451687009230266</v>
      </c>
      <c r="AB504" t="str">
        <f t="shared" si="85"/>
        <v>3-2025</v>
      </c>
      <c r="AC504" t="str">
        <f t="shared" si="86"/>
        <v>Q1-2025</v>
      </c>
      <c r="AD504" t="str">
        <f t="shared" si="87"/>
        <v>Asia →Japan →Tokyo</v>
      </c>
      <c r="AE504" t="str">
        <f t="shared" si="88"/>
        <v>High</v>
      </c>
      <c r="AF504" t="str">
        <f>TEXT(Table1[[#This Row],[OrderDate]],"MMM")</f>
        <v>Mar</v>
      </c>
      <c r="AG504" t="str">
        <f>TEXT(Table1[[#This Row],[OrderDate]],"YYYY")</f>
        <v>2025</v>
      </c>
      <c r="AI504" s="4">
        <f>IF(Table1[[#This Row],[RequiredDate]]&lt;Table1[[#This Row],[OrderDate]], Table1[[#This Row],[OrderDate]]+7, Table1[[#This Row],[RequiredDate]])</f>
        <v>45743</v>
      </c>
      <c r="AJ504">
        <f>IF(Dashboard!$D$3&gt;'Staging Data'!V504,'Staging Data'!V504,Dashboard!D$3)</f>
        <v>8.1000000000000003E-2</v>
      </c>
      <c r="AK504" s="19">
        <f>(100%+Dashboard!$D$4)*'Staging Data'!S504</f>
        <v>1383.4590000000001</v>
      </c>
      <c r="AL504">
        <f>(100%+Dashboard!$D$5)*'Staging Data'!W504</f>
        <v>6.8999999999999995</v>
      </c>
    </row>
    <row r="505" spans="1:38" x14ac:dyDescent="0.35">
      <c r="A505" s="6" t="s">
        <v>295</v>
      </c>
      <c r="B505" s="4">
        <v>45730</v>
      </c>
      <c r="C505" s="4">
        <v>45745</v>
      </c>
      <c r="D505" s="4">
        <f>IF(Table1[[#This Row],[RequiredDate]]&lt;Table1[[#This Row],[OrderDate]],Table1[[#This Row],[RequiredDate]],Table1[[#This Row],[OrderDate]])</f>
        <v>45730</v>
      </c>
      <c r="E505" s="4">
        <f>IF(Table1[[#This Row],[RequiredDate]]&gt;Table1[[#This Row],[OrderDate]],Table1[[#This Row],[RequiredDate]],Table1[[#This Row],[OrderDate]])</f>
        <v>45745</v>
      </c>
      <c r="F505" s="21">
        <f>Table1[[#This Row],[New RD]]-Table1[[#This Row],[new   od]]</f>
        <v>15</v>
      </c>
      <c r="G505" s="4">
        <f>IF(Table1[[#This Row],[RequiredDate]]&lt;Table1[[#This Row],[OrderDate]], Table1[[#This Row],[OrderDate]]+7, Table1[[#This Row],[RequiredDate]])</f>
        <v>45745</v>
      </c>
      <c r="H505" s="21">
        <f t="shared" si="78"/>
        <v>15</v>
      </c>
      <c r="I505" s="6" t="str">
        <f>IF(Table1[[#This Row],[New LTD]]&lt;=7,"Yes","No")</f>
        <v>No</v>
      </c>
      <c r="J505" s="6" t="str">
        <f t="shared" si="79"/>
        <v>Yes</v>
      </c>
      <c r="K505" t="s">
        <v>647</v>
      </c>
      <c r="L505" t="s">
        <v>652</v>
      </c>
      <c r="M505" t="s">
        <v>689</v>
      </c>
      <c r="N505" t="s">
        <v>703</v>
      </c>
      <c r="O505" t="s">
        <v>711</v>
      </c>
      <c r="P505" t="s">
        <v>722</v>
      </c>
      <c r="Q505" t="s">
        <v>729</v>
      </c>
      <c r="R505" t="s">
        <v>1015</v>
      </c>
      <c r="S505" s="6">
        <v>1106.96</v>
      </c>
      <c r="T505" s="6">
        <v>2726.62</v>
      </c>
      <c r="U505" s="6">
        <f t="shared" si="80"/>
        <v>2726.62</v>
      </c>
      <c r="V505" s="8">
        <v>0.317</v>
      </c>
      <c r="W505" s="6">
        <v>7</v>
      </c>
      <c r="X505" s="6">
        <f t="shared" si="81"/>
        <v>13035.970220000001</v>
      </c>
      <c r="Y505">
        <f t="shared" si="82"/>
        <v>7748.72</v>
      </c>
      <c r="Z505" s="6">
        <f t="shared" si="83"/>
        <v>5287.2502200000008</v>
      </c>
      <c r="AA505">
        <f t="shared" si="84"/>
        <v>0.40558931408789306</v>
      </c>
      <c r="AB505" t="str">
        <f t="shared" si="85"/>
        <v>3-2025</v>
      </c>
      <c r="AC505" t="str">
        <f t="shared" si="86"/>
        <v>Q1-2025</v>
      </c>
      <c r="AD505" t="str">
        <f t="shared" si="87"/>
        <v>Asia →Japan →Tokyo</v>
      </c>
      <c r="AE505" t="str">
        <f t="shared" si="88"/>
        <v>High</v>
      </c>
      <c r="AF505" t="str">
        <f>TEXT(Table1[[#This Row],[OrderDate]],"MMM")</f>
        <v>Mar</v>
      </c>
      <c r="AG505" t="str">
        <f>TEXT(Table1[[#This Row],[OrderDate]],"YYYY")</f>
        <v>2025</v>
      </c>
      <c r="AI505" s="4">
        <f>IF(Table1[[#This Row],[RequiredDate]]&lt;Table1[[#This Row],[OrderDate]], Table1[[#This Row],[OrderDate]]+7, Table1[[#This Row],[RequiredDate]])</f>
        <v>45745</v>
      </c>
      <c r="AJ505">
        <f>IF(Dashboard!$D$3&gt;'Staging Data'!V505,'Staging Data'!V505,Dashboard!D$3)</f>
        <v>0.2</v>
      </c>
      <c r="AK505" s="19">
        <f>(100%+Dashboard!$D$4)*'Staging Data'!S505</f>
        <v>1162.308</v>
      </c>
      <c r="AL505">
        <f>(100%+Dashboard!$D$5)*'Staging Data'!W505</f>
        <v>8.0499999999999989</v>
      </c>
    </row>
    <row r="506" spans="1:38" x14ac:dyDescent="0.35">
      <c r="A506" s="6" t="s">
        <v>432</v>
      </c>
      <c r="B506" s="4">
        <v>45730</v>
      </c>
      <c r="C506" s="4">
        <v>45755</v>
      </c>
      <c r="D506" s="4">
        <f>IF(Table1[[#This Row],[RequiredDate]]&lt;Table1[[#This Row],[OrderDate]],Table1[[#This Row],[RequiredDate]],Table1[[#This Row],[OrderDate]])</f>
        <v>45730</v>
      </c>
      <c r="E506" s="4">
        <f>IF(Table1[[#This Row],[RequiredDate]]&gt;Table1[[#This Row],[OrderDate]],Table1[[#This Row],[RequiredDate]],Table1[[#This Row],[OrderDate]])</f>
        <v>45755</v>
      </c>
      <c r="F506" s="21">
        <f>Table1[[#This Row],[New RD]]-Table1[[#This Row],[new   od]]</f>
        <v>25</v>
      </c>
      <c r="G506" s="4">
        <f>IF(Table1[[#This Row],[RequiredDate]]&lt;Table1[[#This Row],[OrderDate]], Table1[[#This Row],[OrderDate]]+7, Table1[[#This Row],[RequiredDate]])</f>
        <v>45755</v>
      </c>
      <c r="H506" s="21">
        <f t="shared" si="78"/>
        <v>25</v>
      </c>
      <c r="I506" s="6" t="str">
        <f>IF(Table1[[#This Row],[New LTD]]&lt;=7,"Yes","No")</f>
        <v>No</v>
      </c>
      <c r="J506" s="6" t="str">
        <f t="shared" si="79"/>
        <v>Yes</v>
      </c>
      <c r="K506" t="s">
        <v>647</v>
      </c>
      <c r="L506" t="s">
        <v>659</v>
      </c>
      <c r="M506" t="s">
        <v>1423</v>
      </c>
      <c r="N506" t="s">
        <v>701</v>
      </c>
      <c r="O506" t="s">
        <v>710</v>
      </c>
      <c r="P506" t="s">
        <v>726</v>
      </c>
      <c r="Q506" t="s">
        <v>728</v>
      </c>
      <c r="R506" t="s">
        <v>1151</v>
      </c>
      <c r="S506" s="6">
        <v>80.59</v>
      </c>
      <c r="T506" s="6">
        <v>157.82</v>
      </c>
      <c r="U506" s="6">
        <f t="shared" si="80"/>
        <v>157.82</v>
      </c>
      <c r="V506" s="8">
        <v>0.217</v>
      </c>
      <c r="W506" s="6">
        <v>6</v>
      </c>
      <c r="X506" s="6">
        <f t="shared" si="81"/>
        <v>741.43835999999999</v>
      </c>
      <c r="Y506">
        <f t="shared" si="82"/>
        <v>483.54</v>
      </c>
      <c r="Z506" s="6">
        <f t="shared" si="83"/>
        <v>257.89835999999997</v>
      </c>
      <c r="AA506">
        <f t="shared" si="84"/>
        <v>0.34783519967863541</v>
      </c>
      <c r="AB506" t="str">
        <f t="shared" si="85"/>
        <v>3-2025</v>
      </c>
      <c r="AC506" t="str">
        <f t="shared" si="86"/>
        <v>Q1-2025</v>
      </c>
      <c r="AD506" t="str">
        <f t="shared" si="87"/>
        <v>Asia →China →N/A</v>
      </c>
      <c r="AE506" t="str">
        <f t="shared" si="88"/>
        <v>Low</v>
      </c>
      <c r="AF506" t="str">
        <f>TEXT(Table1[[#This Row],[OrderDate]],"MMM")</f>
        <v>Mar</v>
      </c>
      <c r="AG506" t="str">
        <f>TEXT(Table1[[#This Row],[OrderDate]],"YYYY")</f>
        <v>2025</v>
      </c>
      <c r="AI506" s="4">
        <f>IF(Table1[[#This Row],[RequiredDate]]&lt;Table1[[#This Row],[OrderDate]], Table1[[#This Row],[OrderDate]]+7, Table1[[#This Row],[RequiredDate]])</f>
        <v>45755</v>
      </c>
      <c r="AJ506">
        <f>IF(Dashboard!$D$3&gt;'Staging Data'!V506,'Staging Data'!V506,Dashboard!D$3)</f>
        <v>0.2</v>
      </c>
      <c r="AK506" s="19">
        <f>(100%+Dashboard!$D$4)*'Staging Data'!S506</f>
        <v>84.619500000000002</v>
      </c>
      <c r="AL506">
        <f>(100%+Dashboard!$D$5)*'Staging Data'!W506</f>
        <v>6.8999999999999995</v>
      </c>
    </row>
    <row r="507" spans="1:38" x14ac:dyDescent="0.35">
      <c r="A507" s="6" t="s">
        <v>381</v>
      </c>
      <c r="B507" s="4">
        <v>45731</v>
      </c>
      <c r="C507" s="4">
        <v>45745</v>
      </c>
      <c r="D507" s="4">
        <f>IF(Table1[[#This Row],[RequiredDate]]&lt;Table1[[#This Row],[OrderDate]],Table1[[#This Row],[RequiredDate]],Table1[[#This Row],[OrderDate]])</f>
        <v>45731</v>
      </c>
      <c r="E507" s="4">
        <f>IF(Table1[[#This Row],[RequiredDate]]&gt;Table1[[#This Row],[OrderDate]],Table1[[#This Row],[RequiredDate]],Table1[[#This Row],[OrderDate]])</f>
        <v>45745</v>
      </c>
      <c r="F507" s="21">
        <f>Table1[[#This Row],[New RD]]-Table1[[#This Row],[new   od]]</f>
        <v>14</v>
      </c>
      <c r="G507" s="4">
        <f>IF(Table1[[#This Row],[RequiredDate]]&lt;Table1[[#This Row],[OrderDate]], Table1[[#This Row],[OrderDate]]+7, Table1[[#This Row],[RequiredDate]])</f>
        <v>45745</v>
      </c>
      <c r="H507" s="21">
        <f t="shared" si="78"/>
        <v>14</v>
      </c>
      <c r="I507" s="6" t="str">
        <f>IF(Table1[[#This Row],[New LTD]]&lt;=7,"Yes","No")</f>
        <v>No</v>
      </c>
      <c r="J507" s="6" t="str">
        <f t="shared" si="79"/>
        <v>No</v>
      </c>
      <c r="K507" t="s">
        <v>647</v>
      </c>
      <c r="L507" t="s">
        <v>654</v>
      </c>
      <c r="M507" t="s">
        <v>691</v>
      </c>
      <c r="N507" t="s">
        <v>706</v>
      </c>
      <c r="O507" t="s">
        <v>711</v>
      </c>
      <c r="P507" t="s">
        <v>712</v>
      </c>
      <c r="Q507" t="s">
        <v>727</v>
      </c>
      <c r="R507" t="s">
        <v>1101</v>
      </c>
      <c r="S507" s="6">
        <v>935.83</v>
      </c>
      <c r="T507" s="6">
        <v>2303.46</v>
      </c>
      <c r="U507" s="6">
        <f t="shared" si="80"/>
        <v>2303.46</v>
      </c>
      <c r="V507" s="8">
        <v>0.105</v>
      </c>
      <c r="W507" s="6">
        <v>9</v>
      </c>
      <c r="X507" s="6">
        <f t="shared" si="81"/>
        <v>18554.370299999999</v>
      </c>
      <c r="Y507">
        <f t="shared" si="82"/>
        <v>8422.4700000000012</v>
      </c>
      <c r="Z507" s="6">
        <f t="shared" si="83"/>
        <v>10131.900299999998</v>
      </c>
      <c r="AA507">
        <f t="shared" si="84"/>
        <v>0.54606543559174292</v>
      </c>
      <c r="AB507" t="str">
        <f t="shared" si="85"/>
        <v>3-2025</v>
      </c>
      <c r="AC507" t="str">
        <f t="shared" si="86"/>
        <v>Q1-2025</v>
      </c>
      <c r="AD507" t="str">
        <f t="shared" si="87"/>
        <v>Asia →India →Mumbai</v>
      </c>
      <c r="AE507" t="str">
        <f t="shared" si="88"/>
        <v>High</v>
      </c>
      <c r="AF507" t="str">
        <f>TEXT(Table1[[#This Row],[OrderDate]],"MMM")</f>
        <v>Mar</v>
      </c>
      <c r="AG507" t="str">
        <f>TEXT(Table1[[#This Row],[OrderDate]],"YYYY")</f>
        <v>2025</v>
      </c>
      <c r="AI507" s="4">
        <f>IF(Table1[[#This Row],[RequiredDate]]&lt;Table1[[#This Row],[OrderDate]], Table1[[#This Row],[OrderDate]]+7, Table1[[#This Row],[RequiredDate]])</f>
        <v>45745</v>
      </c>
      <c r="AJ507">
        <f>IF(Dashboard!$D$3&gt;'Staging Data'!V507,'Staging Data'!V507,Dashboard!D$3)</f>
        <v>0.105</v>
      </c>
      <c r="AK507" s="19">
        <f>(100%+Dashboard!$D$4)*'Staging Data'!S507</f>
        <v>982.62150000000008</v>
      </c>
      <c r="AL507">
        <f>(100%+Dashboard!$D$5)*'Staging Data'!W507</f>
        <v>10.35</v>
      </c>
    </row>
    <row r="508" spans="1:38" x14ac:dyDescent="0.35">
      <c r="A508" s="6" t="s">
        <v>379</v>
      </c>
      <c r="B508" s="4">
        <v>45737</v>
      </c>
      <c r="C508" s="4">
        <v>45756</v>
      </c>
      <c r="D508" s="4">
        <f>IF(Table1[[#This Row],[RequiredDate]]&lt;Table1[[#This Row],[OrderDate]],Table1[[#This Row],[RequiredDate]],Table1[[#This Row],[OrderDate]])</f>
        <v>45737</v>
      </c>
      <c r="E508" s="4">
        <f>IF(Table1[[#This Row],[RequiredDate]]&gt;Table1[[#This Row],[OrderDate]],Table1[[#This Row],[RequiredDate]],Table1[[#This Row],[OrderDate]])</f>
        <v>45756</v>
      </c>
      <c r="F508" s="21">
        <f>Table1[[#This Row],[New RD]]-Table1[[#This Row],[new   od]]</f>
        <v>19</v>
      </c>
      <c r="G508" s="4">
        <f>IF(Table1[[#This Row],[RequiredDate]]&lt;Table1[[#This Row],[OrderDate]], Table1[[#This Row],[OrderDate]]+7, Table1[[#This Row],[RequiredDate]])</f>
        <v>45756</v>
      </c>
      <c r="H508" s="21">
        <f t="shared" si="78"/>
        <v>19</v>
      </c>
      <c r="I508" s="6" t="str">
        <f>IF(Table1[[#This Row],[New LTD]]&lt;=7,"Yes","No")</f>
        <v>No</v>
      </c>
      <c r="J508" s="6" t="str">
        <f t="shared" si="79"/>
        <v>No</v>
      </c>
      <c r="K508" t="s">
        <v>647</v>
      </c>
      <c r="L508" t="s">
        <v>652</v>
      </c>
      <c r="M508" t="s">
        <v>689</v>
      </c>
      <c r="N508" t="s">
        <v>705</v>
      </c>
      <c r="O508" t="s">
        <v>710</v>
      </c>
      <c r="P508" t="s">
        <v>718</v>
      </c>
      <c r="Q508" t="s">
        <v>727</v>
      </c>
      <c r="R508" t="s">
        <v>1099</v>
      </c>
      <c r="S508" s="6">
        <v>1055.45</v>
      </c>
      <c r="T508" s="6">
        <v>1210.04</v>
      </c>
      <c r="U508" s="6">
        <f t="shared" si="80"/>
        <v>1210.04</v>
      </c>
      <c r="V508" s="8">
        <v>8.9999999999999993E-3</v>
      </c>
      <c r="W508" s="6">
        <v>18</v>
      </c>
      <c r="X508" s="6">
        <f t="shared" si="81"/>
        <v>21584.693520000001</v>
      </c>
      <c r="Y508">
        <f t="shared" si="82"/>
        <v>18998.100000000002</v>
      </c>
      <c r="Z508" s="6">
        <f t="shared" si="83"/>
        <v>2586.5935199999985</v>
      </c>
      <c r="AA508">
        <f t="shared" si="84"/>
        <v>0.1198346188053727</v>
      </c>
      <c r="AB508" t="str">
        <f t="shared" si="85"/>
        <v>3-2025</v>
      </c>
      <c r="AC508" t="str">
        <f t="shared" si="86"/>
        <v>Q1-2025</v>
      </c>
      <c r="AD508" t="str">
        <f t="shared" si="87"/>
        <v>Asia →Japan →Tokyo</v>
      </c>
      <c r="AE508" t="str">
        <f t="shared" si="88"/>
        <v>Medium</v>
      </c>
      <c r="AF508" t="str">
        <f>TEXT(Table1[[#This Row],[OrderDate]],"MMM")</f>
        <v>Mar</v>
      </c>
      <c r="AG508" t="str">
        <f>TEXT(Table1[[#This Row],[OrderDate]],"YYYY")</f>
        <v>2025</v>
      </c>
      <c r="AI508" s="4">
        <f>IF(Table1[[#This Row],[RequiredDate]]&lt;Table1[[#This Row],[OrderDate]], Table1[[#This Row],[OrderDate]]+7, Table1[[#This Row],[RequiredDate]])</f>
        <v>45756</v>
      </c>
      <c r="AJ508">
        <f>IF(Dashboard!$D$3&gt;'Staging Data'!V508,'Staging Data'!V508,Dashboard!D$3)</f>
        <v>8.9999999999999993E-3</v>
      </c>
      <c r="AK508" s="19">
        <f>(100%+Dashboard!$D$4)*'Staging Data'!S508</f>
        <v>1108.2225000000001</v>
      </c>
      <c r="AL508">
        <f>(100%+Dashboard!$D$5)*'Staging Data'!W508</f>
        <v>20.7</v>
      </c>
    </row>
    <row r="509" spans="1:38" x14ac:dyDescent="0.35">
      <c r="A509" s="6" t="s">
        <v>483</v>
      </c>
      <c r="B509" s="4">
        <v>45739</v>
      </c>
      <c r="C509" s="4">
        <v>45749</v>
      </c>
      <c r="D509" s="4">
        <f>IF(Table1[[#This Row],[RequiredDate]]&lt;Table1[[#This Row],[OrderDate]],Table1[[#This Row],[RequiredDate]],Table1[[#This Row],[OrderDate]])</f>
        <v>45739</v>
      </c>
      <c r="E509" s="4">
        <f>IF(Table1[[#This Row],[RequiredDate]]&gt;Table1[[#This Row],[OrderDate]],Table1[[#This Row],[RequiredDate]],Table1[[#This Row],[OrderDate]])</f>
        <v>45749</v>
      </c>
      <c r="F509" s="21">
        <f>Table1[[#This Row],[New RD]]-Table1[[#This Row],[new   od]]</f>
        <v>10</v>
      </c>
      <c r="G509" s="4">
        <f>IF(Table1[[#This Row],[RequiredDate]]&lt;Table1[[#This Row],[OrderDate]], Table1[[#This Row],[OrderDate]]+7, Table1[[#This Row],[RequiredDate]])</f>
        <v>45749</v>
      </c>
      <c r="H509" s="21">
        <f t="shared" si="78"/>
        <v>10</v>
      </c>
      <c r="I509" s="6" t="str">
        <f>IF(Table1[[#This Row],[New LTD]]&lt;=7,"Yes","No")</f>
        <v>No</v>
      </c>
      <c r="J509" s="6" t="str">
        <f t="shared" si="79"/>
        <v>No</v>
      </c>
      <c r="K509" t="s">
        <v>649</v>
      </c>
      <c r="L509" t="s">
        <v>656</v>
      </c>
      <c r="M509" t="s">
        <v>671</v>
      </c>
      <c r="N509" t="s">
        <v>706</v>
      </c>
      <c r="O509" t="s">
        <v>708</v>
      </c>
      <c r="P509" t="s">
        <v>718</v>
      </c>
      <c r="Q509" t="s">
        <v>728</v>
      </c>
      <c r="R509" t="s">
        <v>1202</v>
      </c>
      <c r="S509" s="6">
        <v>663.61</v>
      </c>
      <c r="T509" s="6">
        <v>1002.11</v>
      </c>
      <c r="U509" s="6">
        <f t="shared" si="80"/>
        <v>1002.11</v>
      </c>
      <c r="V509" s="8">
        <v>4.5999999999999999E-2</v>
      </c>
      <c r="W509" s="6">
        <v>17</v>
      </c>
      <c r="X509" s="6">
        <f t="shared" si="81"/>
        <v>16252.219979999998</v>
      </c>
      <c r="Y509">
        <f t="shared" si="82"/>
        <v>11281.37</v>
      </c>
      <c r="Z509" s="6">
        <f t="shared" si="83"/>
        <v>4970.8499799999972</v>
      </c>
      <c r="AA509">
        <f t="shared" si="84"/>
        <v>0.30585667595670812</v>
      </c>
      <c r="AB509" t="str">
        <f t="shared" si="85"/>
        <v>3-2025</v>
      </c>
      <c r="AC509" t="str">
        <f t="shared" si="86"/>
        <v>Q1-2025</v>
      </c>
      <c r="AD509" t="str">
        <f t="shared" si="87"/>
        <v>Europe →Germany →Berlin</v>
      </c>
      <c r="AE509" t="str">
        <f t="shared" si="88"/>
        <v>Medium</v>
      </c>
      <c r="AF509" t="str">
        <f>TEXT(Table1[[#This Row],[OrderDate]],"MMM")</f>
        <v>Mar</v>
      </c>
      <c r="AG509" t="str">
        <f>TEXT(Table1[[#This Row],[OrderDate]],"YYYY")</f>
        <v>2025</v>
      </c>
      <c r="AI509" s="4">
        <f>IF(Table1[[#This Row],[RequiredDate]]&lt;Table1[[#This Row],[OrderDate]], Table1[[#This Row],[OrderDate]]+7, Table1[[#This Row],[RequiredDate]])</f>
        <v>45749</v>
      </c>
      <c r="AJ509">
        <f>IF(Dashboard!$D$3&gt;'Staging Data'!V509,'Staging Data'!V509,Dashboard!D$3)</f>
        <v>4.5999999999999999E-2</v>
      </c>
      <c r="AK509" s="19">
        <f>(100%+Dashboard!$D$4)*'Staging Data'!S509</f>
        <v>696.79050000000007</v>
      </c>
      <c r="AL509">
        <f>(100%+Dashboard!$D$5)*'Staging Data'!W509</f>
        <v>19.549999999999997</v>
      </c>
    </row>
    <row r="510" spans="1:38" x14ac:dyDescent="0.35">
      <c r="A510" s="6" t="s">
        <v>517</v>
      </c>
      <c r="B510" s="4">
        <v>45740</v>
      </c>
      <c r="C510" s="4">
        <v>45741</v>
      </c>
      <c r="D510" s="4">
        <f>IF(Table1[[#This Row],[RequiredDate]]&lt;Table1[[#This Row],[OrderDate]],Table1[[#This Row],[RequiredDate]],Table1[[#This Row],[OrderDate]])</f>
        <v>45740</v>
      </c>
      <c r="E510" s="4">
        <f>IF(Table1[[#This Row],[RequiredDate]]&gt;Table1[[#This Row],[OrderDate]],Table1[[#This Row],[RequiredDate]],Table1[[#This Row],[OrderDate]])</f>
        <v>45741</v>
      </c>
      <c r="F510" s="21">
        <f>Table1[[#This Row],[New RD]]-Table1[[#This Row],[new   od]]</f>
        <v>1</v>
      </c>
      <c r="G510" s="4">
        <f>IF(Table1[[#This Row],[RequiredDate]]&lt;Table1[[#This Row],[OrderDate]], Table1[[#This Row],[OrderDate]]+7, Table1[[#This Row],[RequiredDate]])</f>
        <v>45741</v>
      </c>
      <c r="H510" s="21">
        <f t="shared" si="78"/>
        <v>1</v>
      </c>
      <c r="I510" s="6" t="str">
        <f>IF(Table1[[#This Row],[New LTD]]&lt;=7,"Yes","No")</f>
        <v>Yes</v>
      </c>
      <c r="J510" s="6" t="str">
        <f t="shared" si="79"/>
        <v>No</v>
      </c>
      <c r="K510" t="s">
        <v>647</v>
      </c>
      <c r="L510" t="s">
        <v>659</v>
      </c>
      <c r="M510" t="s">
        <v>699</v>
      </c>
      <c r="N510" t="s">
        <v>703</v>
      </c>
      <c r="O510" t="s">
        <v>708</v>
      </c>
      <c r="P510" t="s">
        <v>715</v>
      </c>
      <c r="Q510" t="s">
        <v>729</v>
      </c>
      <c r="R510" t="s">
        <v>1236</v>
      </c>
      <c r="S510" s="6">
        <v>1133.03</v>
      </c>
      <c r="T510" s="6">
        <v>1921.51</v>
      </c>
      <c r="U510" s="6">
        <f t="shared" si="80"/>
        <v>1921.51</v>
      </c>
      <c r="V510" s="8">
        <v>0.10100000000000001</v>
      </c>
      <c r="W510" s="6">
        <v>5</v>
      </c>
      <c r="X510" s="6">
        <f t="shared" si="81"/>
        <v>8637.1874499999994</v>
      </c>
      <c r="Y510">
        <f t="shared" si="82"/>
        <v>5665.15</v>
      </c>
      <c r="Z510" s="6">
        <f t="shared" si="83"/>
        <v>2972.0374499999998</v>
      </c>
      <c r="AA510">
        <f t="shared" si="84"/>
        <v>0.3440978289755654</v>
      </c>
      <c r="AB510" t="str">
        <f t="shared" si="85"/>
        <v>3-2025</v>
      </c>
      <c r="AC510" t="str">
        <f t="shared" si="86"/>
        <v>Q1-2025</v>
      </c>
      <c r="AD510" t="str">
        <f t="shared" si="87"/>
        <v>Asia →China →Beijing</v>
      </c>
      <c r="AE510" t="str">
        <f t="shared" si="88"/>
        <v>High</v>
      </c>
      <c r="AF510" t="str">
        <f>TEXT(Table1[[#This Row],[OrderDate]],"MMM")</f>
        <v>Mar</v>
      </c>
      <c r="AG510" t="str">
        <f>TEXT(Table1[[#This Row],[OrderDate]],"YYYY")</f>
        <v>2025</v>
      </c>
      <c r="AI510" s="4">
        <f>IF(Table1[[#This Row],[RequiredDate]]&lt;Table1[[#This Row],[OrderDate]], Table1[[#This Row],[OrderDate]]+7, Table1[[#This Row],[RequiredDate]])</f>
        <v>45741</v>
      </c>
      <c r="AJ510">
        <f>IF(Dashboard!$D$3&gt;'Staging Data'!V510,'Staging Data'!V510,Dashboard!D$3)</f>
        <v>0.10100000000000001</v>
      </c>
      <c r="AK510" s="19">
        <f>(100%+Dashboard!$D$4)*'Staging Data'!S510</f>
        <v>1189.6814999999999</v>
      </c>
      <c r="AL510">
        <f>(100%+Dashboard!$D$5)*'Staging Data'!W510</f>
        <v>5.75</v>
      </c>
    </row>
    <row r="511" spans="1:38" x14ac:dyDescent="0.35">
      <c r="A511" s="6" t="s">
        <v>586</v>
      </c>
      <c r="B511" s="4">
        <v>45740</v>
      </c>
      <c r="C511" s="4">
        <v>45751</v>
      </c>
      <c r="D511" s="4">
        <f>IF(Table1[[#This Row],[RequiredDate]]&lt;Table1[[#This Row],[OrderDate]],Table1[[#This Row],[RequiredDate]],Table1[[#This Row],[OrderDate]])</f>
        <v>45740</v>
      </c>
      <c r="E511" s="4">
        <f>IF(Table1[[#This Row],[RequiredDate]]&gt;Table1[[#This Row],[OrderDate]],Table1[[#This Row],[RequiredDate]],Table1[[#This Row],[OrderDate]])</f>
        <v>45751</v>
      </c>
      <c r="F511" s="21">
        <f>Table1[[#This Row],[New RD]]-Table1[[#This Row],[new   od]]</f>
        <v>11</v>
      </c>
      <c r="G511" s="4">
        <f>IF(Table1[[#This Row],[RequiredDate]]&lt;Table1[[#This Row],[OrderDate]], Table1[[#This Row],[OrderDate]]+7, Table1[[#This Row],[RequiredDate]])</f>
        <v>45751</v>
      </c>
      <c r="H511" s="21">
        <f t="shared" si="78"/>
        <v>11</v>
      </c>
      <c r="I511" s="6" t="str">
        <f>IF(Table1[[#This Row],[New LTD]]&lt;=7,"Yes","No")</f>
        <v>No</v>
      </c>
      <c r="J511" s="6" t="str">
        <f t="shared" si="79"/>
        <v>No</v>
      </c>
      <c r="K511" t="s">
        <v>647</v>
      </c>
      <c r="L511" t="s">
        <v>654</v>
      </c>
      <c r="M511" t="s">
        <v>691</v>
      </c>
      <c r="N511" t="s">
        <v>702</v>
      </c>
      <c r="O511" t="s">
        <v>709</v>
      </c>
      <c r="P511" t="s">
        <v>713</v>
      </c>
      <c r="Q511" t="s">
        <v>730</v>
      </c>
      <c r="R511" t="s">
        <v>1304</v>
      </c>
      <c r="S511" s="6">
        <v>23.83</v>
      </c>
      <c r="T511" s="6">
        <v>47.29</v>
      </c>
      <c r="U511" s="6">
        <f t="shared" si="80"/>
        <v>47.29</v>
      </c>
      <c r="V511" s="8">
        <v>6.4000000000000001E-2</v>
      </c>
      <c r="W511" s="6">
        <v>19</v>
      </c>
      <c r="X511" s="6">
        <f t="shared" si="81"/>
        <v>841.00536</v>
      </c>
      <c r="Y511">
        <f t="shared" si="82"/>
        <v>452.77</v>
      </c>
      <c r="Z511" s="6">
        <f t="shared" si="83"/>
        <v>388.23536000000001</v>
      </c>
      <c r="AA511">
        <f t="shared" si="84"/>
        <v>0.46163244429262618</v>
      </c>
      <c r="AB511" t="str">
        <f t="shared" si="85"/>
        <v>3-2025</v>
      </c>
      <c r="AC511" t="str">
        <f t="shared" si="86"/>
        <v>Q1-2025</v>
      </c>
      <c r="AD511" t="str">
        <f t="shared" si="87"/>
        <v>Asia →India →Mumbai</v>
      </c>
      <c r="AE511" t="str">
        <f t="shared" si="88"/>
        <v>Low</v>
      </c>
      <c r="AF511" t="str">
        <f>TEXT(Table1[[#This Row],[OrderDate]],"MMM")</f>
        <v>Mar</v>
      </c>
      <c r="AG511" t="str">
        <f>TEXT(Table1[[#This Row],[OrderDate]],"YYYY")</f>
        <v>2025</v>
      </c>
      <c r="AI511" s="4">
        <f>IF(Table1[[#This Row],[RequiredDate]]&lt;Table1[[#This Row],[OrderDate]], Table1[[#This Row],[OrderDate]]+7, Table1[[#This Row],[RequiredDate]])</f>
        <v>45751</v>
      </c>
      <c r="AJ511">
        <f>IF(Dashboard!$D$3&gt;'Staging Data'!V511,'Staging Data'!V511,Dashboard!D$3)</f>
        <v>6.4000000000000001E-2</v>
      </c>
      <c r="AK511" s="19">
        <f>(100%+Dashboard!$D$4)*'Staging Data'!S511</f>
        <v>25.0215</v>
      </c>
      <c r="AL511">
        <f>(100%+Dashboard!$D$5)*'Staging Data'!W511</f>
        <v>21.849999999999998</v>
      </c>
    </row>
    <row r="512" spans="1:38" x14ac:dyDescent="0.35">
      <c r="A512" s="6" t="s">
        <v>99</v>
      </c>
      <c r="B512" s="4">
        <v>45741</v>
      </c>
      <c r="C512" s="4">
        <v>45764</v>
      </c>
      <c r="D512" s="4">
        <f>IF(Table1[[#This Row],[RequiredDate]]&lt;Table1[[#This Row],[OrderDate]],Table1[[#This Row],[RequiredDate]],Table1[[#This Row],[OrderDate]])</f>
        <v>45741</v>
      </c>
      <c r="E512" s="4">
        <f>IF(Table1[[#This Row],[RequiredDate]]&gt;Table1[[#This Row],[OrderDate]],Table1[[#This Row],[RequiredDate]],Table1[[#This Row],[OrderDate]])</f>
        <v>45764</v>
      </c>
      <c r="F512" s="21">
        <f>Table1[[#This Row],[New RD]]-Table1[[#This Row],[new   od]]</f>
        <v>23</v>
      </c>
      <c r="G512" s="4">
        <f>IF(Table1[[#This Row],[RequiredDate]]&lt;Table1[[#This Row],[OrderDate]], Table1[[#This Row],[OrderDate]]+7, Table1[[#This Row],[RequiredDate]])</f>
        <v>45764</v>
      </c>
      <c r="H512" s="21">
        <f t="shared" si="78"/>
        <v>23</v>
      </c>
      <c r="I512" s="6" t="str">
        <f>IF(Table1[[#This Row],[New LTD]]&lt;=7,"Yes","No")</f>
        <v>No</v>
      </c>
      <c r="J512" s="6" t="str">
        <f t="shared" si="79"/>
        <v>No</v>
      </c>
      <c r="K512" t="s">
        <v>649</v>
      </c>
      <c r="L512" t="s">
        <v>658</v>
      </c>
      <c r="M512" t="s">
        <v>683</v>
      </c>
      <c r="N512" t="s">
        <v>704</v>
      </c>
      <c r="O512" t="s">
        <v>707</v>
      </c>
      <c r="P512" t="s">
        <v>722</v>
      </c>
      <c r="Q512" t="s">
        <v>729</v>
      </c>
      <c r="R512" t="s">
        <v>818</v>
      </c>
      <c r="S512" s="6">
        <v>1421.19</v>
      </c>
      <c r="T512" s="6">
        <v>1808.26</v>
      </c>
      <c r="U512" s="6">
        <f t="shared" si="80"/>
        <v>1808.26</v>
      </c>
      <c r="V512" s="8">
        <v>0.104</v>
      </c>
      <c r="W512" s="6">
        <v>13</v>
      </c>
      <c r="X512" s="6">
        <f t="shared" si="81"/>
        <v>21062.61248</v>
      </c>
      <c r="Y512">
        <f t="shared" si="82"/>
        <v>18475.47</v>
      </c>
      <c r="Z512" s="6">
        <f t="shared" si="83"/>
        <v>2587.1424799999986</v>
      </c>
      <c r="AA512">
        <f t="shared" si="84"/>
        <v>0.12283103449093123</v>
      </c>
      <c r="AB512" t="str">
        <f t="shared" si="85"/>
        <v>3-2025</v>
      </c>
      <c r="AC512" t="str">
        <f t="shared" si="86"/>
        <v>Q1-2025</v>
      </c>
      <c r="AD512" t="str">
        <f t="shared" si="87"/>
        <v>Europe →United Kingdom →London</v>
      </c>
      <c r="AE512" t="str">
        <f t="shared" si="88"/>
        <v>High</v>
      </c>
      <c r="AF512" t="str">
        <f>TEXT(Table1[[#This Row],[OrderDate]],"MMM")</f>
        <v>Mar</v>
      </c>
      <c r="AG512" t="str">
        <f>TEXT(Table1[[#This Row],[OrderDate]],"YYYY")</f>
        <v>2025</v>
      </c>
      <c r="AI512" s="4">
        <f>IF(Table1[[#This Row],[RequiredDate]]&lt;Table1[[#This Row],[OrderDate]], Table1[[#This Row],[OrderDate]]+7, Table1[[#This Row],[RequiredDate]])</f>
        <v>45764</v>
      </c>
      <c r="AJ512">
        <f>IF(Dashboard!$D$3&gt;'Staging Data'!V512,'Staging Data'!V512,Dashboard!D$3)</f>
        <v>0.104</v>
      </c>
      <c r="AK512" s="19">
        <f>(100%+Dashboard!$D$4)*'Staging Data'!S512</f>
        <v>1492.2495000000001</v>
      </c>
      <c r="AL512">
        <f>(100%+Dashboard!$D$5)*'Staging Data'!W512</f>
        <v>14.95</v>
      </c>
    </row>
    <row r="513" spans="1:38" x14ac:dyDescent="0.35">
      <c r="A513" s="6" t="s">
        <v>320</v>
      </c>
      <c r="B513" s="4">
        <v>45741</v>
      </c>
      <c r="C513" s="4">
        <v>45742</v>
      </c>
      <c r="D513" s="4">
        <f>IF(Table1[[#This Row],[RequiredDate]]&lt;Table1[[#This Row],[OrderDate]],Table1[[#This Row],[RequiredDate]],Table1[[#This Row],[OrderDate]])</f>
        <v>45741</v>
      </c>
      <c r="E513" s="4">
        <f>IF(Table1[[#This Row],[RequiredDate]]&gt;Table1[[#This Row],[OrderDate]],Table1[[#This Row],[RequiredDate]],Table1[[#This Row],[OrderDate]])</f>
        <v>45742</v>
      </c>
      <c r="F513" s="21">
        <f>Table1[[#This Row],[New RD]]-Table1[[#This Row],[new   od]]</f>
        <v>1</v>
      </c>
      <c r="G513" s="4">
        <f>IF(Table1[[#This Row],[RequiredDate]]&lt;Table1[[#This Row],[OrderDate]], Table1[[#This Row],[OrderDate]]+7, Table1[[#This Row],[RequiredDate]])</f>
        <v>45742</v>
      </c>
      <c r="H513" s="21">
        <f t="shared" si="78"/>
        <v>1</v>
      </c>
      <c r="I513" s="6" t="str">
        <f>IF(Table1[[#This Row],[New LTD]]&lt;=7,"Yes","No")</f>
        <v>Yes</v>
      </c>
      <c r="J513" s="6" t="str">
        <f t="shared" si="79"/>
        <v>No</v>
      </c>
      <c r="K513" t="s">
        <v>646</v>
      </c>
      <c r="L513" t="s">
        <v>651</v>
      </c>
      <c r="M513" t="s">
        <v>665</v>
      </c>
      <c r="N513" t="s">
        <v>702</v>
      </c>
      <c r="O513" t="s">
        <v>710</v>
      </c>
      <c r="P513" t="s">
        <v>715</v>
      </c>
      <c r="Q513" t="s">
        <v>733</v>
      </c>
      <c r="R513" t="s">
        <v>1040</v>
      </c>
      <c r="S513" s="6">
        <v>1450.43</v>
      </c>
      <c r="T513" s="6">
        <v>1994.67</v>
      </c>
      <c r="U513" s="6">
        <f t="shared" si="80"/>
        <v>1994.67</v>
      </c>
      <c r="V513" s="8">
        <v>0.1</v>
      </c>
      <c r="W513" s="6">
        <v>24</v>
      </c>
      <c r="X513" s="6">
        <f t="shared" si="81"/>
        <v>43084.872000000003</v>
      </c>
      <c r="Y513">
        <f t="shared" si="82"/>
        <v>34810.32</v>
      </c>
      <c r="Z513" s="6">
        <f t="shared" si="83"/>
        <v>8274.5520000000033</v>
      </c>
      <c r="AA513">
        <f t="shared" si="84"/>
        <v>0.19205237513529116</v>
      </c>
      <c r="AB513" t="str">
        <f t="shared" si="85"/>
        <v>3-2025</v>
      </c>
      <c r="AC513" t="str">
        <f t="shared" si="86"/>
        <v>Q1-2025</v>
      </c>
      <c r="AD513" t="str">
        <f t="shared" si="87"/>
        <v>Africa →Nigeria →Lagos</v>
      </c>
      <c r="AE513" t="str">
        <f t="shared" si="88"/>
        <v>High</v>
      </c>
      <c r="AF513" t="str">
        <f>TEXT(Table1[[#This Row],[OrderDate]],"MMM")</f>
        <v>Mar</v>
      </c>
      <c r="AG513" t="str">
        <f>TEXT(Table1[[#This Row],[OrderDate]],"YYYY")</f>
        <v>2025</v>
      </c>
      <c r="AI513" s="4">
        <f>IF(Table1[[#This Row],[RequiredDate]]&lt;Table1[[#This Row],[OrderDate]], Table1[[#This Row],[OrderDate]]+7, Table1[[#This Row],[RequiredDate]])</f>
        <v>45742</v>
      </c>
      <c r="AJ513">
        <f>IF(Dashboard!$D$3&gt;'Staging Data'!V513,'Staging Data'!V513,Dashboard!D$3)</f>
        <v>0.1</v>
      </c>
      <c r="AK513" s="19">
        <f>(100%+Dashboard!$D$4)*'Staging Data'!S513</f>
        <v>1522.9515000000001</v>
      </c>
      <c r="AL513">
        <f>(100%+Dashboard!$D$5)*'Staging Data'!W513</f>
        <v>27.599999999999998</v>
      </c>
    </row>
    <row r="514" spans="1:38" x14ac:dyDescent="0.35">
      <c r="A514" s="6" t="s">
        <v>18</v>
      </c>
      <c r="B514" s="4">
        <v>45745</v>
      </c>
      <c r="C514" s="4">
        <v>45749</v>
      </c>
      <c r="D514" s="4">
        <f>IF(Table1[[#This Row],[RequiredDate]]&lt;Table1[[#This Row],[OrderDate]],Table1[[#This Row],[RequiredDate]],Table1[[#This Row],[OrderDate]])</f>
        <v>45745</v>
      </c>
      <c r="E514" s="4">
        <f>IF(Table1[[#This Row],[RequiredDate]]&gt;Table1[[#This Row],[OrderDate]],Table1[[#This Row],[RequiredDate]],Table1[[#This Row],[OrderDate]])</f>
        <v>45749</v>
      </c>
      <c r="F514" s="21">
        <f>Table1[[#This Row],[New RD]]-Table1[[#This Row],[new   od]]</f>
        <v>4</v>
      </c>
      <c r="G514" s="4">
        <f>IF(Table1[[#This Row],[RequiredDate]]&lt;Table1[[#This Row],[OrderDate]], Table1[[#This Row],[OrderDate]]+7, Table1[[#This Row],[RequiredDate]])</f>
        <v>45749</v>
      </c>
      <c r="H514" s="21">
        <f t="shared" ref="H514:H577" si="89">G514-B514</f>
        <v>4</v>
      </c>
      <c r="I514" s="6" t="str">
        <f>IF(Table1[[#This Row],[New LTD]]&lt;=7,"Yes","No")</f>
        <v>Yes</v>
      </c>
      <c r="J514" s="6" t="str">
        <f t="shared" ref="J514:J577" si="90">IF(V514&gt;20%,"Yes","No")</f>
        <v>No</v>
      </c>
      <c r="K514" t="s">
        <v>646</v>
      </c>
      <c r="L514" t="s">
        <v>651</v>
      </c>
      <c r="M514" t="s">
        <v>665</v>
      </c>
      <c r="N514" t="s">
        <v>703</v>
      </c>
      <c r="O514" t="s">
        <v>709</v>
      </c>
      <c r="P514" t="s">
        <v>715</v>
      </c>
      <c r="Q514" t="s">
        <v>730</v>
      </c>
      <c r="R514" t="s">
        <v>737</v>
      </c>
      <c r="S514" s="6">
        <v>259.93</v>
      </c>
      <c r="T514" s="6">
        <v>255.94</v>
      </c>
      <c r="U514" s="6">
        <f t="shared" ref="U514:U577" si="91">ABS(T514)</f>
        <v>255.94</v>
      </c>
      <c r="V514" s="8">
        <v>7.1999999999999995E-2</v>
      </c>
      <c r="W514" s="6">
        <v>22</v>
      </c>
      <c r="X514" s="6">
        <f t="shared" ref="X514:X577" si="92">U514*W514*(1-V514)</f>
        <v>5225.2710400000005</v>
      </c>
      <c r="Y514">
        <f t="shared" ref="Y514:Y577" si="93">S514*W514</f>
        <v>5718.46</v>
      </c>
      <c r="Z514" s="6">
        <f t="shared" ref="Z514:Z577" si="94">X514-Y514</f>
        <v>-493.1889599999995</v>
      </c>
      <c r="AA514">
        <f t="shared" ref="AA514:AA577" si="95">IF(X514=0, 0, Z514/ X514)</f>
        <v>-9.4385335463861311E-2</v>
      </c>
      <c r="AB514" t="str">
        <f t="shared" ref="AB514:AB577" si="96">_xlfn.CONCAT(MONTH(B514),"-",YEAR(B514))</f>
        <v>3-2025</v>
      </c>
      <c r="AC514" t="str">
        <f t="shared" ref="AC514:AC577" si="97">"Q"&amp;ROUNDUP(MONTH(B514)/3,0)&amp;"-"&amp;YEAR(B514)</f>
        <v>Q1-2025</v>
      </c>
      <c r="AD514" t="str">
        <f t="shared" ref="AD514:AD577" si="98">_xlfn.CONCAT(K514," →",L514," →",M514)</f>
        <v>Africa →Nigeria →Lagos</v>
      </c>
      <c r="AE514" t="str">
        <f t="shared" si="88"/>
        <v>Low</v>
      </c>
      <c r="AF514" t="str">
        <f>TEXT(Table1[[#This Row],[OrderDate]],"MMM")</f>
        <v>Mar</v>
      </c>
      <c r="AG514" t="str">
        <f>TEXT(Table1[[#This Row],[OrderDate]],"YYYY")</f>
        <v>2025</v>
      </c>
      <c r="AI514" s="4">
        <f>IF(Table1[[#This Row],[RequiredDate]]&lt;Table1[[#This Row],[OrderDate]], Table1[[#This Row],[OrderDate]]+7, Table1[[#This Row],[RequiredDate]])</f>
        <v>45749</v>
      </c>
      <c r="AJ514">
        <f>IF(Dashboard!$D$3&gt;'Staging Data'!V514,'Staging Data'!V514,Dashboard!D$3)</f>
        <v>7.1999999999999995E-2</v>
      </c>
      <c r="AK514" s="19">
        <f>(100%+Dashboard!$D$4)*'Staging Data'!S514</f>
        <v>272.92650000000003</v>
      </c>
      <c r="AL514">
        <f>(100%+Dashboard!$D$5)*'Staging Data'!W514</f>
        <v>25.299999999999997</v>
      </c>
    </row>
    <row r="515" spans="1:38" x14ac:dyDescent="0.35">
      <c r="A515" s="6" t="s">
        <v>305</v>
      </c>
      <c r="B515" s="4">
        <v>45746</v>
      </c>
      <c r="C515" s="4">
        <v>45754</v>
      </c>
      <c r="D515" s="4">
        <f>IF(Table1[[#This Row],[RequiredDate]]&lt;Table1[[#This Row],[OrderDate]],Table1[[#This Row],[RequiredDate]],Table1[[#This Row],[OrderDate]])</f>
        <v>45746</v>
      </c>
      <c r="E515" s="4">
        <f>IF(Table1[[#This Row],[RequiredDate]]&gt;Table1[[#This Row],[OrderDate]],Table1[[#This Row],[RequiredDate]],Table1[[#This Row],[OrderDate]])</f>
        <v>45754</v>
      </c>
      <c r="F515" s="21">
        <f>Table1[[#This Row],[New RD]]-Table1[[#This Row],[new   od]]</f>
        <v>8</v>
      </c>
      <c r="G515" s="4">
        <f>IF(Table1[[#This Row],[RequiredDate]]&lt;Table1[[#This Row],[OrderDate]], Table1[[#This Row],[OrderDate]]+7, Table1[[#This Row],[RequiredDate]])</f>
        <v>45754</v>
      </c>
      <c r="H515" s="21">
        <f t="shared" si="89"/>
        <v>8</v>
      </c>
      <c r="I515" s="6" t="str">
        <f>IF(Table1[[#This Row],[New LTD]]&lt;=7,"Yes","No")</f>
        <v>No</v>
      </c>
      <c r="J515" s="6" t="str">
        <f t="shared" si="90"/>
        <v>No</v>
      </c>
      <c r="K515" t="s">
        <v>648</v>
      </c>
      <c r="L515" t="s">
        <v>655</v>
      </c>
      <c r="M515" t="s">
        <v>670</v>
      </c>
      <c r="N515" t="s">
        <v>703</v>
      </c>
      <c r="O515" t="s">
        <v>711</v>
      </c>
      <c r="P515" t="s">
        <v>716</v>
      </c>
      <c r="Q515" t="s">
        <v>728</v>
      </c>
      <c r="R515" t="s">
        <v>1025</v>
      </c>
      <c r="S515" s="6">
        <v>71.62</v>
      </c>
      <c r="T515" s="6">
        <v>118.37</v>
      </c>
      <c r="U515" s="6">
        <f t="shared" si="91"/>
        <v>118.37</v>
      </c>
      <c r="V515" s="8">
        <v>0.156</v>
      </c>
      <c r="W515" s="6">
        <v>11</v>
      </c>
      <c r="X515" s="6">
        <f t="shared" si="92"/>
        <v>1098.9470800000001</v>
      </c>
      <c r="Y515">
        <f t="shared" si="93"/>
        <v>787.82</v>
      </c>
      <c r="Z515" s="6">
        <f t="shared" si="94"/>
        <v>311.12708000000009</v>
      </c>
      <c r="AA515">
        <f t="shared" si="95"/>
        <v>0.28311379652603474</v>
      </c>
      <c r="AB515" t="str">
        <f t="shared" si="96"/>
        <v>3-2025</v>
      </c>
      <c r="AC515" t="str">
        <f t="shared" si="97"/>
        <v>Q1-2025</v>
      </c>
      <c r="AD515" t="str">
        <f t="shared" si="98"/>
        <v>Americas →Brazil →São Paulo</v>
      </c>
      <c r="AE515" t="str">
        <f t="shared" si="88"/>
        <v>Low</v>
      </c>
      <c r="AF515" t="str">
        <f>TEXT(Table1[[#This Row],[OrderDate]],"MMM")</f>
        <v>Mar</v>
      </c>
      <c r="AG515" t="str">
        <f>TEXT(Table1[[#This Row],[OrderDate]],"YYYY")</f>
        <v>2025</v>
      </c>
      <c r="AI515" s="4">
        <f>IF(Table1[[#This Row],[RequiredDate]]&lt;Table1[[#This Row],[OrderDate]], Table1[[#This Row],[OrderDate]]+7, Table1[[#This Row],[RequiredDate]])</f>
        <v>45754</v>
      </c>
      <c r="AJ515">
        <f>IF(Dashboard!$D$3&gt;'Staging Data'!V515,'Staging Data'!V515,Dashboard!D$3)</f>
        <v>0.156</v>
      </c>
      <c r="AK515" s="19">
        <f>(100%+Dashboard!$D$4)*'Staging Data'!S515</f>
        <v>75.201000000000008</v>
      </c>
      <c r="AL515">
        <f>(100%+Dashboard!$D$5)*'Staging Data'!W515</f>
        <v>12.649999999999999</v>
      </c>
    </row>
    <row r="516" spans="1:38" x14ac:dyDescent="0.35">
      <c r="A516" s="6" t="s">
        <v>461</v>
      </c>
      <c r="B516" s="4">
        <v>45746</v>
      </c>
      <c r="C516" s="4">
        <v>45776</v>
      </c>
      <c r="D516" s="4">
        <f>IF(Table1[[#This Row],[RequiredDate]]&lt;Table1[[#This Row],[OrderDate]],Table1[[#This Row],[RequiredDate]],Table1[[#This Row],[OrderDate]])</f>
        <v>45746</v>
      </c>
      <c r="E516" s="4">
        <f>IF(Table1[[#This Row],[RequiredDate]]&gt;Table1[[#This Row],[OrderDate]],Table1[[#This Row],[RequiredDate]],Table1[[#This Row],[OrderDate]])</f>
        <v>45776</v>
      </c>
      <c r="F516" s="21">
        <f>Table1[[#This Row],[New RD]]-Table1[[#This Row],[new   od]]</f>
        <v>30</v>
      </c>
      <c r="G516" s="4">
        <f>IF(Table1[[#This Row],[RequiredDate]]&lt;Table1[[#This Row],[OrderDate]], Table1[[#This Row],[OrderDate]]+7, Table1[[#This Row],[RequiredDate]])</f>
        <v>45776</v>
      </c>
      <c r="H516" s="21">
        <f t="shared" si="89"/>
        <v>30</v>
      </c>
      <c r="I516" s="6" t="str">
        <f>IF(Table1[[#This Row],[New LTD]]&lt;=7,"Yes","No")</f>
        <v>No</v>
      </c>
      <c r="J516" s="6" t="str">
        <f t="shared" si="90"/>
        <v>Yes</v>
      </c>
      <c r="K516" t="s">
        <v>646</v>
      </c>
      <c r="L516" t="s">
        <v>661</v>
      </c>
      <c r="M516" t="s">
        <v>687</v>
      </c>
      <c r="N516" t="s">
        <v>704</v>
      </c>
      <c r="O516" t="s">
        <v>709</v>
      </c>
      <c r="P516" t="s">
        <v>713</v>
      </c>
      <c r="Q516" t="s">
        <v>732</v>
      </c>
      <c r="R516" t="s">
        <v>1180</v>
      </c>
      <c r="S516" s="6">
        <v>194.6</v>
      </c>
      <c r="T516" s="6">
        <v>314.87</v>
      </c>
      <c r="U516" s="6">
        <f t="shared" si="91"/>
        <v>314.87</v>
      </c>
      <c r="V516" s="8">
        <v>0.29299999999999998</v>
      </c>
      <c r="W516" s="6">
        <v>25</v>
      </c>
      <c r="X516" s="6">
        <f t="shared" si="92"/>
        <v>5565.3272500000003</v>
      </c>
      <c r="Y516">
        <f t="shared" si="93"/>
        <v>4865</v>
      </c>
      <c r="Z516" s="6">
        <f t="shared" si="94"/>
        <v>700.32725000000028</v>
      </c>
      <c r="AA516">
        <f t="shared" si="95"/>
        <v>0.1258375686712763</v>
      </c>
      <c r="AB516" t="str">
        <f t="shared" si="96"/>
        <v>3-2025</v>
      </c>
      <c r="AC516" t="str">
        <f t="shared" si="97"/>
        <v>Q1-2025</v>
      </c>
      <c r="AD516" t="str">
        <f t="shared" si="98"/>
        <v>Africa →South Africa →Durban</v>
      </c>
      <c r="AE516" t="str">
        <f t="shared" si="88"/>
        <v>Low</v>
      </c>
      <c r="AF516" t="str">
        <f>TEXT(Table1[[#This Row],[OrderDate]],"MMM")</f>
        <v>Mar</v>
      </c>
      <c r="AG516" t="str">
        <f>TEXT(Table1[[#This Row],[OrderDate]],"YYYY")</f>
        <v>2025</v>
      </c>
      <c r="AI516" s="4">
        <f>IF(Table1[[#This Row],[RequiredDate]]&lt;Table1[[#This Row],[OrderDate]], Table1[[#This Row],[OrderDate]]+7, Table1[[#This Row],[RequiredDate]])</f>
        <v>45776</v>
      </c>
      <c r="AJ516">
        <f>IF(Dashboard!$D$3&gt;'Staging Data'!V516,'Staging Data'!V516,Dashboard!D$3)</f>
        <v>0.2</v>
      </c>
      <c r="AK516" s="19">
        <f>(100%+Dashboard!$D$4)*'Staging Data'!S516</f>
        <v>204.33</v>
      </c>
      <c r="AL516">
        <f>(100%+Dashboard!$D$5)*'Staging Data'!W516</f>
        <v>28.749999999999996</v>
      </c>
    </row>
    <row r="517" spans="1:38" x14ac:dyDescent="0.35">
      <c r="A517" s="6" t="s">
        <v>117</v>
      </c>
      <c r="B517" s="4">
        <v>45747</v>
      </c>
      <c r="C517" s="4">
        <v>45751</v>
      </c>
      <c r="D517" s="4">
        <f>IF(Table1[[#This Row],[RequiredDate]]&lt;Table1[[#This Row],[OrderDate]],Table1[[#This Row],[RequiredDate]],Table1[[#This Row],[OrderDate]])</f>
        <v>45747</v>
      </c>
      <c r="E517" s="4">
        <f>IF(Table1[[#This Row],[RequiredDate]]&gt;Table1[[#This Row],[OrderDate]],Table1[[#This Row],[RequiredDate]],Table1[[#This Row],[OrderDate]])</f>
        <v>45751</v>
      </c>
      <c r="F517" s="21">
        <f>Table1[[#This Row],[New RD]]-Table1[[#This Row],[new   od]]</f>
        <v>4</v>
      </c>
      <c r="G517" s="4">
        <f>IF(Table1[[#This Row],[RequiredDate]]&lt;Table1[[#This Row],[OrderDate]], Table1[[#This Row],[OrderDate]]+7, Table1[[#This Row],[RequiredDate]])</f>
        <v>45751</v>
      </c>
      <c r="H517" s="21">
        <f t="shared" si="89"/>
        <v>4</v>
      </c>
      <c r="I517" s="6" t="str">
        <f>IF(Table1[[#This Row],[New LTD]]&lt;=7,"Yes","No")</f>
        <v>Yes</v>
      </c>
      <c r="J517" s="6" t="str">
        <f t="shared" si="90"/>
        <v>No</v>
      </c>
      <c r="K517" t="s">
        <v>646</v>
      </c>
      <c r="L517" t="s">
        <v>650</v>
      </c>
      <c r="M517" t="s">
        <v>678</v>
      </c>
      <c r="N517" t="s">
        <v>701</v>
      </c>
      <c r="O517" t="s">
        <v>711</v>
      </c>
      <c r="P517" t="s">
        <v>712</v>
      </c>
      <c r="Q517" t="s">
        <v>731</v>
      </c>
      <c r="R517" t="s">
        <v>836</v>
      </c>
      <c r="S517" s="6">
        <v>862.08</v>
      </c>
      <c r="T517" s="6">
        <v>1952.83</v>
      </c>
      <c r="U517" s="6">
        <f t="shared" si="91"/>
        <v>1952.83</v>
      </c>
      <c r="V517" s="8">
        <v>0</v>
      </c>
      <c r="W517" s="6">
        <v>7</v>
      </c>
      <c r="X517" s="6">
        <f t="shared" si="92"/>
        <v>13669.81</v>
      </c>
      <c r="Y517">
        <f t="shared" si="93"/>
        <v>6034.56</v>
      </c>
      <c r="Z517" s="6">
        <f t="shared" si="94"/>
        <v>7635.2499999999991</v>
      </c>
      <c r="AA517">
        <f t="shared" si="95"/>
        <v>0.5585483631447693</v>
      </c>
      <c r="AB517" t="str">
        <f t="shared" si="96"/>
        <v>3-2025</v>
      </c>
      <c r="AC517" t="str">
        <f t="shared" si="97"/>
        <v>Q1-2025</v>
      </c>
      <c r="AD517" t="str">
        <f t="shared" si="98"/>
        <v>Africa →Kenya →Nakuru</v>
      </c>
      <c r="AE517" t="str">
        <f t="shared" si="88"/>
        <v>High</v>
      </c>
      <c r="AF517" t="str">
        <f>TEXT(Table1[[#This Row],[OrderDate]],"MMM")</f>
        <v>Mar</v>
      </c>
      <c r="AG517" t="str">
        <f>TEXT(Table1[[#This Row],[OrderDate]],"YYYY")</f>
        <v>2025</v>
      </c>
      <c r="AI517" s="4">
        <f>IF(Table1[[#This Row],[RequiredDate]]&lt;Table1[[#This Row],[OrderDate]], Table1[[#This Row],[OrderDate]]+7, Table1[[#This Row],[RequiredDate]])</f>
        <v>45751</v>
      </c>
      <c r="AJ517">
        <f>IF(Dashboard!$D$3&gt;'Staging Data'!V517,'Staging Data'!V517,Dashboard!D$3)</f>
        <v>0</v>
      </c>
      <c r="AK517" s="19">
        <f>(100%+Dashboard!$D$4)*'Staging Data'!S517</f>
        <v>905.18400000000008</v>
      </c>
      <c r="AL517">
        <f>(100%+Dashboard!$D$5)*'Staging Data'!W517</f>
        <v>8.0499999999999989</v>
      </c>
    </row>
    <row r="518" spans="1:38" x14ac:dyDescent="0.35">
      <c r="A518" s="6" t="s">
        <v>332</v>
      </c>
      <c r="B518" s="4">
        <v>45748</v>
      </c>
      <c r="C518" s="4">
        <v>45774</v>
      </c>
      <c r="D518" s="4">
        <f>IF(Table1[[#This Row],[RequiredDate]]&lt;Table1[[#This Row],[OrderDate]],Table1[[#This Row],[RequiredDate]],Table1[[#This Row],[OrderDate]])</f>
        <v>45748</v>
      </c>
      <c r="E518" s="4">
        <f>IF(Table1[[#This Row],[RequiredDate]]&gt;Table1[[#This Row],[OrderDate]],Table1[[#This Row],[RequiredDate]],Table1[[#This Row],[OrderDate]])</f>
        <v>45774</v>
      </c>
      <c r="F518" s="21">
        <f>Table1[[#This Row],[New RD]]-Table1[[#This Row],[new   od]]</f>
        <v>26</v>
      </c>
      <c r="G518" s="4">
        <f>IF(Table1[[#This Row],[RequiredDate]]&lt;Table1[[#This Row],[OrderDate]], Table1[[#This Row],[OrderDate]]+7, Table1[[#This Row],[RequiredDate]])</f>
        <v>45774</v>
      </c>
      <c r="H518" s="21">
        <f t="shared" si="89"/>
        <v>26</v>
      </c>
      <c r="I518" s="6" t="str">
        <f>IF(Table1[[#This Row],[New LTD]]&lt;=7,"Yes","No")</f>
        <v>No</v>
      </c>
      <c r="J518" s="6" t="str">
        <f t="shared" si="90"/>
        <v>No</v>
      </c>
      <c r="K518" t="s">
        <v>648</v>
      </c>
      <c r="L518" t="s">
        <v>660</v>
      </c>
      <c r="M518" t="s">
        <v>686</v>
      </c>
      <c r="N518" t="s">
        <v>701</v>
      </c>
      <c r="O518" t="s">
        <v>711</v>
      </c>
      <c r="P518" t="s">
        <v>714</v>
      </c>
      <c r="Q518" t="s">
        <v>732</v>
      </c>
      <c r="R518" t="s">
        <v>1052</v>
      </c>
      <c r="S518" s="6">
        <v>156.55000000000001</v>
      </c>
      <c r="T518" s="6">
        <v>227.45</v>
      </c>
      <c r="U518" s="6">
        <f t="shared" si="91"/>
        <v>227.45</v>
      </c>
      <c r="V518" s="8">
        <v>1.4E-2</v>
      </c>
      <c r="W518" s="6">
        <v>13</v>
      </c>
      <c r="X518" s="6">
        <f t="shared" si="92"/>
        <v>2915.4540999999999</v>
      </c>
      <c r="Y518">
        <f t="shared" si="93"/>
        <v>2035.15</v>
      </c>
      <c r="Z518" s="6">
        <f t="shared" si="94"/>
        <v>880.30409999999983</v>
      </c>
      <c r="AA518">
        <f t="shared" si="95"/>
        <v>0.3019440779396938</v>
      </c>
      <c r="AB518" t="str">
        <f t="shared" si="96"/>
        <v>4-2025</v>
      </c>
      <c r="AC518" t="str">
        <f t="shared" si="97"/>
        <v>Q2-2025</v>
      </c>
      <c r="AD518" t="str">
        <f t="shared" si="98"/>
        <v>Americas →USA →San Francisco</v>
      </c>
      <c r="AE518" t="str">
        <f t="shared" si="88"/>
        <v>Low</v>
      </c>
      <c r="AF518" t="str">
        <f>TEXT(Table1[[#This Row],[OrderDate]],"MMM")</f>
        <v>Apr</v>
      </c>
      <c r="AG518" t="str">
        <f>TEXT(Table1[[#This Row],[OrderDate]],"YYYY")</f>
        <v>2025</v>
      </c>
      <c r="AI518" s="4">
        <f>IF(Table1[[#This Row],[RequiredDate]]&lt;Table1[[#This Row],[OrderDate]], Table1[[#This Row],[OrderDate]]+7, Table1[[#This Row],[RequiredDate]])</f>
        <v>45774</v>
      </c>
      <c r="AJ518">
        <f>IF(Dashboard!$D$3&gt;'Staging Data'!V518,'Staging Data'!V518,Dashboard!D$3)</f>
        <v>1.4E-2</v>
      </c>
      <c r="AK518" s="19">
        <f>(100%+Dashboard!$D$4)*'Staging Data'!S518</f>
        <v>164.37750000000003</v>
      </c>
      <c r="AL518">
        <f>(100%+Dashboard!$D$5)*'Staging Data'!W518</f>
        <v>14.95</v>
      </c>
    </row>
    <row r="519" spans="1:38" x14ac:dyDescent="0.35">
      <c r="A519" s="6" t="s">
        <v>300</v>
      </c>
      <c r="B519" s="4">
        <v>45751</v>
      </c>
      <c r="C519" s="4">
        <v>45760</v>
      </c>
      <c r="D519" s="4">
        <f>IF(Table1[[#This Row],[RequiredDate]]&lt;Table1[[#This Row],[OrderDate]],Table1[[#This Row],[RequiredDate]],Table1[[#This Row],[OrderDate]])</f>
        <v>45751</v>
      </c>
      <c r="E519" s="4">
        <f>IF(Table1[[#This Row],[RequiredDate]]&gt;Table1[[#This Row],[OrderDate]],Table1[[#This Row],[RequiredDate]],Table1[[#This Row],[OrderDate]])</f>
        <v>45760</v>
      </c>
      <c r="F519" s="21">
        <f>Table1[[#This Row],[New RD]]-Table1[[#This Row],[new   od]]</f>
        <v>9</v>
      </c>
      <c r="G519" s="4">
        <f>IF(Table1[[#This Row],[RequiredDate]]&lt;Table1[[#This Row],[OrderDate]], Table1[[#This Row],[OrderDate]]+7, Table1[[#This Row],[RequiredDate]])</f>
        <v>45760</v>
      </c>
      <c r="H519" s="21">
        <f t="shared" si="89"/>
        <v>9</v>
      </c>
      <c r="I519" s="6" t="str">
        <f>IF(Table1[[#This Row],[New LTD]]&lt;=7,"Yes","No")</f>
        <v>No</v>
      </c>
      <c r="J519" s="6" t="str">
        <f t="shared" si="90"/>
        <v>No</v>
      </c>
      <c r="K519" t="s">
        <v>649</v>
      </c>
      <c r="L519" t="s">
        <v>656</v>
      </c>
      <c r="M519" t="s">
        <v>684</v>
      </c>
      <c r="N519" t="s">
        <v>704</v>
      </c>
      <c r="O519" t="s">
        <v>709</v>
      </c>
      <c r="P519" t="s">
        <v>721</v>
      </c>
      <c r="Q519" t="s">
        <v>730</v>
      </c>
      <c r="R519" t="s">
        <v>1020</v>
      </c>
      <c r="S519" s="6">
        <v>7.02</v>
      </c>
      <c r="T519" s="6">
        <v>6.28</v>
      </c>
      <c r="U519" s="6">
        <f t="shared" si="91"/>
        <v>6.28</v>
      </c>
      <c r="V519" s="8">
        <v>0.13400000000000001</v>
      </c>
      <c r="W519" s="6">
        <v>14</v>
      </c>
      <c r="X519" s="6">
        <f t="shared" si="92"/>
        <v>76.138720000000006</v>
      </c>
      <c r="Y519">
        <f t="shared" si="93"/>
        <v>98.28</v>
      </c>
      <c r="Z519" s="6">
        <f t="shared" si="94"/>
        <v>-22.141279999999995</v>
      </c>
      <c r="AA519">
        <f t="shared" si="95"/>
        <v>-0.29080184169106066</v>
      </c>
      <c r="AB519" t="str">
        <f t="shared" si="96"/>
        <v>4-2025</v>
      </c>
      <c r="AC519" t="str">
        <f t="shared" si="97"/>
        <v>Q2-2025</v>
      </c>
      <c r="AD519" t="str">
        <f t="shared" si="98"/>
        <v>Europe →Germany →Munich</v>
      </c>
      <c r="AE519" t="str">
        <f t="shared" si="88"/>
        <v>Low</v>
      </c>
      <c r="AF519" t="str">
        <f>TEXT(Table1[[#This Row],[OrderDate]],"MMM")</f>
        <v>Apr</v>
      </c>
      <c r="AG519" t="str">
        <f>TEXT(Table1[[#This Row],[OrderDate]],"YYYY")</f>
        <v>2025</v>
      </c>
      <c r="AI519" s="4">
        <f>IF(Table1[[#This Row],[RequiredDate]]&lt;Table1[[#This Row],[OrderDate]], Table1[[#This Row],[OrderDate]]+7, Table1[[#This Row],[RequiredDate]])</f>
        <v>45760</v>
      </c>
      <c r="AJ519">
        <f>IF(Dashboard!$D$3&gt;'Staging Data'!V519,'Staging Data'!V519,Dashboard!D$3)</f>
        <v>0.13400000000000001</v>
      </c>
      <c r="AK519" s="19">
        <f>(100%+Dashboard!$D$4)*'Staging Data'!S519</f>
        <v>7.3709999999999996</v>
      </c>
      <c r="AL519">
        <f>(100%+Dashboard!$D$5)*'Staging Data'!W519</f>
        <v>16.099999999999998</v>
      </c>
    </row>
    <row r="520" spans="1:38" x14ac:dyDescent="0.35">
      <c r="A520" s="6" t="s">
        <v>387</v>
      </c>
      <c r="B520" s="4">
        <v>45751</v>
      </c>
      <c r="C520" s="4">
        <v>45757</v>
      </c>
      <c r="D520" s="4">
        <f>IF(Table1[[#This Row],[RequiredDate]]&lt;Table1[[#This Row],[OrderDate]],Table1[[#This Row],[RequiredDate]],Table1[[#This Row],[OrderDate]])</f>
        <v>45751</v>
      </c>
      <c r="E520" s="4">
        <f>IF(Table1[[#This Row],[RequiredDate]]&gt;Table1[[#This Row],[OrderDate]],Table1[[#This Row],[RequiredDate]],Table1[[#This Row],[OrderDate]])</f>
        <v>45757</v>
      </c>
      <c r="F520" s="21">
        <f>Table1[[#This Row],[New RD]]-Table1[[#This Row],[new   od]]</f>
        <v>6</v>
      </c>
      <c r="G520" s="4">
        <f>IF(Table1[[#This Row],[RequiredDate]]&lt;Table1[[#This Row],[OrderDate]], Table1[[#This Row],[OrderDate]]+7, Table1[[#This Row],[RequiredDate]])</f>
        <v>45757</v>
      </c>
      <c r="H520" s="21">
        <f t="shared" si="89"/>
        <v>6</v>
      </c>
      <c r="I520" s="6" t="str">
        <f>IF(Table1[[#This Row],[New LTD]]&lt;=7,"Yes","No")</f>
        <v>Yes</v>
      </c>
      <c r="J520" s="6" t="str">
        <f t="shared" si="90"/>
        <v>No</v>
      </c>
      <c r="K520" t="s">
        <v>649</v>
      </c>
      <c r="L520" t="s">
        <v>658</v>
      </c>
      <c r="M520" t="s">
        <v>674</v>
      </c>
      <c r="N520" t="s">
        <v>703</v>
      </c>
      <c r="O520" t="s">
        <v>711</v>
      </c>
      <c r="P520" t="s">
        <v>725</v>
      </c>
      <c r="Q520" t="s">
        <v>728</v>
      </c>
      <c r="R520" t="s">
        <v>1107</v>
      </c>
      <c r="S520" s="6">
        <v>290.14</v>
      </c>
      <c r="T520" s="6">
        <v>250.73</v>
      </c>
      <c r="U520" s="6">
        <f t="shared" si="91"/>
        <v>250.73</v>
      </c>
      <c r="V520" s="8">
        <v>3.4000000000000002E-2</v>
      </c>
      <c r="W520" s="6">
        <v>17</v>
      </c>
      <c r="X520" s="6">
        <f t="shared" si="92"/>
        <v>4117.4880599999997</v>
      </c>
      <c r="Y520">
        <f t="shared" si="93"/>
        <v>4932.38</v>
      </c>
      <c r="Z520" s="6">
        <f t="shared" si="94"/>
        <v>-814.89194000000043</v>
      </c>
      <c r="AA520">
        <f t="shared" si="95"/>
        <v>-0.19790997038131072</v>
      </c>
      <c r="AB520" t="str">
        <f t="shared" si="96"/>
        <v>4-2025</v>
      </c>
      <c r="AC520" t="str">
        <f t="shared" si="97"/>
        <v>Q2-2025</v>
      </c>
      <c r="AD520" t="str">
        <f t="shared" si="98"/>
        <v>Europe →United Kingdom →Birmingham</v>
      </c>
      <c r="AE520" t="str">
        <f t="shared" si="88"/>
        <v>Low</v>
      </c>
      <c r="AF520" t="str">
        <f>TEXT(Table1[[#This Row],[OrderDate]],"MMM")</f>
        <v>Apr</v>
      </c>
      <c r="AG520" t="str">
        <f>TEXT(Table1[[#This Row],[OrderDate]],"YYYY")</f>
        <v>2025</v>
      </c>
      <c r="AI520" s="4">
        <f>IF(Table1[[#This Row],[RequiredDate]]&lt;Table1[[#This Row],[OrderDate]], Table1[[#This Row],[OrderDate]]+7, Table1[[#This Row],[RequiredDate]])</f>
        <v>45757</v>
      </c>
      <c r="AJ520">
        <f>IF(Dashboard!$D$3&gt;'Staging Data'!V520,'Staging Data'!V520,Dashboard!D$3)</f>
        <v>3.4000000000000002E-2</v>
      </c>
      <c r="AK520" s="19">
        <f>(100%+Dashboard!$D$4)*'Staging Data'!S520</f>
        <v>304.64699999999999</v>
      </c>
      <c r="AL520">
        <f>(100%+Dashboard!$D$5)*'Staging Data'!W520</f>
        <v>19.549999999999997</v>
      </c>
    </row>
    <row r="521" spans="1:38" x14ac:dyDescent="0.35">
      <c r="A521" s="6" t="s">
        <v>70</v>
      </c>
      <c r="B521" s="4">
        <v>45753</v>
      </c>
      <c r="C521" s="4">
        <v>45777</v>
      </c>
      <c r="D521" s="4">
        <f>IF(Table1[[#This Row],[RequiredDate]]&lt;Table1[[#This Row],[OrderDate]],Table1[[#This Row],[RequiredDate]],Table1[[#This Row],[OrderDate]])</f>
        <v>45753</v>
      </c>
      <c r="E521" s="4">
        <f>IF(Table1[[#This Row],[RequiredDate]]&gt;Table1[[#This Row],[OrderDate]],Table1[[#This Row],[RequiredDate]],Table1[[#This Row],[OrderDate]])</f>
        <v>45777</v>
      </c>
      <c r="F521" s="21">
        <f>Table1[[#This Row],[New RD]]-Table1[[#This Row],[new   od]]</f>
        <v>24</v>
      </c>
      <c r="G521" s="4">
        <f>IF(Table1[[#This Row],[RequiredDate]]&lt;Table1[[#This Row],[OrderDate]], Table1[[#This Row],[OrderDate]]+7, Table1[[#This Row],[RequiredDate]])</f>
        <v>45777</v>
      </c>
      <c r="H521" s="21">
        <f t="shared" si="89"/>
        <v>24</v>
      </c>
      <c r="I521" s="6" t="str">
        <f>IF(Table1[[#This Row],[New LTD]]&lt;=7,"Yes","No")</f>
        <v>No</v>
      </c>
      <c r="J521" s="6" t="str">
        <f t="shared" si="90"/>
        <v>No</v>
      </c>
      <c r="K521" t="s">
        <v>648</v>
      </c>
      <c r="L521" t="s">
        <v>655</v>
      </c>
      <c r="M521" t="s">
        <v>672</v>
      </c>
      <c r="N521" t="s">
        <v>702</v>
      </c>
      <c r="O521" t="s">
        <v>708</v>
      </c>
      <c r="P521" t="s">
        <v>723</v>
      </c>
      <c r="Q521" t="s">
        <v>732</v>
      </c>
      <c r="R521" t="s">
        <v>789</v>
      </c>
      <c r="S521" s="6">
        <v>855.78</v>
      </c>
      <c r="T521" s="6">
        <v>977.38</v>
      </c>
      <c r="U521" s="6">
        <f t="shared" si="91"/>
        <v>977.38</v>
      </c>
      <c r="V521" s="8">
        <v>0.14699999999999999</v>
      </c>
      <c r="W521" s="6">
        <v>38</v>
      </c>
      <c r="X521" s="6">
        <f t="shared" si="92"/>
        <v>31680.795320000001</v>
      </c>
      <c r="Y521">
        <f t="shared" si="93"/>
        <v>32519.64</v>
      </c>
      <c r="Z521" s="6">
        <f t="shared" si="94"/>
        <v>-838.84467999999833</v>
      </c>
      <c r="AA521">
        <f t="shared" si="95"/>
        <v>-2.6478018355506307E-2</v>
      </c>
      <c r="AB521" t="str">
        <f t="shared" si="96"/>
        <v>4-2025</v>
      </c>
      <c r="AC521" t="str">
        <f t="shared" si="97"/>
        <v>Q2-2025</v>
      </c>
      <c r="AD521" t="str">
        <f t="shared" si="98"/>
        <v>Americas →Brazil →Brasília</v>
      </c>
      <c r="AE521" t="str">
        <f t="shared" si="88"/>
        <v>Medium</v>
      </c>
      <c r="AF521" t="str">
        <f>TEXT(Table1[[#This Row],[OrderDate]],"MMM")</f>
        <v>Apr</v>
      </c>
      <c r="AG521" t="str">
        <f>TEXT(Table1[[#This Row],[OrderDate]],"YYYY")</f>
        <v>2025</v>
      </c>
      <c r="AI521" s="4">
        <f>IF(Table1[[#This Row],[RequiredDate]]&lt;Table1[[#This Row],[OrderDate]], Table1[[#This Row],[OrderDate]]+7, Table1[[#This Row],[RequiredDate]])</f>
        <v>45777</v>
      </c>
      <c r="AJ521">
        <f>IF(Dashboard!$D$3&gt;'Staging Data'!V521,'Staging Data'!V521,Dashboard!D$3)</f>
        <v>0.14699999999999999</v>
      </c>
      <c r="AK521" s="19">
        <f>(100%+Dashboard!$D$4)*'Staging Data'!S521</f>
        <v>898.56899999999996</v>
      </c>
      <c r="AL521">
        <f>(100%+Dashboard!$D$5)*'Staging Data'!W521</f>
        <v>43.699999999999996</v>
      </c>
    </row>
    <row r="522" spans="1:38" x14ac:dyDescent="0.35">
      <c r="A522" s="6" t="s">
        <v>44</v>
      </c>
      <c r="B522" s="4">
        <v>45754</v>
      </c>
      <c r="C522" s="4">
        <v>45758</v>
      </c>
      <c r="D522" s="4">
        <f>IF(Table1[[#This Row],[RequiredDate]]&lt;Table1[[#This Row],[OrderDate]],Table1[[#This Row],[RequiredDate]],Table1[[#This Row],[OrderDate]])</f>
        <v>45754</v>
      </c>
      <c r="E522" s="4">
        <f>IF(Table1[[#This Row],[RequiredDate]]&gt;Table1[[#This Row],[OrderDate]],Table1[[#This Row],[RequiredDate]],Table1[[#This Row],[OrderDate]])</f>
        <v>45758</v>
      </c>
      <c r="F522" s="21">
        <f>Table1[[#This Row],[New RD]]-Table1[[#This Row],[new   od]]</f>
        <v>4</v>
      </c>
      <c r="G522" s="4">
        <f>IF(Table1[[#This Row],[RequiredDate]]&lt;Table1[[#This Row],[OrderDate]], Table1[[#This Row],[OrderDate]]+7, Table1[[#This Row],[RequiredDate]])</f>
        <v>45758</v>
      </c>
      <c r="H522" s="21">
        <f t="shared" si="89"/>
        <v>4</v>
      </c>
      <c r="I522" s="6" t="str">
        <f>IF(Table1[[#This Row],[New LTD]]&lt;=7,"Yes","No")</f>
        <v>Yes</v>
      </c>
      <c r="J522" s="6" t="str">
        <f t="shared" si="90"/>
        <v>No</v>
      </c>
      <c r="K522" t="s">
        <v>649</v>
      </c>
      <c r="L522" t="s">
        <v>657</v>
      </c>
      <c r="M522" t="s">
        <v>679</v>
      </c>
      <c r="N522" t="s">
        <v>702</v>
      </c>
      <c r="O522" t="s">
        <v>707</v>
      </c>
      <c r="P522" t="s">
        <v>718</v>
      </c>
      <c r="Q522" t="s">
        <v>729</v>
      </c>
      <c r="R522" t="s">
        <v>763</v>
      </c>
      <c r="S522" s="6">
        <v>754.77</v>
      </c>
      <c r="T522" s="6">
        <v>1666.18</v>
      </c>
      <c r="U522" s="6">
        <f t="shared" si="91"/>
        <v>1666.18</v>
      </c>
      <c r="V522" s="8">
        <v>0.13900000000000001</v>
      </c>
      <c r="W522" s="6">
        <v>14</v>
      </c>
      <c r="X522" s="6">
        <f t="shared" si="92"/>
        <v>20084.133720000002</v>
      </c>
      <c r="Y522">
        <f t="shared" si="93"/>
        <v>10566.779999999999</v>
      </c>
      <c r="Z522" s="6">
        <f t="shared" si="94"/>
        <v>9517.3537200000028</v>
      </c>
      <c r="AA522">
        <f t="shared" si="95"/>
        <v>0.47387424584424653</v>
      </c>
      <c r="AB522" t="str">
        <f t="shared" si="96"/>
        <v>4-2025</v>
      </c>
      <c r="AC522" t="str">
        <f t="shared" si="97"/>
        <v>Q2-2025</v>
      </c>
      <c r="AD522" t="str">
        <f t="shared" si="98"/>
        <v>Europe →France →Lyon</v>
      </c>
      <c r="AE522" t="str">
        <f t="shared" si="88"/>
        <v>High</v>
      </c>
      <c r="AF522" t="str">
        <f>TEXT(Table1[[#This Row],[OrderDate]],"MMM")</f>
        <v>Apr</v>
      </c>
      <c r="AG522" t="str">
        <f>TEXT(Table1[[#This Row],[OrderDate]],"YYYY")</f>
        <v>2025</v>
      </c>
      <c r="AI522" s="4">
        <f>IF(Table1[[#This Row],[RequiredDate]]&lt;Table1[[#This Row],[OrderDate]], Table1[[#This Row],[OrderDate]]+7, Table1[[#This Row],[RequiredDate]])</f>
        <v>45758</v>
      </c>
      <c r="AJ522">
        <f>IF(Dashboard!$D$3&gt;'Staging Data'!V522,'Staging Data'!V522,Dashboard!D$3)</f>
        <v>0.13900000000000001</v>
      </c>
      <c r="AK522" s="19">
        <f>(100%+Dashboard!$D$4)*'Staging Data'!S522</f>
        <v>792.50850000000003</v>
      </c>
      <c r="AL522">
        <f>(100%+Dashboard!$D$5)*'Staging Data'!W522</f>
        <v>16.099999999999998</v>
      </c>
    </row>
    <row r="523" spans="1:38" x14ac:dyDescent="0.35">
      <c r="A523" s="6" t="s">
        <v>86</v>
      </c>
      <c r="B523" s="4">
        <v>45756</v>
      </c>
      <c r="C523" s="4">
        <v>45783</v>
      </c>
      <c r="D523" s="4">
        <f>IF(Table1[[#This Row],[RequiredDate]]&lt;Table1[[#This Row],[OrderDate]],Table1[[#This Row],[RequiredDate]],Table1[[#This Row],[OrderDate]])</f>
        <v>45756</v>
      </c>
      <c r="E523" s="4">
        <f>IF(Table1[[#This Row],[RequiredDate]]&gt;Table1[[#This Row],[OrderDate]],Table1[[#This Row],[RequiredDate]],Table1[[#This Row],[OrderDate]])</f>
        <v>45783</v>
      </c>
      <c r="F523" s="21">
        <f>Table1[[#This Row],[New RD]]-Table1[[#This Row],[new   od]]</f>
        <v>27</v>
      </c>
      <c r="G523" s="4">
        <f>IF(Table1[[#This Row],[RequiredDate]]&lt;Table1[[#This Row],[OrderDate]], Table1[[#This Row],[OrderDate]]+7, Table1[[#This Row],[RequiredDate]])</f>
        <v>45783</v>
      </c>
      <c r="H523" s="21">
        <f t="shared" si="89"/>
        <v>27</v>
      </c>
      <c r="I523" s="6" t="str">
        <f>IF(Table1[[#This Row],[New LTD]]&lt;=7,"Yes","No")</f>
        <v>No</v>
      </c>
      <c r="J523" s="6" t="str">
        <f t="shared" si="90"/>
        <v>No</v>
      </c>
      <c r="K523" t="s">
        <v>648</v>
      </c>
      <c r="L523" t="s">
        <v>655</v>
      </c>
      <c r="M523" t="s">
        <v>672</v>
      </c>
      <c r="N523" t="s">
        <v>706</v>
      </c>
      <c r="O523" t="s">
        <v>709</v>
      </c>
      <c r="P523" t="s">
        <v>721</v>
      </c>
      <c r="Q523" t="s">
        <v>731</v>
      </c>
      <c r="R523" t="s">
        <v>805</v>
      </c>
      <c r="S523" s="6">
        <v>264.19</v>
      </c>
      <c r="T523" s="6">
        <v>620.92999999999995</v>
      </c>
      <c r="U523" s="6">
        <f t="shared" si="91"/>
        <v>620.92999999999995</v>
      </c>
      <c r="V523" s="8">
        <v>0.14199999999999999</v>
      </c>
      <c r="W523" s="6">
        <v>12</v>
      </c>
      <c r="X523" s="6">
        <f t="shared" si="92"/>
        <v>6393.0952799999995</v>
      </c>
      <c r="Y523">
        <f t="shared" si="93"/>
        <v>3170.2799999999997</v>
      </c>
      <c r="Z523" s="6">
        <f t="shared" si="94"/>
        <v>3222.8152799999998</v>
      </c>
      <c r="AA523">
        <f t="shared" si="95"/>
        <v>0.50410875152794532</v>
      </c>
      <c r="AB523" t="str">
        <f t="shared" si="96"/>
        <v>4-2025</v>
      </c>
      <c r="AC523" t="str">
        <f t="shared" si="97"/>
        <v>Q2-2025</v>
      </c>
      <c r="AD523" t="str">
        <f t="shared" si="98"/>
        <v>Americas →Brazil →Brasília</v>
      </c>
      <c r="AE523" t="str">
        <f t="shared" si="88"/>
        <v>Low</v>
      </c>
      <c r="AF523" t="str">
        <f>TEXT(Table1[[#This Row],[OrderDate]],"MMM")</f>
        <v>Apr</v>
      </c>
      <c r="AG523" t="str">
        <f>TEXT(Table1[[#This Row],[OrderDate]],"YYYY")</f>
        <v>2025</v>
      </c>
      <c r="AI523" s="4">
        <f>IF(Table1[[#This Row],[RequiredDate]]&lt;Table1[[#This Row],[OrderDate]], Table1[[#This Row],[OrderDate]]+7, Table1[[#This Row],[RequiredDate]])</f>
        <v>45783</v>
      </c>
      <c r="AJ523">
        <f>IF(Dashboard!$D$3&gt;'Staging Data'!V523,'Staging Data'!V523,Dashboard!D$3)</f>
        <v>0.14199999999999999</v>
      </c>
      <c r="AK523" s="19">
        <f>(100%+Dashboard!$D$4)*'Staging Data'!S523</f>
        <v>277.39949999999999</v>
      </c>
      <c r="AL523">
        <f>(100%+Dashboard!$D$5)*'Staging Data'!W523</f>
        <v>13.799999999999999</v>
      </c>
    </row>
    <row r="524" spans="1:38" x14ac:dyDescent="0.35">
      <c r="A524" s="6" t="s">
        <v>319</v>
      </c>
      <c r="B524" s="4">
        <v>45756</v>
      </c>
      <c r="C524" s="4">
        <v>45759</v>
      </c>
      <c r="D524" s="4">
        <f>IF(Table1[[#This Row],[RequiredDate]]&lt;Table1[[#This Row],[OrderDate]],Table1[[#This Row],[RequiredDate]],Table1[[#This Row],[OrderDate]])</f>
        <v>45756</v>
      </c>
      <c r="E524" s="4">
        <f>IF(Table1[[#This Row],[RequiredDate]]&gt;Table1[[#This Row],[OrderDate]],Table1[[#This Row],[RequiredDate]],Table1[[#This Row],[OrderDate]])</f>
        <v>45759</v>
      </c>
      <c r="F524" s="21">
        <f>Table1[[#This Row],[New RD]]-Table1[[#This Row],[new   od]]</f>
        <v>3</v>
      </c>
      <c r="G524" s="4">
        <f>IF(Table1[[#This Row],[RequiredDate]]&lt;Table1[[#This Row],[OrderDate]], Table1[[#This Row],[OrderDate]]+7, Table1[[#This Row],[RequiredDate]])</f>
        <v>45759</v>
      </c>
      <c r="H524" s="21">
        <f t="shared" si="89"/>
        <v>3</v>
      </c>
      <c r="I524" s="6" t="str">
        <f>IF(Table1[[#This Row],[New LTD]]&lt;=7,"Yes","No")</f>
        <v>Yes</v>
      </c>
      <c r="J524" s="6" t="str">
        <f t="shared" si="90"/>
        <v>No</v>
      </c>
      <c r="K524" t="s">
        <v>649</v>
      </c>
      <c r="L524" t="s">
        <v>657</v>
      </c>
      <c r="M524" t="s">
        <v>679</v>
      </c>
      <c r="N524" t="s">
        <v>705</v>
      </c>
      <c r="O524" t="s">
        <v>710</v>
      </c>
      <c r="P524" t="s">
        <v>722</v>
      </c>
      <c r="Q524" t="s">
        <v>732</v>
      </c>
      <c r="R524" t="s">
        <v>1039</v>
      </c>
      <c r="S524" s="6">
        <v>86.68</v>
      </c>
      <c r="T524" s="6">
        <v>213.32</v>
      </c>
      <c r="U524" s="6">
        <f t="shared" si="91"/>
        <v>213.32</v>
      </c>
      <c r="V524" s="8">
        <v>3.7999999999999999E-2</v>
      </c>
      <c r="W524" s="6">
        <v>8</v>
      </c>
      <c r="X524" s="6">
        <f t="shared" si="92"/>
        <v>1641.7107199999998</v>
      </c>
      <c r="Y524">
        <f t="shared" si="93"/>
        <v>693.44</v>
      </c>
      <c r="Z524" s="6">
        <f t="shared" si="94"/>
        <v>948.27071999999976</v>
      </c>
      <c r="AA524">
        <f t="shared" si="95"/>
        <v>0.57761133459614611</v>
      </c>
      <c r="AB524" t="str">
        <f t="shared" si="96"/>
        <v>4-2025</v>
      </c>
      <c r="AC524" t="str">
        <f t="shared" si="97"/>
        <v>Q2-2025</v>
      </c>
      <c r="AD524" t="str">
        <f t="shared" si="98"/>
        <v>Europe →France →Lyon</v>
      </c>
      <c r="AE524" t="str">
        <f t="shared" si="88"/>
        <v>Low</v>
      </c>
      <c r="AF524" t="str">
        <f>TEXT(Table1[[#This Row],[OrderDate]],"MMM")</f>
        <v>Apr</v>
      </c>
      <c r="AG524" t="str">
        <f>TEXT(Table1[[#This Row],[OrderDate]],"YYYY")</f>
        <v>2025</v>
      </c>
      <c r="AI524" s="4">
        <f>IF(Table1[[#This Row],[RequiredDate]]&lt;Table1[[#This Row],[OrderDate]], Table1[[#This Row],[OrderDate]]+7, Table1[[#This Row],[RequiredDate]])</f>
        <v>45759</v>
      </c>
      <c r="AJ524">
        <f>IF(Dashboard!$D$3&gt;'Staging Data'!V524,'Staging Data'!V524,Dashboard!D$3)</f>
        <v>3.7999999999999999E-2</v>
      </c>
      <c r="AK524" s="19">
        <f>(100%+Dashboard!$D$4)*'Staging Data'!S524</f>
        <v>91.01400000000001</v>
      </c>
      <c r="AL524">
        <f>(100%+Dashboard!$D$5)*'Staging Data'!W524</f>
        <v>9.1999999999999993</v>
      </c>
    </row>
    <row r="525" spans="1:38" x14ac:dyDescent="0.35">
      <c r="A525" s="6" t="s">
        <v>477</v>
      </c>
      <c r="B525" s="4">
        <v>45757</v>
      </c>
      <c r="C525" s="4">
        <v>45766</v>
      </c>
      <c r="D525" s="4">
        <f>IF(Table1[[#This Row],[RequiredDate]]&lt;Table1[[#This Row],[OrderDate]],Table1[[#This Row],[RequiredDate]],Table1[[#This Row],[OrderDate]])</f>
        <v>45757</v>
      </c>
      <c r="E525" s="4">
        <f>IF(Table1[[#This Row],[RequiredDate]]&gt;Table1[[#This Row],[OrderDate]],Table1[[#This Row],[RequiredDate]],Table1[[#This Row],[OrderDate]])</f>
        <v>45766</v>
      </c>
      <c r="F525" s="21">
        <f>Table1[[#This Row],[New RD]]-Table1[[#This Row],[new   od]]</f>
        <v>9</v>
      </c>
      <c r="G525" s="4">
        <f>IF(Table1[[#This Row],[RequiredDate]]&lt;Table1[[#This Row],[OrderDate]], Table1[[#This Row],[OrderDate]]+7, Table1[[#This Row],[RequiredDate]])</f>
        <v>45766</v>
      </c>
      <c r="H525" s="21">
        <f t="shared" si="89"/>
        <v>9</v>
      </c>
      <c r="I525" s="6" t="str">
        <f>IF(Table1[[#This Row],[New LTD]]&lt;=7,"Yes","No")</f>
        <v>No</v>
      </c>
      <c r="J525" s="6" t="str">
        <f t="shared" si="90"/>
        <v>No</v>
      </c>
      <c r="K525" t="s">
        <v>646</v>
      </c>
      <c r="L525" t="s">
        <v>661</v>
      </c>
      <c r="M525" t="s">
        <v>687</v>
      </c>
      <c r="N525" t="s">
        <v>706</v>
      </c>
      <c r="O525" t="s">
        <v>1423</v>
      </c>
      <c r="P525" t="s">
        <v>715</v>
      </c>
      <c r="Q525" t="s">
        <v>729</v>
      </c>
      <c r="R525" t="s">
        <v>1196</v>
      </c>
      <c r="S525" s="6">
        <v>113.74</v>
      </c>
      <c r="T525" s="6">
        <v>165.7</v>
      </c>
      <c r="U525" s="6">
        <f t="shared" si="91"/>
        <v>165.7</v>
      </c>
      <c r="V525" s="8">
        <v>0.124</v>
      </c>
      <c r="W525" s="6">
        <v>13</v>
      </c>
      <c r="X525" s="6">
        <f t="shared" si="92"/>
        <v>1886.9915999999998</v>
      </c>
      <c r="Y525">
        <f t="shared" si="93"/>
        <v>1478.62</v>
      </c>
      <c r="Z525" s="6">
        <f t="shared" si="94"/>
        <v>408.37159999999994</v>
      </c>
      <c r="AA525">
        <f t="shared" si="95"/>
        <v>0.21641410592394794</v>
      </c>
      <c r="AB525" t="str">
        <f t="shared" si="96"/>
        <v>4-2025</v>
      </c>
      <c r="AC525" t="str">
        <f t="shared" si="97"/>
        <v>Q2-2025</v>
      </c>
      <c r="AD525" t="str">
        <f t="shared" si="98"/>
        <v>Africa →South Africa →Durban</v>
      </c>
      <c r="AE525" t="str">
        <f t="shared" si="88"/>
        <v>Low</v>
      </c>
      <c r="AF525" t="str">
        <f>TEXT(Table1[[#This Row],[OrderDate]],"MMM")</f>
        <v>Apr</v>
      </c>
      <c r="AG525" t="str">
        <f>TEXT(Table1[[#This Row],[OrderDate]],"YYYY")</f>
        <v>2025</v>
      </c>
      <c r="AI525" s="4">
        <f>IF(Table1[[#This Row],[RequiredDate]]&lt;Table1[[#This Row],[OrderDate]], Table1[[#This Row],[OrderDate]]+7, Table1[[#This Row],[RequiredDate]])</f>
        <v>45766</v>
      </c>
      <c r="AJ525">
        <f>IF(Dashboard!$D$3&gt;'Staging Data'!V525,'Staging Data'!V525,Dashboard!D$3)</f>
        <v>0.124</v>
      </c>
      <c r="AK525" s="19">
        <f>(100%+Dashboard!$D$4)*'Staging Data'!S525</f>
        <v>119.42700000000001</v>
      </c>
      <c r="AL525">
        <f>(100%+Dashboard!$D$5)*'Staging Data'!W525</f>
        <v>14.95</v>
      </c>
    </row>
    <row r="526" spans="1:38" x14ac:dyDescent="0.35">
      <c r="A526" s="6" t="s">
        <v>308</v>
      </c>
      <c r="B526" s="4">
        <v>45758</v>
      </c>
      <c r="C526" s="4">
        <v>45781</v>
      </c>
      <c r="D526" s="4">
        <f>IF(Table1[[#This Row],[RequiredDate]]&lt;Table1[[#This Row],[OrderDate]],Table1[[#This Row],[RequiredDate]],Table1[[#This Row],[OrderDate]])</f>
        <v>45758</v>
      </c>
      <c r="E526" s="4">
        <f>IF(Table1[[#This Row],[RequiredDate]]&gt;Table1[[#This Row],[OrderDate]],Table1[[#This Row],[RequiredDate]],Table1[[#This Row],[OrderDate]])</f>
        <v>45781</v>
      </c>
      <c r="F526" s="21">
        <f>Table1[[#This Row],[New RD]]-Table1[[#This Row],[new   od]]</f>
        <v>23</v>
      </c>
      <c r="G526" s="4">
        <f>IF(Table1[[#This Row],[RequiredDate]]&lt;Table1[[#This Row],[OrderDate]], Table1[[#This Row],[OrderDate]]+7, Table1[[#This Row],[RequiredDate]])</f>
        <v>45781</v>
      </c>
      <c r="H526" s="21">
        <f t="shared" si="89"/>
        <v>23</v>
      </c>
      <c r="I526" s="6" t="str">
        <f>IF(Table1[[#This Row],[New LTD]]&lt;=7,"Yes","No")</f>
        <v>No</v>
      </c>
      <c r="J526" s="6" t="str">
        <f t="shared" si="90"/>
        <v>No</v>
      </c>
      <c r="K526" t="s">
        <v>647</v>
      </c>
      <c r="L526" t="s">
        <v>652</v>
      </c>
      <c r="M526" t="s">
        <v>666</v>
      </c>
      <c r="N526" t="s">
        <v>705</v>
      </c>
      <c r="O526" t="s">
        <v>708</v>
      </c>
      <c r="P526" t="s">
        <v>724</v>
      </c>
      <c r="Q526" t="s">
        <v>727</v>
      </c>
      <c r="R526" t="s">
        <v>1028</v>
      </c>
      <c r="S526" s="6">
        <v>786.2</v>
      </c>
      <c r="T526" s="6">
        <v>1075.3</v>
      </c>
      <c r="U526" s="6">
        <f t="shared" si="91"/>
        <v>1075.3</v>
      </c>
      <c r="V526" s="8">
        <v>0.08</v>
      </c>
      <c r="W526" s="6">
        <v>9</v>
      </c>
      <c r="X526" s="6">
        <f t="shared" si="92"/>
        <v>8903.4839999999986</v>
      </c>
      <c r="Y526">
        <f t="shared" si="93"/>
        <v>7075.8</v>
      </c>
      <c r="Z526" s="6">
        <f t="shared" si="94"/>
        <v>1827.6839999999984</v>
      </c>
      <c r="AA526">
        <f t="shared" si="95"/>
        <v>0.20527739478163815</v>
      </c>
      <c r="AB526" t="str">
        <f t="shared" si="96"/>
        <v>4-2025</v>
      </c>
      <c r="AC526" t="str">
        <f t="shared" si="97"/>
        <v>Q2-2025</v>
      </c>
      <c r="AD526" t="str">
        <f t="shared" si="98"/>
        <v>Asia →Japan →Osaka</v>
      </c>
      <c r="AE526" t="str">
        <f t="shared" si="88"/>
        <v>Medium</v>
      </c>
      <c r="AF526" t="str">
        <f>TEXT(Table1[[#This Row],[OrderDate]],"MMM")</f>
        <v>Apr</v>
      </c>
      <c r="AG526" t="str">
        <f>TEXT(Table1[[#This Row],[OrderDate]],"YYYY")</f>
        <v>2025</v>
      </c>
      <c r="AI526" s="4">
        <f>IF(Table1[[#This Row],[RequiredDate]]&lt;Table1[[#This Row],[OrderDate]], Table1[[#This Row],[OrderDate]]+7, Table1[[#This Row],[RequiredDate]])</f>
        <v>45781</v>
      </c>
      <c r="AJ526">
        <f>IF(Dashboard!$D$3&gt;'Staging Data'!V526,'Staging Data'!V526,Dashboard!D$3)</f>
        <v>0.08</v>
      </c>
      <c r="AK526" s="19">
        <f>(100%+Dashboard!$D$4)*'Staging Data'!S526</f>
        <v>825.5100000000001</v>
      </c>
      <c r="AL526">
        <f>(100%+Dashboard!$D$5)*'Staging Data'!W526</f>
        <v>10.35</v>
      </c>
    </row>
    <row r="527" spans="1:38" x14ac:dyDescent="0.35">
      <c r="A527" s="6" t="s">
        <v>414</v>
      </c>
      <c r="B527" s="4">
        <v>45759</v>
      </c>
      <c r="C527" s="4">
        <v>45777</v>
      </c>
      <c r="D527" s="4">
        <f>IF(Table1[[#This Row],[RequiredDate]]&lt;Table1[[#This Row],[OrderDate]],Table1[[#This Row],[RequiredDate]],Table1[[#This Row],[OrderDate]])</f>
        <v>45759</v>
      </c>
      <c r="E527" s="4">
        <f>IF(Table1[[#This Row],[RequiredDate]]&gt;Table1[[#This Row],[OrderDate]],Table1[[#This Row],[RequiredDate]],Table1[[#This Row],[OrderDate]])</f>
        <v>45777</v>
      </c>
      <c r="F527" s="21">
        <f>Table1[[#This Row],[New RD]]-Table1[[#This Row],[new   od]]</f>
        <v>18</v>
      </c>
      <c r="G527" s="4">
        <f>IF(Table1[[#This Row],[RequiredDate]]&lt;Table1[[#This Row],[OrderDate]], Table1[[#This Row],[OrderDate]]+7, Table1[[#This Row],[RequiredDate]])</f>
        <v>45777</v>
      </c>
      <c r="H527" s="21">
        <f t="shared" si="89"/>
        <v>18</v>
      </c>
      <c r="I527" s="6" t="str">
        <f>IF(Table1[[#This Row],[New LTD]]&lt;=7,"Yes","No")</f>
        <v>No</v>
      </c>
      <c r="J527" s="6" t="str">
        <f t="shared" si="90"/>
        <v>No</v>
      </c>
      <c r="K527" t="s">
        <v>646</v>
      </c>
      <c r="L527" t="s">
        <v>650</v>
      </c>
      <c r="M527" t="s">
        <v>662</v>
      </c>
      <c r="N527" t="s">
        <v>701</v>
      </c>
      <c r="O527" t="s">
        <v>709</v>
      </c>
      <c r="P527" t="s">
        <v>721</v>
      </c>
      <c r="Q527" t="s">
        <v>729</v>
      </c>
      <c r="R527" t="s">
        <v>1133</v>
      </c>
      <c r="S527" s="6">
        <v>1119.04</v>
      </c>
      <c r="T527" s="6">
        <v>1299.02</v>
      </c>
      <c r="U527" s="6">
        <f t="shared" si="91"/>
        <v>1299.02</v>
      </c>
      <c r="V527" s="8">
        <v>2.5000000000000001E-2</v>
      </c>
      <c r="W527" s="6">
        <v>14</v>
      </c>
      <c r="X527" s="6">
        <f t="shared" si="92"/>
        <v>17731.623</v>
      </c>
      <c r="Y527">
        <f t="shared" si="93"/>
        <v>15666.56</v>
      </c>
      <c r="Z527" s="6">
        <f t="shared" si="94"/>
        <v>2065.0630000000001</v>
      </c>
      <c r="AA527">
        <f t="shared" si="95"/>
        <v>0.11646215352085933</v>
      </c>
      <c r="AB527" t="str">
        <f t="shared" si="96"/>
        <v>4-2025</v>
      </c>
      <c r="AC527" t="str">
        <f t="shared" si="97"/>
        <v>Q2-2025</v>
      </c>
      <c r="AD527" t="str">
        <f t="shared" si="98"/>
        <v>Africa →Kenya →Kisumu</v>
      </c>
      <c r="AE527" t="str">
        <f t="shared" si="88"/>
        <v>Medium</v>
      </c>
      <c r="AF527" t="str">
        <f>TEXT(Table1[[#This Row],[OrderDate]],"MMM")</f>
        <v>Apr</v>
      </c>
      <c r="AG527" t="str">
        <f>TEXT(Table1[[#This Row],[OrderDate]],"YYYY")</f>
        <v>2025</v>
      </c>
      <c r="AI527" s="4">
        <f>IF(Table1[[#This Row],[RequiredDate]]&lt;Table1[[#This Row],[OrderDate]], Table1[[#This Row],[OrderDate]]+7, Table1[[#This Row],[RequiredDate]])</f>
        <v>45777</v>
      </c>
      <c r="AJ527">
        <f>IF(Dashboard!$D$3&gt;'Staging Data'!V527,'Staging Data'!V527,Dashboard!D$3)</f>
        <v>2.5000000000000001E-2</v>
      </c>
      <c r="AK527" s="19">
        <f>(100%+Dashboard!$D$4)*'Staging Data'!S527</f>
        <v>1174.992</v>
      </c>
      <c r="AL527">
        <f>(100%+Dashboard!$D$5)*'Staging Data'!W527</f>
        <v>16.099999999999998</v>
      </c>
    </row>
    <row r="528" spans="1:38" x14ac:dyDescent="0.35">
      <c r="A528" s="6" t="s">
        <v>584</v>
      </c>
      <c r="B528" s="4">
        <v>45760</v>
      </c>
      <c r="C528" s="4">
        <v>45761</v>
      </c>
      <c r="D528" s="4">
        <f>IF(Table1[[#This Row],[RequiredDate]]&lt;Table1[[#This Row],[OrderDate]],Table1[[#This Row],[RequiredDate]],Table1[[#This Row],[OrderDate]])</f>
        <v>45760</v>
      </c>
      <c r="E528" s="4">
        <f>IF(Table1[[#This Row],[RequiredDate]]&gt;Table1[[#This Row],[OrderDate]],Table1[[#This Row],[RequiredDate]],Table1[[#This Row],[OrderDate]])</f>
        <v>45761</v>
      </c>
      <c r="F528" s="21">
        <f>Table1[[#This Row],[New RD]]-Table1[[#This Row],[new   od]]</f>
        <v>1</v>
      </c>
      <c r="G528" s="4">
        <f>IF(Table1[[#This Row],[RequiredDate]]&lt;Table1[[#This Row],[OrderDate]], Table1[[#This Row],[OrderDate]]+7, Table1[[#This Row],[RequiredDate]])</f>
        <v>45761</v>
      </c>
      <c r="H528" s="21">
        <f t="shared" si="89"/>
        <v>1</v>
      </c>
      <c r="I528" s="6" t="str">
        <f>IF(Table1[[#This Row],[New LTD]]&lt;=7,"Yes","No")</f>
        <v>Yes</v>
      </c>
      <c r="J528" s="6" t="str">
        <f t="shared" si="90"/>
        <v>No</v>
      </c>
      <c r="K528" t="s">
        <v>647</v>
      </c>
      <c r="L528" t="s">
        <v>652</v>
      </c>
      <c r="M528" t="s">
        <v>666</v>
      </c>
      <c r="N528" t="s">
        <v>706</v>
      </c>
      <c r="O528" t="s">
        <v>708</v>
      </c>
      <c r="P528" t="s">
        <v>715</v>
      </c>
      <c r="Q528" t="s">
        <v>727</v>
      </c>
      <c r="R528" t="s">
        <v>1302</v>
      </c>
      <c r="S528" s="6">
        <v>138.9</v>
      </c>
      <c r="T528" s="6">
        <v>289.92</v>
      </c>
      <c r="U528" s="6">
        <f t="shared" si="91"/>
        <v>289.92</v>
      </c>
      <c r="V528" s="8">
        <v>2.9000000000000001E-2</v>
      </c>
      <c r="W528" s="6">
        <v>12</v>
      </c>
      <c r="X528" s="6">
        <f t="shared" si="92"/>
        <v>3378.1478400000001</v>
      </c>
      <c r="Y528">
        <f t="shared" si="93"/>
        <v>1666.8000000000002</v>
      </c>
      <c r="Z528" s="6">
        <f t="shared" si="94"/>
        <v>1711.3478399999999</v>
      </c>
      <c r="AA528">
        <f t="shared" si="95"/>
        <v>0.50659353025828491</v>
      </c>
      <c r="AB528" t="str">
        <f t="shared" si="96"/>
        <v>4-2025</v>
      </c>
      <c r="AC528" t="str">
        <f t="shared" si="97"/>
        <v>Q2-2025</v>
      </c>
      <c r="AD528" t="str">
        <f t="shared" si="98"/>
        <v>Asia →Japan →Osaka</v>
      </c>
      <c r="AE528" t="str">
        <f t="shared" si="88"/>
        <v>Low</v>
      </c>
      <c r="AF528" t="str">
        <f>TEXT(Table1[[#This Row],[OrderDate]],"MMM")</f>
        <v>Apr</v>
      </c>
      <c r="AG528" t="str">
        <f>TEXT(Table1[[#This Row],[OrderDate]],"YYYY")</f>
        <v>2025</v>
      </c>
      <c r="AI528" s="4">
        <f>IF(Table1[[#This Row],[RequiredDate]]&lt;Table1[[#This Row],[OrderDate]], Table1[[#This Row],[OrderDate]]+7, Table1[[#This Row],[RequiredDate]])</f>
        <v>45761</v>
      </c>
      <c r="AJ528">
        <f>IF(Dashboard!$D$3&gt;'Staging Data'!V528,'Staging Data'!V528,Dashboard!D$3)</f>
        <v>2.9000000000000001E-2</v>
      </c>
      <c r="AK528" s="19">
        <f>(100%+Dashboard!$D$4)*'Staging Data'!S528</f>
        <v>145.845</v>
      </c>
      <c r="AL528">
        <f>(100%+Dashboard!$D$5)*'Staging Data'!W528</f>
        <v>13.799999999999999</v>
      </c>
    </row>
    <row r="529" spans="1:38" x14ac:dyDescent="0.35">
      <c r="A529" s="6" t="s">
        <v>190</v>
      </c>
      <c r="B529" s="4">
        <v>45761</v>
      </c>
      <c r="C529" s="4">
        <v>45781</v>
      </c>
      <c r="D529" s="4">
        <f>IF(Table1[[#This Row],[RequiredDate]]&lt;Table1[[#This Row],[OrderDate]],Table1[[#This Row],[RequiredDate]],Table1[[#This Row],[OrderDate]])</f>
        <v>45761</v>
      </c>
      <c r="E529" s="4">
        <f>IF(Table1[[#This Row],[RequiredDate]]&gt;Table1[[#This Row],[OrderDate]],Table1[[#This Row],[RequiredDate]],Table1[[#This Row],[OrderDate]])</f>
        <v>45781</v>
      </c>
      <c r="F529" s="21">
        <f>Table1[[#This Row],[New RD]]-Table1[[#This Row],[new   od]]</f>
        <v>20</v>
      </c>
      <c r="G529" s="4">
        <f>IF(Table1[[#This Row],[RequiredDate]]&lt;Table1[[#This Row],[OrderDate]], Table1[[#This Row],[OrderDate]]+7, Table1[[#This Row],[RequiredDate]])</f>
        <v>45781</v>
      </c>
      <c r="H529" s="21">
        <f t="shared" si="89"/>
        <v>20</v>
      </c>
      <c r="I529" s="6" t="str">
        <f>IF(Table1[[#This Row],[New LTD]]&lt;=7,"Yes","No")</f>
        <v>No</v>
      </c>
      <c r="J529" s="6" t="str">
        <f t="shared" si="90"/>
        <v>Yes</v>
      </c>
      <c r="K529" t="s">
        <v>649</v>
      </c>
      <c r="L529" t="s">
        <v>658</v>
      </c>
      <c r="M529" t="s">
        <v>674</v>
      </c>
      <c r="N529" t="s">
        <v>706</v>
      </c>
      <c r="O529" t="s">
        <v>709</v>
      </c>
      <c r="P529" t="s">
        <v>723</v>
      </c>
      <c r="Q529" t="s">
        <v>732</v>
      </c>
      <c r="R529" t="s">
        <v>909</v>
      </c>
      <c r="S529" s="6">
        <v>1413.87</v>
      </c>
      <c r="T529" s="6">
        <v>3275</v>
      </c>
      <c r="U529" s="6">
        <f t="shared" si="91"/>
        <v>3275</v>
      </c>
      <c r="V529" s="8">
        <v>0.255</v>
      </c>
      <c r="W529" s="6">
        <v>38</v>
      </c>
      <c r="X529" s="6">
        <f t="shared" si="92"/>
        <v>92715.25</v>
      </c>
      <c r="Y529">
        <f t="shared" si="93"/>
        <v>53727.06</v>
      </c>
      <c r="Z529" s="6">
        <f t="shared" si="94"/>
        <v>38988.19</v>
      </c>
      <c r="AA529">
        <f t="shared" si="95"/>
        <v>0.42051539525590453</v>
      </c>
      <c r="AB529" t="str">
        <f t="shared" si="96"/>
        <v>4-2025</v>
      </c>
      <c r="AC529" t="str">
        <f t="shared" si="97"/>
        <v>Q2-2025</v>
      </c>
      <c r="AD529" t="str">
        <f t="shared" si="98"/>
        <v>Europe →United Kingdom →Birmingham</v>
      </c>
      <c r="AE529" t="str">
        <f t="shared" si="88"/>
        <v>High</v>
      </c>
      <c r="AF529" t="str">
        <f>TEXT(Table1[[#This Row],[OrderDate]],"MMM")</f>
        <v>Apr</v>
      </c>
      <c r="AG529" t="str">
        <f>TEXT(Table1[[#This Row],[OrderDate]],"YYYY")</f>
        <v>2025</v>
      </c>
      <c r="AI529" s="4">
        <f>IF(Table1[[#This Row],[RequiredDate]]&lt;Table1[[#This Row],[OrderDate]], Table1[[#This Row],[OrderDate]]+7, Table1[[#This Row],[RequiredDate]])</f>
        <v>45781</v>
      </c>
      <c r="AJ529">
        <f>IF(Dashboard!$D$3&gt;'Staging Data'!V529,'Staging Data'!V529,Dashboard!D$3)</f>
        <v>0.2</v>
      </c>
      <c r="AK529" s="19">
        <f>(100%+Dashboard!$D$4)*'Staging Data'!S529</f>
        <v>1484.5635</v>
      </c>
      <c r="AL529">
        <f>(100%+Dashboard!$D$5)*'Staging Data'!W529</f>
        <v>43.699999999999996</v>
      </c>
    </row>
    <row r="530" spans="1:38" x14ac:dyDescent="0.35">
      <c r="A530" s="6" t="s">
        <v>165</v>
      </c>
      <c r="B530" s="4">
        <v>45763</v>
      </c>
      <c r="C530" s="4">
        <v>45793</v>
      </c>
      <c r="D530" s="4">
        <f>IF(Table1[[#This Row],[RequiredDate]]&lt;Table1[[#This Row],[OrderDate]],Table1[[#This Row],[RequiredDate]],Table1[[#This Row],[OrderDate]])</f>
        <v>45763</v>
      </c>
      <c r="E530" s="4">
        <f>IF(Table1[[#This Row],[RequiredDate]]&gt;Table1[[#This Row],[OrderDate]],Table1[[#This Row],[RequiredDate]],Table1[[#This Row],[OrderDate]])</f>
        <v>45793</v>
      </c>
      <c r="F530" s="21">
        <f>Table1[[#This Row],[New RD]]-Table1[[#This Row],[new   od]]</f>
        <v>30</v>
      </c>
      <c r="G530" s="4">
        <f>IF(Table1[[#This Row],[RequiredDate]]&lt;Table1[[#This Row],[OrderDate]], Table1[[#This Row],[OrderDate]]+7, Table1[[#This Row],[RequiredDate]])</f>
        <v>45793</v>
      </c>
      <c r="H530" s="21">
        <f t="shared" si="89"/>
        <v>30</v>
      </c>
      <c r="I530" s="6" t="str">
        <f>IF(Table1[[#This Row],[New LTD]]&lt;=7,"Yes","No")</f>
        <v>No</v>
      </c>
      <c r="J530" s="6" t="str">
        <f t="shared" si="90"/>
        <v>No</v>
      </c>
      <c r="K530" t="s">
        <v>648</v>
      </c>
      <c r="L530" t="s">
        <v>653</v>
      </c>
      <c r="M530" t="s">
        <v>681</v>
      </c>
      <c r="N530" t="s">
        <v>706</v>
      </c>
      <c r="O530" t="s">
        <v>710</v>
      </c>
      <c r="P530" t="s">
        <v>723</v>
      </c>
      <c r="Q530" t="s">
        <v>728</v>
      </c>
      <c r="R530" t="s">
        <v>884</v>
      </c>
      <c r="S530" s="6">
        <v>763.32</v>
      </c>
      <c r="T530" s="6">
        <v>568.29</v>
      </c>
      <c r="U530" s="6">
        <f t="shared" si="91"/>
        <v>568.29</v>
      </c>
      <c r="V530" s="8">
        <v>0.13100000000000001</v>
      </c>
      <c r="W530" s="6">
        <v>16</v>
      </c>
      <c r="X530" s="6">
        <f t="shared" si="92"/>
        <v>7901.5041599999995</v>
      </c>
      <c r="Y530">
        <f t="shared" si="93"/>
        <v>12213.12</v>
      </c>
      <c r="Z530" s="6">
        <f t="shared" si="94"/>
        <v>-4311.6158400000013</v>
      </c>
      <c r="AA530">
        <f t="shared" si="95"/>
        <v>-0.54567026134426555</v>
      </c>
      <c r="AB530" t="str">
        <f t="shared" si="96"/>
        <v>4-2025</v>
      </c>
      <c r="AC530" t="str">
        <f t="shared" si="97"/>
        <v>Q2-2025</v>
      </c>
      <c r="AD530" t="str">
        <f t="shared" si="98"/>
        <v>Americas →Canada →Montreal</v>
      </c>
      <c r="AE530" t="str">
        <f t="shared" si="88"/>
        <v>Low</v>
      </c>
      <c r="AF530" t="str">
        <f>TEXT(Table1[[#This Row],[OrderDate]],"MMM")</f>
        <v>Apr</v>
      </c>
      <c r="AG530" t="str">
        <f>TEXT(Table1[[#This Row],[OrderDate]],"YYYY")</f>
        <v>2025</v>
      </c>
      <c r="AI530" s="4">
        <f>IF(Table1[[#This Row],[RequiredDate]]&lt;Table1[[#This Row],[OrderDate]], Table1[[#This Row],[OrderDate]]+7, Table1[[#This Row],[RequiredDate]])</f>
        <v>45793</v>
      </c>
      <c r="AJ530">
        <f>IF(Dashboard!$D$3&gt;'Staging Data'!V530,'Staging Data'!V530,Dashboard!D$3)</f>
        <v>0.13100000000000001</v>
      </c>
      <c r="AK530" s="19">
        <f>(100%+Dashboard!$D$4)*'Staging Data'!S530</f>
        <v>801.4860000000001</v>
      </c>
      <c r="AL530">
        <f>(100%+Dashboard!$D$5)*'Staging Data'!W530</f>
        <v>18.399999999999999</v>
      </c>
    </row>
    <row r="531" spans="1:38" x14ac:dyDescent="0.35">
      <c r="A531" s="6" t="s">
        <v>278</v>
      </c>
      <c r="B531" s="4">
        <v>45763</v>
      </c>
      <c r="C531" s="4">
        <v>45773</v>
      </c>
      <c r="D531" s="4">
        <f>IF(Table1[[#This Row],[RequiredDate]]&lt;Table1[[#This Row],[OrderDate]],Table1[[#This Row],[RequiredDate]],Table1[[#This Row],[OrderDate]])</f>
        <v>45763</v>
      </c>
      <c r="E531" s="4">
        <f>IF(Table1[[#This Row],[RequiredDate]]&gt;Table1[[#This Row],[OrderDate]],Table1[[#This Row],[RequiredDate]],Table1[[#This Row],[OrderDate]])</f>
        <v>45773</v>
      </c>
      <c r="F531" s="21">
        <f>Table1[[#This Row],[New RD]]-Table1[[#This Row],[new   od]]</f>
        <v>10</v>
      </c>
      <c r="G531" s="4">
        <f>IF(Table1[[#This Row],[RequiredDate]]&lt;Table1[[#This Row],[OrderDate]], Table1[[#This Row],[OrderDate]]+7, Table1[[#This Row],[RequiredDate]])</f>
        <v>45773</v>
      </c>
      <c r="H531" s="21">
        <f t="shared" si="89"/>
        <v>10</v>
      </c>
      <c r="I531" s="6" t="str">
        <f>IF(Table1[[#This Row],[New LTD]]&lt;=7,"Yes","No")</f>
        <v>No</v>
      </c>
      <c r="J531" s="6" t="str">
        <f t="shared" si="90"/>
        <v>No</v>
      </c>
      <c r="K531" t="s">
        <v>646</v>
      </c>
      <c r="L531" t="s">
        <v>651</v>
      </c>
      <c r="M531" t="s">
        <v>663</v>
      </c>
      <c r="N531" t="s">
        <v>706</v>
      </c>
      <c r="O531" t="s">
        <v>709</v>
      </c>
      <c r="P531" t="s">
        <v>721</v>
      </c>
      <c r="Q531" t="s">
        <v>731</v>
      </c>
      <c r="R531" t="s">
        <v>998</v>
      </c>
      <c r="S531" s="6">
        <v>1457.44</v>
      </c>
      <c r="T531" s="6">
        <v>1996.81</v>
      </c>
      <c r="U531" s="6">
        <f t="shared" si="91"/>
        <v>1996.81</v>
      </c>
      <c r="V531" s="8">
        <v>0.126</v>
      </c>
      <c r="W531" s="6">
        <v>23</v>
      </c>
      <c r="X531" s="6">
        <f t="shared" si="92"/>
        <v>40139.874619999995</v>
      </c>
      <c r="Y531">
        <f t="shared" si="93"/>
        <v>33521.120000000003</v>
      </c>
      <c r="Z531" s="6">
        <f t="shared" si="94"/>
        <v>6618.7546199999924</v>
      </c>
      <c r="AA531">
        <f t="shared" si="95"/>
        <v>0.16489225944672353</v>
      </c>
      <c r="AB531" t="str">
        <f t="shared" si="96"/>
        <v>4-2025</v>
      </c>
      <c r="AC531" t="str">
        <f t="shared" si="97"/>
        <v>Q2-2025</v>
      </c>
      <c r="AD531" t="str">
        <f t="shared" si="98"/>
        <v>Africa →Nigeria →Port Harcourt</v>
      </c>
      <c r="AE531" t="str">
        <f t="shared" si="88"/>
        <v>High</v>
      </c>
      <c r="AF531" t="str">
        <f>TEXT(Table1[[#This Row],[OrderDate]],"MMM")</f>
        <v>Apr</v>
      </c>
      <c r="AG531" t="str">
        <f>TEXT(Table1[[#This Row],[OrderDate]],"YYYY")</f>
        <v>2025</v>
      </c>
      <c r="AI531" s="4">
        <f>IF(Table1[[#This Row],[RequiredDate]]&lt;Table1[[#This Row],[OrderDate]], Table1[[#This Row],[OrderDate]]+7, Table1[[#This Row],[RequiredDate]])</f>
        <v>45773</v>
      </c>
      <c r="AJ531">
        <f>IF(Dashboard!$D$3&gt;'Staging Data'!V531,'Staging Data'!V531,Dashboard!D$3)</f>
        <v>0.126</v>
      </c>
      <c r="AK531" s="19">
        <f>(100%+Dashboard!$D$4)*'Staging Data'!S531</f>
        <v>1530.3120000000001</v>
      </c>
      <c r="AL531">
        <f>(100%+Dashboard!$D$5)*'Staging Data'!W531</f>
        <v>26.45</v>
      </c>
    </row>
    <row r="532" spans="1:38" x14ac:dyDescent="0.35">
      <c r="A532" s="6" t="s">
        <v>599</v>
      </c>
      <c r="B532" s="4">
        <v>45764</v>
      </c>
      <c r="C532" s="4">
        <v>45764</v>
      </c>
      <c r="D532" s="4">
        <f>IF(Table1[[#This Row],[RequiredDate]]&lt;Table1[[#This Row],[OrderDate]],Table1[[#This Row],[RequiredDate]],Table1[[#This Row],[OrderDate]])</f>
        <v>45764</v>
      </c>
      <c r="E532" s="4">
        <f>IF(Table1[[#This Row],[RequiredDate]]&gt;Table1[[#This Row],[OrderDate]],Table1[[#This Row],[RequiredDate]],Table1[[#This Row],[OrderDate]])</f>
        <v>45764</v>
      </c>
      <c r="F532" s="21">
        <f>Table1[[#This Row],[New RD]]-Table1[[#This Row],[new   od]]</f>
        <v>0</v>
      </c>
      <c r="G532" s="4">
        <f>IF(Table1[[#This Row],[RequiredDate]]&lt;Table1[[#This Row],[OrderDate]], Table1[[#This Row],[OrderDate]]+7, Table1[[#This Row],[RequiredDate]])</f>
        <v>45764</v>
      </c>
      <c r="H532" s="21">
        <f t="shared" si="89"/>
        <v>0</v>
      </c>
      <c r="I532" s="6" t="str">
        <f>IF(Table1[[#This Row],[New LTD]]&lt;=7,"Yes","No")</f>
        <v>Yes</v>
      </c>
      <c r="J532" s="6" t="str">
        <f t="shared" si="90"/>
        <v>No</v>
      </c>
      <c r="K532" t="s">
        <v>648</v>
      </c>
      <c r="L532" t="s">
        <v>655</v>
      </c>
      <c r="M532" t="s">
        <v>670</v>
      </c>
      <c r="N532" t="s">
        <v>701</v>
      </c>
      <c r="O532" t="s">
        <v>710</v>
      </c>
      <c r="P532" t="s">
        <v>716</v>
      </c>
      <c r="Q532" t="s">
        <v>730</v>
      </c>
      <c r="R532" t="s">
        <v>1317</v>
      </c>
      <c r="S532" s="6">
        <v>719.41</v>
      </c>
      <c r="T532" s="6">
        <v>1125.99</v>
      </c>
      <c r="U532" s="6">
        <f t="shared" si="91"/>
        <v>1125.99</v>
      </c>
      <c r="V532" s="8">
        <v>4.1000000000000002E-2</v>
      </c>
      <c r="W532" s="6">
        <v>21</v>
      </c>
      <c r="X532" s="6">
        <f t="shared" si="92"/>
        <v>22676.312610000001</v>
      </c>
      <c r="Y532">
        <f t="shared" si="93"/>
        <v>15107.609999999999</v>
      </c>
      <c r="Z532" s="6">
        <f t="shared" si="94"/>
        <v>7568.7026100000021</v>
      </c>
      <c r="AA532">
        <f t="shared" si="95"/>
        <v>0.33377131194876403</v>
      </c>
      <c r="AB532" t="str">
        <f t="shared" si="96"/>
        <v>4-2025</v>
      </c>
      <c r="AC532" t="str">
        <f t="shared" si="97"/>
        <v>Q2-2025</v>
      </c>
      <c r="AD532" t="str">
        <f t="shared" si="98"/>
        <v>Americas →Brazil →São Paulo</v>
      </c>
      <c r="AE532" t="str">
        <f t="shared" si="88"/>
        <v>Medium</v>
      </c>
      <c r="AF532" t="str">
        <f>TEXT(Table1[[#This Row],[OrderDate]],"MMM")</f>
        <v>Apr</v>
      </c>
      <c r="AG532" t="str">
        <f>TEXT(Table1[[#This Row],[OrderDate]],"YYYY")</f>
        <v>2025</v>
      </c>
      <c r="AI532" s="4">
        <f>IF(Table1[[#This Row],[RequiredDate]]&lt;Table1[[#This Row],[OrderDate]], Table1[[#This Row],[OrderDate]]+7, Table1[[#This Row],[RequiredDate]])</f>
        <v>45764</v>
      </c>
      <c r="AJ532">
        <f>IF(Dashboard!$D$3&gt;'Staging Data'!V532,'Staging Data'!V532,Dashboard!D$3)</f>
        <v>4.1000000000000002E-2</v>
      </c>
      <c r="AK532" s="19">
        <f>(100%+Dashboard!$D$4)*'Staging Data'!S532</f>
        <v>755.38049999999998</v>
      </c>
      <c r="AL532">
        <f>(100%+Dashboard!$D$5)*'Staging Data'!W532</f>
        <v>24.15</v>
      </c>
    </row>
    <row r="533" spans="1:38" x14ac:dyDescent="0.35">
      <c r="A533" s="6" t="s">
        <v>635</v>
      </c>
      <c r="B533" s="4">
        <v>45764</v>
      </c>
      <c r="C533" s="4">
        <v>45780</v>
      </c>
      <c r="D533" s="4">
        <f>IF(Table1[[#This Row],[RequiredDate]]&lt;Table1[[#This Row],[OrderDate]],Table1[[#This Row],[RequiredDate]],Table1[[#This Row],[OrderDate]])</f>
        <v>45764</v>
      </c>
      <c r="E533" s="4">
        <f>IF(Table1[[#This Row],[RequiredDate]]&gt;Table1[[#This Row],[OrderDate]],Table1[[#This Row],[RequiredDate]],Table1[[#This Row],[OrderDate]])</f>
        <v>45780</v>
      </c>
      <c r="F533" s="21">
        <f>Table1[[#This Row],[New RD]]-Table1[[#This Row],[new   od]]</f>
        <v>16</v>
      </c>
      <c r="G533" s="4">
        <f>IF(Table1[[#This Row],[RequiredDate]]&lt;Table1[[#This Row],[OrderDate]], Table1[[#This Row],[OrderDate]]+7, Table1[[#This Row],[RequiredDate]])</f>
        <v>45780</v>
      </c>
      <c r="H533" s="21">
        <f t="shared" si="89"/>
        <v>16</v>
      </c>
      <c r="I533" s="6" t="str">
        <f>IF(Table1[[#This Row],[New LTD]]&lt;=7,"Yes","No")</f>
        <v>No</v>
      </c>
      <c r="J533" s="6" t="str">
        <f t="shared" si="90"/>
        <v>No</v>
      </c>
      <c r="K533" t="s">
        <v>648</v>
      </c>
      <c r="L533" t="s">
        <v>655</v>
      </c>
      <c r="M533" t="s">
        <v>692</v>
      </c>
      <c r="N533" t="s">
        <v>704</v>
      </c>
      <c r="O533" t="s">
        <v>709</v>
      </c>
      <c r="P533" t="s">
        <v>713</v>
      </c>
      <c r="Q533" t="s">
        <v>729</v>
      </c>
      <c r="R533" t="s">
        <v>1353</v>
      </c>
      <c r="S533" s="6">
        <v>168.68</v>
      </c>
      <c r="T533" s="6">
        <v>413.34</v>
      </c>
      <c r="U533" s="6">
        <f t="shared" si="91"/>
        <v>413.34</v>
      </c>
      <c r="V533" s="8">
        <v>0.186</v>
      </c>
      <c r="W533" s="6">
        <v>7</v>
      </c>
      <c r="X533" s="6">
        <f t="shared" si="92"/>
        <v>2355.2113199999999</v>
      </c>
      <c r="Y533">
        <f t="shared" si="93"/>
        <v>1180.76</v>
      </c>
      <c r="Z533" s="6">
        <f t="shared" si="94"/>
        <v>1174.4513199999999</v>
      </c>
      <c r="AA533">
        <f t="shared" si="95"/>
        <v>0.49866069767361682</v>
      </c>
      <c r="AB533" t="str">
        <f t="shared" si="96"/>
        <v>4-2025</v>
      </c>
      <c r="AC533" t="str">
        <f t="shared" si="97"/>
        <v>Q2-2025</v>
      </c>
      <c r="AD533" t="str">
        <f t="shared" si="98"/>
        <v>Americas →Brazil →Rio de Janeiro</v>
      </c>
      <c r="AE533" t="str">
        <f t="shared" si="88"/>
        <v>Low</v>
      </c>
      <c r="AF533" t="str">
        <f>TEXT(Table1[[#This Row],[OrderDate]],"MMM")</f>
        <v>Apr</v>
      </c>
      <c r="AG533" t="str">
        <f>TEXT(Table1[[#This Row],[OrderDate]],"YYYY")</f>
        <v>2025</v>
      </c>
      <c r="AI533" s="4">
        <f>IF(Table1[[#This Row],[RequiredDate]]&lt;Table1[[#This Row],[OrderDate]], Table1[[#This Row],[OrderDate]]+7, Table1[[#This Row],[RequiredDate]])</f>
        <v>45780</v>
      </c>
      <c r="AJ533">
        <f>IF(Dashboard!$D$3&gt;'Staging Data'!V533,'Staging Data'!V533,Dashboard!D$3)</f>
        <v>0.186</v>
      </c>
      <c r="AK533" s="19">
        <f>(100%+Dashboard!$D$4)*'Staging Data'!S533</f>
        <v>177.114</v>
      </c>
      <c r="AL533">
        <f>(100%+Dashboard!$D$5)*'Staging Data'!W533</f>
        <v>8.0499999999999989</v>
      </c>
    </row>
    <row r="534" spans="1:38" x14ac:dyDescent="0.35">
      <c r="A534" s="6" t="s">
        <v>261</v>
      </c>
      <c r="B534" s="4">
        <v>45769</v>
      </c>
      <c r="C534" s="4">
        <v>45779</v>
      </c>
      <c r="D534" s="4">
        <f>IF(Table1[[#This Row],[RequiredDate]]&lt;Table1[[#This Row],[OrderDate]],Table1[[#This Row],[RequiredDate]],Table1[[#This Row],[OrderDate]])</f>
        <v>45769</v>
      </c>
      <c r="E534" s="4">
        <f>IF(Table1[[#This Row],[RequiredDate]]&gt;Table1[[#This Row],[OrderDate]],Table1[[#This Row],[RequiredDate]],Table1[[#This Row],[OrderDate]])</f>
        <v>45779</v>
      </c>
      <c r="F534" s="21">
        <f>Table1[[#This Row],[New RD]]-Table1[[#This Row],[new   od]]</f>
        <v>10</v>
      </c>
      <c r="G534" s="4">
        <f>IF(Table1[[#This Row],[RequiredDate]]&lt;Table1[[#This Row],[OrderDate]], Table1[[#This Row],[OrderDate]]+7, Table1[[#This Row],[RequiredDate]])</f>
        <v>45779</v>
      </c>
      <c r="H534" s="21">
        <f t="shared" si="89"/>
        <v>10</v>
      </c>
      <c r="I534" s="6" t="str">
        <f>IF(Table1[[#This Row],[New LTD]]&lt;=7,"Yes","No")</f>
        <v>No</v>
      </c>
      <c r="J534" s="6" t="str">
        <f t="shared" si="90"/>
        <v>No</v>
      </c>
      <c r="K534" t="s">
        <v>649</v>
      </c>
      <c r="L534" t="s">
        <v>656</v>
      </c>
      <c r="M534" t="s">
        <v>671</v>
      </c>
      <c r="N534" t="s">
        <v>701</v>
      </c>
      <c r="O534" t="s">
        <v>709</v>
      </c>
      <c r="P534" t="s">
        <v>712</v>
      </c>
      <c r="Q534" t="s">
        <v>732</v>
      </c>
      <c r="R534" t="s">
        <v>981</v>
      </c>
      <c r="S534" s="6">
        <v>20.149999999999999</v>
      </c>
      <c r="T534" s="6">
        <v>39.74</v>
      </c>
      <c r="U534" s="6">
        <f t="shared" si="91"/>
        <v>39.74</v>
      </c>
      <c r="V534" s="8">
        <v>0.151</v>
      </c>
      <c r="W534" s="6">
        <v>18</v>
      </c>
      <c r="X534" s="6">
        <f t="shared" si="92"/>
        <v>607.30668000000003</v>
      </c>
      <c r="Y534">
        <f t="shared" si="93"/>
        <v>362.7</v>
      </c>
      <c r="Z534" s="6">
        <f t="shared" si="94"/>
        <v>244.60668000000004</v>
      </c>
      <c r="AA534">
        <f t="shared" si="95"/>
        <v>0.4027729120318585</v>
      </c>
      <c r="AB534" t="str">
        <f t="shared" si="96"/>
        <v>4-2025</v>
      </c>
      <c r="AC534" t="str">
        <f t="shared" si="97"/>
        <v>Q2-2025</v>
      </c>
      <c r="AD534" t="str">
        <f t="shared" si="98"/>
        <v>Europe →Germany →Berlin</v>
      </c>
      <c r="AE534" t="str">
        <f t="shared" si="88"/>
        <v>Low</v>
      </c>
      <c r="AF534" t="str">
        <f>TEXT(Table1[[#This Row],[OrderDate]],"MMM")</f>
        <v>Apr</v>
      </c>
      <c r="AG534" t="str">
        <f>TEXT(Table1[[#This Row],[OrderDate]],"YYYY")</f>
        <v>2025</v>
      </c>
      <c r="AI534" s="4">
        <f>IF(Table1[[#This Row],[RequiredDate]]&lt;Table1[[#This Row],[OrderDate]], Table1[[#This Row],[OrderDate]]+7, Table1[[#This Row],[RequiredDate]])</f>
        <v>45779</v>
      </c>
      <c r="AJ534">
        <f>IF(Dashboard!$D$3&gt;'Staging Data'!V534,'Staging Data'!V534,Dashboard!D$3)</f>
        <v>0.151</v>
      </c>
      <c r="AK534" s="19">
        <f>(100%+Dashboard!$D$4)*'Staging Data'!S534</f>
        <v>21.157499999999999</v>
      </c>
      <c r="AL534">
        <f>(100%+Dashboard!$D$5)*'Staging Data'!W534</f>
        <v>20.7</v>
      </c>
    </row>
    <row r="535" spans="1:38" x14ac:dyDescent="0.35">
      <c r="A535" s="6" t="s">
        <v>546</v>
      </c>
      <c r="B535" s="4">
        <v>45769</v>
      </c>
      <c r="C535" s="4">
        <v>45789</v>
      </c>
      <c r="D535" s="4">
        <f>IF(Table1[[#This Row],[RequiredDate]]&lt;Table1[[#This Row],[OrderDate]],Table1[[#This Row],[RequiredDate]],Table1[[#This Row],[OrderDate]])</f>
        <v>45769</v>
      </c>
      <c r="E535" s="4">
        <f>IF(Table1[[#This Row],[RequiredDate]]&gt;Table1[[#This Row],[OrderDate]],Table1[[#This Row],[RequiredDate]],Table1[[#This Row],[OrderDate]])</f>
        <v>45789</v>
      </c>
      <c r="F535" s="21">
        <f>Table1[[#This Row],[New RD]]-Table1[[#This Row],[new   od]]</f>
        <v>20</v>
      </c>
      <c r="G535" s="4">
        <f>IF(Table1[[#This Row],[RequiredDate]]&lt;Table1[[#This Row],[OrderDate]], Table1[[#This Row],[OrderDate]]+7, Table1[[#This Row],[RequiredDate]])</f>
        <v>45789</v>
      </c>
      <c r="H535" s="21">
        <f t="shared" si="89"/>
        <v>20</v>
      </c>
      <c r="I535" s="6" t="str">
        <f>IF(Table1[[#This Row],[New LTD]]&lt;=7,"Yes","No")</f>
        <v>No</v>
      </c>
      <c r="J535" s="6" t="str">
        <f t="shared" si="90"/>
        <v>No</v>
      </c>
      <c r="K535" t="s">
        <v>649</v>
      </c>
      <c r="L535" t="s">
        <v>657</v>
      </c>
      <c r="M535" t="s">
        <v>679</v>
      </c>
      <c r="N535" t="s">
        <v>706</v>
      </c>
      <c r="O535" t="s">
        <v>709</v>
      </c>
      <c r="P535" t="s">
        <v>723</v>
      </c>
      <c r="Q535" t="s">
        <v>732</v>
      </c>
      <c r="R535" t="s">
        <v>1265</v>
      </c>
      <c r="S535" s="6">
        <v>59.51</v>
      </c>
      <c r="T535" s="6">
        <v>67.040000000000006</v>
      </c>
      <c r="U535" s="6">
        <f t="shared" si="91"/>
        <v>67.040000000000006</v>
      </c>
      <c r="V535" s="8">
        <v>0.114</v>
      </c>
      <c r="W535" s="6">
        <v>9</v>
      </c>
      <c r="X535" s="6">
        <f t="shared" si="92"/>
        <v>534.57695999999999</v>
      </c>
      <c r="Y535">
        <f t="shared" si="93"/>
        <v>535.59</v>
      </c>
      <c r="Z535" s="6">
        <f t="shared" si="94"/>
        <v>-1.0130400000000463</v>
      </c>
      <c r="AA535">
        <f t="shared" si="95"/>
        <v>-1.8950311663264469E-3</v>
      </c>
      <c r="AB535" t="str">
        <f t="shared" si="96"/>
        <v>4-2025</v>
      </c>
      <c r="AC535" t="str">
        <f t="shared" si="97"/>
        <v>Q2-2025</v>
      </c>
      <c r="AD535" t="str">
        <f t="shared" si="98"/>
        <v>Europe →France →Lyon</v>
      </c>
      <c r="AE535" t="str">
        <f t="shared" si="88"/>
        <v>Low</v>
      </c>
      <c r="AF535" t="str">
        <f>TEXT(Table1[[#This Row],[OrderDate]],"MMM")</f>
        <v>Apr</v>
      </c>
      <c r="AG535" t="str">
        <f>TEXT(Table1[[#This Row],[OrderDate]],"YYYY")</f>
        <v>2025</v>
      </c>
      <c r="AI535" s="4">
        <f>IF(Table1[[#This Row],[RequiredDate]]&lt;Table1[[#This Row],[OrderDate]], Table1[[#This Row],[OrderDate]]+7, Table1[[#This Row],[RequiredDate]])</f>
        <v>45789</v>
      </c>
      <c r="AJ535">
        <f>IF(Dashboard!$D$3&gt;'Staging Data'!V535,'Staging Data'!V535,Dashboard!D$3)</f>
        <v>0.114</v>
      </c>
      <c r="AK535" s="19">
        <f>(100%+Dashboard!$D$4)*'Staging Data'!S535</f>
        <v>62.485500000000002</v>
      </c>
      <c r="AL535">
        <f>(100%+Dashboard!$D$5)*'Staging Data'!W535</f>
        <v>10.35</v>
      </c>
    </row>
    <row r="536" spans="1:38" x14ac:dyDescent="0.35">
      <c r="A536" s="6" t="s">
        <v>98</v>
      </c>
      <c r="B536" s="4">
        <v>45770</v>
      </c>
      <c r="C536" s="4">
        <v>45769</v>
      </c>
      <c r="D536" s="4">
        <f>IF(Table1[[#This Row],[RequiredDate]]&lt;Table1[[#This Row],[OrderDate]],Table1[[#This Row],[RequiredDate]],Table1[[#This Row],[OrderDate]])</f>
        <v>45769</v>
      </c>
      <c r="E536" s="4">
        <f>IF(Table1[[#This Row],[RequiredDate]]&gt;Table1[[#This Row],[OrderDate]],Table1[[#This Row],[RequiredDate]],Table1[[#This Row],[OrderDate]])</f>
        <v>45770</v>
      </c>
      <c r="F536" s="21">
        <f>Table1[[#This Row],[New RD]]-Table1[[#This Row],[new   od]]</f>
        <v>1</v>
      </c>
      <c r="G536" s="4">
        <f>IF(Table1[[#This Row],[RequiredDate]]&lt;Table1[[#This Row],[OrderDate]], Table1[[#This Row],[OrderDate]]+7, Table1[[#This Row],[RequiredDate]])</f>
        <v>45777</v>
      </c>
      <c r="H536" s="21">
        <f t="shared" si="89"/>
        <v>7</v>
      </c>
      <c r="I536" s="6" t="str">
        <f>IF(Table1[[#This Row],[New LTD]]&lt;=7,"Yes","No")</f>
        <v>Yes</v>
      </c>
      <c r="J536" s="6" t="str">
        <f t="shared" si="90"/>
        <v>Yes</v>
      </c>
      <c r="K536" t="s">
        <v>648</v>
      </c>
      <c r="L536" t="s">
        <v>660</v>
      </c>
      <c r="M536" t="s">
        <v>686</v>
      </c>
      <c r="N536" t="s">
        <v>703</v>
      </c>
      <c r="O536" t="s">
        <v>710</v>
      </c>
      <c r="P536" t="s">
        <v>726</v>
      </c>
      <c r="Q536" t="s">
        <v>732</v>
      </c>
      <c r="R536" t="s">
        <v>817</v>
      </c>
      <c r="S536" s="6">
        <v>23.24</v>
      </c>
      <c r="T536" s="6">
        <v>44.57</v>
      </c>
      <c r="U536" s="6">
        <f t="shared" si="91"/>
        <v>44.57</v>
      </c>
      <c r="V536" s="8">
        <v>0.215</v>
      </c>
      <c r="W536" s="6">
        <v>15</v>
      </c>
      <c r="X536" s="6">
        <f t="shared" si="92"/>
        <v>524.81174999999996</v>
      </c>
      <c r="Y536">
        <f t="shared" si="93"/>
        <v>348.59999999999997</v>
      </c>
      <c r="Z536" s="6">
        <f t="shared" si="94"/>
        <v>176.21174999999999</v>
      </c>
      <c r="AA536">
        <f t="shared" si="95"/>
        <v>0.33576182316802167</v>
      </c>
      <c r="AB536" t="str">
        <f t="shared" si="96"/>
        <v>4-2025</v>
      </c>
      <c r="AC536" t="str">
        <f t="shared" si="97"/>
        <v>Q2-2025</v>
      </c>
      <c r="AD536" t="str">
        <f t="shared" si="98"/>
        <v>Americas →USA →San Francisco</v>
      </c>
      <c r="AE536" t="str">
        <f t="shared" si="88"/>
        <v>Low</v>
      </c>
      <c r="AF536" t="str">
        <f>TEXT(Table1[[#This Row],[OrderDate]],"MMM")</f>
        <v>Apr</v>
      </c>
      <c r="AG536" t="str">
        <f>TEXT(Table1[[#This Row],[OrderDate]],"YYYY")</f>
        <v>2025</v>
      </c>
      <c r="AI536" s="4">
        <f>IF(Table1[[#This Row],[RequiredDate]]&lt;Table1[[#This Row],[OrderDate]], Table1[[#This Row],[OrderDate]]+7, Table1[[#This Row],[RequiredDate]])</f>
        <v>45777</v>
      </c>
      <c r="AJ536">
        <f>IF(Dashboard!$D$3&gt;'Staging Data'!V536,'Staging Data'!V536,Dashboard!D$3)</f>
        <v>0.2</v>
      </c>
      <c r="AK536" s="19">
        <f>(100%+Dashboard!$D$4)*'Staging Data'!S536</f>
        <v>24.402000000000001</v>
      </c>
      <c r="AL536">
        <f>(100%+Dashboard!$D$5)*'Staging Data'!W536</f>
        <v>17.25</v>
      </c>
    </row>
    <row r="537" spans="1:38" x14ac:dyDescent="0.35">
      <c r="A537" s="6" t="s">
        <v>245</v>
      </c>
      <c r="B537" s="4">
        <v>45771</v>
      </c>
      <c r="C537" s="4">
        <v>45783</v>
      </c>
      <c r="D537" s="4">
        <f>IF(Table1[[#This Row],[RequiredDate]]&lt;Table1[[#This Row],[OrderDate]],Table1[[#This Row],[RequiredDate]],Table1[[#This Row],[OrderDate]])</f>
        <v>45771</v>
      </c>
      <c r="E537" s="4">
        <f>IF(Table1[[#This Row],[RequiredDate]]&gt;Table1[[#This Row],[OrderDate]],Table1[[#This Row],[RequiredDate]],Table1[[#This Row],[OrderDate]])</f>
        <v>45783</v>
      </c>
      <c r="F537" s="21">
        <f>Table1[[#This Row],[New RD]]-Table1[[#This Row],[new   od]]</f>
        <v>12</v>
      </c>
      <c r="G537" s="4">
        <f>IF(Table1[[#This Row],[RequiredDate]]&lt;Table1[[#This Row],[OrderDate]], Table1[[#This Row],[OrderDate]]+7, Table1[[#This Row],[RequiredDate]])</f>
        <v>45783</v>
      </c>
      <c r="H537" s="21">
        <f t="shared" si="89"/>
        <v>12</v>
      </c>
      <c r="I537" s="6" t="str">
        <f>IF(Table1[[#This Row],[New LTD]]&lt;=7,"Yes","No")</f>
        <v>No</v>
      </c>
      <c r="J537" s="6" t="str">
        <f t="shared" si="90"/>
        <v>No</v>
      </c>
      <c r="K537" t="s">
        <v>648</v>
      </c>
      <c r="L537" t="s">
        <v>655</v>
      </c>
      <c r="M537" t="s">
        <v>672</v>
      </c>
      <c r="N537" t="s">
        <v>704</v>
      </c>
      <c r="O537" t="s">
        <v>708</v>
      </c>
      <c r="P537" t="s">
        <v>712</v>
      </c>
      <c r="Q537" t="s">
        <v>730</v>
      </c>
      <c r="R537" t="s">
        <v>965</v>
      </c>
      <c r="S537" s="6">
        <v>394.13</v>
      </c>
      <c r="T537" s="6">
        <v>932.29</v>
      </c>
      <c r="U537" s="6">
        <f t="shared" si="91"/>
        <v>932.29</v>
      </c>
      <c r="V537" s="8">
        <v>0.109</v>
      </c>
      <c r="W537" s="6">
        <v>7</v>
      </c>
      <c r="X537" s="6">
        <f t="shared" si="92"/>
        <v>5814.6927299999998</v>
      </c>
      <c r="Y537">
        <f t="shared" si="93"/>
        <v>2758.91</v>
      </c>
      <c r="Z537" s="6">
        <f t="shared" si="94"/>
        <v>3055.7827299999999</v>
      </c>
      <c r="AA537">
        <f t="shared" si="95"/>
        <v>0.5255278089303268</v>
      </c>
      <c r="AB537" t="str">
        <f t="shared" si="96"/>
        <v>4-2025</v>
      </c>
      <c r="AC537" t="str">
        <f t="shared" si="97"/>
        <v>Q2-2025</v>
      </c>
      <c r="AD537" t="str">
        <f t="shared" si="98"/>
        <v>Americas →Brazil →Brasília</v>
      </c>
      <c r="AE537" t="str">
        <f t="shared" si="88"/>
        <v>Medium</v>
      </c>
      <c r="AF537" t="str">
        <f>TEXT(Table1[[#This Row],[OrderDate]],"MMM")</f>
        <v>Apr</v>
      </c>
      <c r="AG537" t="str">
        <f>TEXT(Table1[[#This Row],[OrderDate]],"YYYY")</f>
        <v>2025</v>
      </c>
      <c r="AI537" s="4">
        <f>IF(Table1[[#This Row],[RequiredDate]]&lt;Table1[[#This Row],[OrderDate]], Table1[[#This Row],[OrderDate]]+7, Table1[[#This Row],[RequiredDate]])</f>
        <v>45783</v>
      </c>
      <c r="AJ537">
        <f>IF(Dashboard!$D$3&gt;'Staging Data'!V537,'Staging Data'!V537,Dashboard!D$3)</f>
        <v>0.109</v>
      </c>
      <c r="AK537" s="19">
        <f>(100%+Dashboard!$D$4)*'Staging Data'!S537</f>
        <v>413.8365</v>
      </c>
      <c r="AL537">
        <f>(100%+Dashboard!$D$5)*'Staging Data'!W537</f>
        <v>8.0499999999999989</v>
      </c>
    </row>
    <row r="538" spans="1:38" x14ac:dyDescent="0.35">
      <c r="A538" s="6" t="s">
        <v>77</v>
      </c>
      <c r="B538" s="4">
        <v>45774</v>
      </c>
      <c r="C538" s="4">
        <v>45802</v>
      </c>
      <c r="D538" s="4">
        <f>IF(Table1[[#This Row],[RequiredDate]]&lt;Table1[[#This Row],[OrderDate]],Table1[[#This Row],[RequiredDate]],Table1[[#This Row],[OrderDate]])</f>
        <v>45774</v>
      </c>
      <c r="E538" s="4">
        <f>IF(Table1[[#This Row],[RequiredDate]]&gt;Table1[[#This Row],[OrderDate]],Table1[[#This Row],[RequiredDate]],Table1[[#This Row],[OrderDate]])</f>
        <v>45802</v>
      </c>
      <c r="F538" s="21">
        <f>Table1[[#This Row],[New RD]]-Table1[[#This Row],[new   od]]</f>
        <v>28</v>
      </c>
      <c r="G538" s="4">
        <f>IF(Table1[[#This Row],[RequiredDate]]&lt;Table1[[#This Row],[OrderDate]], Table1[[#This Row],[OrderDate]]+7, Table1[[#This Row],[RequiredDate]])</f>
        <v>45802</v>
      </c>
      <c r="H538" s="21">
        <f t="shared" si="89"/>
        <v>28</v>
      </c>
      <c r="I538" s="6" t="str">
        <f>IF(Table1[[#This Row],[New LTD]]&lt;=7,"Yes","No")</f>
        <v>No</v>
      </c>
      <c r="J538" s="6" t="str">
        <f t="shared" si="90"/>
        <v>No</v>
      </c>
      <c r="K538" t="s">
        <v>649</v>
      </c>
      <c r="L538" t="s">
        <v>657</v>
      </c>
      <c r="M538" t="s">
        <v>690</v>
      </c>
      <c r="N538" t="s">
        <v>705</v>
      </c>
      <c r="O538" t="s">
        <v>709</v>
      </c>
      <c r="P538" t="s">
        <v>714</v>
      </c>
      <c r="Q538" t="s">
        <v>730</v>
      </c>
      <c r="R538" t="s">
        <v>796</v>
      </c>
      <c r="S538" s="6">
        <v>603.45000000000005</v>
      </c>
      <c r="T538" s="6">
        <v>1244.08</v>
      </c>
      <c r="U538" s="6">
        <f t="shared" si="91"/>
        <v>1244.08</v>
      </c>
      <c r="V538" s="8">
        <v>0.2</v>
      </c>
      <c r="W538" s="6">
        <v>11</v>
      </c>
      <c r="X538" s="6">
        <f t="shared" si="92"/>
        <v>10947.904</v>
      </c>
      <c r="Y538">
        <f t="shared" si="93"/>
        <v>6637.9500000000007</v>
      </c>
      <c r="Z538" s="6">
        <f t="shared" si="94"/>
        <v>4309.9539999999997</v>
      </c>
      <c r="AA538">
        <f t="shared" si="95"/>
        <v>0.39367846119220623</v>
      </c>
      <c r="AB538" t="str">
        <f t="shared" si="96"/>
        <v>4-2025</v>
      </c>
      <c r="AC538" t="str">
        <f t="shared" si="97"/>
        <v>Q2-2025</v>
      </c>
      <c r="AD538" t="str">
        <f t="shared" si="98"/>
        <v>Europe →France →Paris</v>
      </c>
      <c r="AE538" t="str">
        <f t="shared" ref="AE538:AE601" si="99">IF(T538&lt;=LowerCutOff,"Low", IF(T538&lt;=HigherCutOff,"Medium","High"))</f>
        <v>Medium</v>
      </c>
      <c r="AF538" t="str">
        <f>TEXT(Table1[[#This Row],[OrderDate]],"MMM")</f>
        <v>Apr</v>
      </c>
      <c r="AG538" t="str">
        <f>TEXT(Table1[[#This Row],[OrderDate]],"YYYY")</f>
        <v>2025</v>
      </c>
      <c r="AI538" s="4">
        <f>IF(Table1[[#This Row],[RequiredDate]]&lt;Table1[[#This Row],[OrderDate]], Table1[[#This Row],[OrderDate]]+7, Table1[[#This Row],[RequiredDate]])</f>
        <v>45802</v>
      </c>
      <c r="AJ538">
        <f>IF(Dashboard!$D$3&gt;'Staging Data'!V538,'Staging Data'!V538,Dashboard!D$3)</f>
        <v>0.2</v>
      </c>
      <c r="AK538" s="19">
        <f>(100%+Dashboard!$D$4)*'Staging Data'!S538</f>
        <v>633.62250000000006</v>
      </c>
      <c r="AL538">
        <f>(100%+Dashboard!$D$5)*'Staging Data'!W538</f>
        <v>12.649999999999999</v>
      </c>
    </row>
    <row r="539" spans="1:38" x14ac:dyDescent="0.35">
      <c r="A539" s="6" t="s">
        <v>348</v>
      </c>
      <c r="B539" s="4">
        <v>45774</v>
      </c>
      <c r="C539" s="4">
        <v>45804</v>
      </c>
      <c r="D539" s="4">
        <f>IF(Table1[[#This Row],[RequiredDate]]&lt;Table1[[#This Row],[OrderDate]],Table1[[#This Row],[RequiredDate]],Table1[[#This Row],[OrderDate]])</f>
        <v>45774</v>
      </c>
      <c r="E539" s="4">
        <f>IF(Table1[[#This Row],[RequiredDate]]&gt;Table1[[#This Row],[OrderDate]],Table1[[#This Row],[RequiredDate]],Table1[[#This Row],[OrderDate]])</f>
        <v>45804</v>
      </c>
      <c r="F539" s="21">
        <f>Table1[[#This Row],[New RD]]-Table1[[#This Row],[new   od]]</f>
        <v>30</v>
      </c>
      <c r="G539" s="4">
        <f>IF(Table1[[#This Row],[RequiredDate]]&lt;Table1[[#This Row],[OrderDate]], Table1[[#This Row],[OrderDate]]+7, Table1[[#This Row],[RequiredDate]])</f>
        <v>45804</v>
      </c>
      <c r="H539" s="21">
        <f t="shared" si="89"/>
        <v>30</v>
      </c>
      <c r="I539" s="6" t="str">
        <f>IF(Table1[[#This Row],[New LTD]]&lt;=7,"Yes","No")</f>
        <v>No</v>
      </c>
      <c r="J539" s="6" t="str">
        <f t="shared" si="90"/>
        <v>No</v>
      </c>
      <c r="K539" t="s">
        <v>647</v>
      </c>
      <c r="L539" t="s">
        <v>654</v>
      </c>
      <c r="M539" t="s">
        <v>1423</v>
      </c>
      <c r="N539" t="s">
        <v>706</v>
      </c>
      <c r="O539" t="s">
        <v>709</v>
      </c>
      <c r="P539" t="s">
        <v>722</v>
      </c>
      <c r="Q539" t="s">
        <v>730</v>
      </c>
      <c r="R539" t="s">
        <v>1068</v>
      </c>
      <c r="S539" s="6">
        <v>481.32</v>
      </c>
      <c r="T539" s="6">
        <v>1135.99</v>
      </c>
      <c r="U539" s="6">
        <f t="shared" si="91"/>
        <v>1135.99</v>
      </c>
      <c r="V539" s="8">
        <v>0.14499999999999999</v>
      </c>
      <c r="W539" s="6">
        <v>5</v>
      </c>
      <c r="X539" s="6">
        <f t="shared" si="92"/>
        <v>4856.35725</v>
      </c>
      <c r="Y539">
        <f t="shared" si="93"/>
        <v>2406.6</v>
      </c>
      <c r="Z539" s="6">
        <f t="shared" si="94"/>
        <v>2449.7572500000001</v>
      </c>
      <c r="AA539">
        <f t="shared" si="95"/>
        <v>0.50444337677175621</v>
      </c>
      <c r="AB539" t="str">
        <f t="shared" si="96"/>
        <v>4-2025</v>
      </c>
      <c r="AC539" t="str">
        <f t="shared" si="97"/>
        <v>Q2-2025</v>
      </c>
      <c r="AD539" t="str">
        <f t="shared" si="98"/>
        <v>Asia →India →N/A</v>
      </c>
      <c r="AE539" t="str">
        <f t="shared" si="99"/>
        <v>Medium</v>
      </c>
      <c r="AF539" t="str">
        <f>TEXT(Table1[[#This Row],[OrderDate]],"MMM")</f>
        <v>Apr</v>
      </c>
      <c r="AG539" t="str">
        <f>TEXT(Table1[[#This Row],[OrderDate]],"YYYY")</f>
        <v>2025</v>
      </c>
      <c r="AI539" s="4">
        <f>IF(Table1[[#This Row],[RequiredDate]]&lt;Table1[[#This Row],[OrderDate]], Table1[[#This Row],[OrderDate]]+7, Table1[[#This Row],[RequiredDate]])</f>
        <v>45804</v>
      </c>
      <c r="AJ539">
        <f>IF(Dashboard!$D$3&gt;'Staging Data'!V539,'Staging Data'!V539,Dashboard!D$3)</f>
        <v>0.14499999999999999</v>
      </c>
      <c r="AK539" s="19">
        <f>(100%+Dashboard!$D$4)*'Staging Data'!S539</f>
        <v>505.38600000000002</v>
      </c>
      <c r="AL539">
        <f>(100%+Dashboard!$D$5)*'Staging Data'!W539</f>
        <v>5.75</v>
      </c>
    </row>
    <row r="540" spans="1:38" x14ac:dyDescent="0.35">
      <c r="A540" s="6" t="s">
        <v>520</v>
      </c>
      <c r="B540" s="4">
        <v>45774</v>
      </c>
      <c r="C540" s="4">
        <v>45794</v>
      </c>
      <c r="D540" s="4">
        <f>IF(Table1[[#This Row],[RequiredDate]]&lt;Table1[[#This Row],[OrderDate]],Table1[[#This Row],[RequiredDate]],Table1[[#This Row],[OrderDate]])</f>
        <v>45774</v>
      </c>
      <c r="E540" s="4">
        <f>IF(Table1[[#This Row],[RequiredDate]]&gt;Table1[[#This Row],[OrderDate]],Table1[[#This Row],[RequiredDate]],Table1[[#This Row],[OrderDate]])</f>
        <v>45794</v>
      </c>
      <c r="F540" s="21">
        <f>Table1[[#This Row],[New RD]]-Table1[[#This Row],[new   od]]</f>
        <v>20</v>
      </c>
      <c r="G540" s="4">
        <f>IF(Table1[[#This Row],[RequiredDate]]&lt;Table1[[#This Row],[OrderDate]], Table1[[#This Row],[OrderDate]]+7, Table1[[#This Row],[RequiredDate]])</f>
        <v>45794</v>
      </c>
      <c r="H540" s="21">
        <f t="shared" si="89"/>
        <v>20</v>
      </c>
      <c r="I540" s="6" t="str">
        <f>IF(Table1[[#This Row],[New LTD]]&lt;=7,"Yes","No")</f>
        <v>No</v>
      </c>
      <c r="J540" s="6" t="str">
        <f t="shared" si="90"/>
        <v>Yes</v>
      </c>
      <c r="K540" t="s">
        <v>648</v>
      </c>
      <c r="L540" t="s">
        <v>660</v>
      </c>
      <c r="M540" t="s">
        <v>697</v>
      </c>
      <c r="N540" t="s">
        <v>701</v>
      </c>
      <c r="O540" t="s">
        <v>711</v>
      </c>
      <c r="P540" t="s">
        <v>725</v>
      </c>
      <c r="Q540" t="s">
        <v>730</v>
      </c>
      <c r="R540" t="s">
        <v>1239</v>
      </c>
      <c r="S540" s="6">
        <v>932.26</v>
      </c>
      <c r="T540" s="6">
        <v>1624.67</v>
      </c>
      <c r="U540" s="6">
        <f t="shared" si="91"/>
        <v>1624.67</v>
      </c>
      <c r="V540" s="8">
        <v>0.23499999999999999</v>
      </c>
      <c r="W540" s="6">
        <v>28</v>
      </c>
      <c r="X540" s="6">
        <f t="shared" si="92"/>
        <v>34800.431400000001</v>
      </c>
      <c r="Y540">
        <f t="shared" si="93"/>
        <v>26103.279999999999</v>
      </c>
      <c r="Z540" s="6">
        <f t="shared" si="94"/>
        <v>8697.1514000000025</v>
      </c>
      <c r="AA540">
        <f t="shared" si="95"/>
        <v>0.24991504559337163</v>
      </c>
      <c r="AB540" t="str">
        <f t="shared" si="96"/>
        <v>4-2025</v>
      </c>
      <c r="AC540" t="str">
        <f t="shared" si="97"/>
        <v>Q2-2025</v>
      </c>
      <c r="AD540" t="str">
        <f t="shared" si="98"/>
        <v>Americas →USA →Austin</v>
      </c>
      <c r="AE540" t="str">
        <f t="shared" si="99"/>
        <v>High</v>
      </c>
      <c r="AF540" t="str">
        <f>TEXT(Table1[[#This Row],[OrderDate]],"MMM")</f>
        <v>Apr</v>
      </c>
      <c r="AG540" t="str">
        <f>TEXT(Table1[[#This Row],[OrderDate]],"YYYY")</f>
        <v>2025</v>
      </c>
      <c r="AI540" s="4">
        <f>IF(Table1[[#This Row],[RequiredDate]]&lt;Table1[[#This Row],[OrderDate]], Table1[[#This Row],[OrderDate]]+7, Table1[[#This Row],[RequiredDate]])</f>
        <v>45794</v>
      </c>
      <c r="AJ540">
        <f>IF(Dashboard!$D$3&gt;'Staging Data'!V540,'Staging Data'!V540,Dashboard!D$3)</f>
        <v>0.2</v>
      </c>
      <c r="AK540" s="19">
        <f>(100%+Dashboard!$D$4)*'Staging Data'!S540</f>
        <v>978.87300000000005</v>
      </c>
      <c r="AL540">
        <f>(100%+Dashboard!$D$5)*'Staging Data'!W540</f>
        <v>32.199999999999996</v>
      </c>
    </row>
    <row r="541" spans="1:38" x14ac:dyDescent="0.35">
      <c r="A541" s="6" t="s">
        <v>105</v>
      </c>
      <c r="B541" s="4">
        <v>45775</v>
      </c>
      <c r="C541" s="4">
        <v>45792</v>
      </c>
      <c r="D541" s="4">
        <f>IF(Table1[[#This Row],[RequiredDate]]&lt;Table1[[#This Row],[OrderDate]],Table1[[#This Row],[RequiredDate]],Table1[[#This Row],[OrderDate]])</f>
        <v>45775</v>
      </c>
      <c r="E541" s="4">
        <f>IF(Table1[[#This Row],[RequiredDate]]&gt;Table1[[#This Row],[OrderDate]],Table1[[#This Row],[RequiredDate]],Table1[[#This Row],[OrderDate]])</f>
        <v>45792</v>
      </c>
      <c r="F541" s="21">
        <f>Table1[[#This Row],[New RD]]-Table1[[#This Row],[new   od]]</f>
        <v>17</v>
      </c>
      <c r="G541" s="4">
        <f>IF(Table1[[#This Row],[RequiredDate]]&lt;Table1[[#This Row],[OrderDate]], Table1[[#This Row],[OrderDate]]+7, Table1[[#This Row],[RequiredDate]])</f>
        <v>45792</v>
      </c>
      <c r="H541" s="21">
        <f t="shared" si="89"/>
        <v>17</v>
      </c>
      <c r="I541" s="6" t="str">
        <f>IF(Table1[[#This Row],[New LTD]]&lt;=7,"Yes","No")</f>
        <v>No</v>
      </c>
      <c r="J541" s="6" t="str">
        <f t="shared" si="90"/>
        <v>No</v>
      </c>
      <c r="K541" t="s">
        <v>647</v>
      </c>
      <c r="L541" t="s">
        <v>652</v>
      </c>
      <c r="M541" t="s">
        <v>694</v>
      </c>
      <c r="N541" t="s">
        <v>702</v>
      </c>
      <c r="O541" t="s">
        <v>711</v>
      </c>
      <c r="P541" t="s">
        <v>725</v>
      </c>
      <c r="Q541" t="s">
        <v>729</v>
      </c>
      <c r="R541" t="s">
        <v>824</v>
      </c>
      <c r="S541" s="6">
        <v>691.19</v>
      </c>
      <c r="T541" s="6">
        <v>1284.3</v>
      </c>
      <c r="U541" s="6">
        <f t="shared" si="91"/>
        <v>1284.3</v>
      </c>
      <c r="V541" s="8">
        <v>7.3999999999999996E-2</v>
      </c>
      <c r="W541" s="6">
        <v>7</v>
      </c>
      <c r="X541" s="6">
        <f t="shared" si="92"/>
        <v>8324.8326000000015</v>
      </c>
      <c r="Y541">
        <f t="shared" si="93"/>
        <v>4838.33</v>
      </c>
      <c r="Z541" s="6">
        <f t="shared" si="94"/>
        <v>3486.5026000000016</v>
      </c>
      <c r="AA541">
        <f t="shared" si="95"/>
        <v>0.41880753253825198</v>
      </c>
      <c r="AB541" t="str">
        <f t="shared" si="96"/>
        <v>4-2025</v>
      </c>
      <c r="AC541" t="str">
        <f t="shared" si="97"/>
        <v>Q2-2025</v>
      </c>
      <c r="AD541" t="str">
        <f t="shared" si="98"/>
        <v>Asia →Japan →Nagoya</v>
      </c>
      <c r="AE541" t="str">
        <f t="shared" si="99"/>
        <v>Medium</v>
      </c>
      <c r="AF541" t="str">
        <f>TEXT(Table1[[#This Row],[OrderDate]],"MMM")</f>
        <v>Apr</v>
      </c>
      <c r="AG541" t="str">
        <f>TEXT(Table1[[#This Row],[OrderDate]],"YYYY")</f>
        <v>2025</v>
      </c>
      <c r="AI541" s="4">
        <f>IF(Table1[[#This Row],[RequiredDate]]&lt;Table1[[#This Row],[OrderDate]], Table1[[#This Row],[OrderDate]]+7, Table1[[#This Row],[RequiredDate]])</f>
        <v>45792</v>
      </c>
      <c r="AJ541">
        <f>IF(Dashboard!$D$3&gt;'Staging Data'!V541,'Staging Data'!V541,Dashboard!D$3)</f>
        <v>7.3999999999999996E-2</v>
      </c>
      <c r="AK541" s="19">
        <f>(100%+Dashboard!$D$4)*'Staging Data'!S541</f>
        <v>725.74950000000013</v>
      </c>
      <c r="AL541">
        <f>(100%+Dashboard!$D$5)*'Staging Data'!W541</f>
        <v>8.0499999999999989</v>
      </c>
    </row>
    <row r="542" spans="1:38" x14ac:dyDescent="0.35">
      <c r="A542" s="6" t="s">
        <v>497</v>
      </c>
      <c r="B542" s="4">
        <v>45775</v>
      </c>
      <c r="C542" s="4">
        <v>45796</v>
      </c>
      <c r="D542" s="4">
        <f>IF(Table1[[#This Row],[RequiredDate]]&lt;Table1[[#This Row],[OrderDate]],Table1[[#This Row],[RequiredDate]],Table1[[#This Row],[OrderDate]])</f>
        <v>45775</v>
      </c>
      <c r="E542" s="4">
        <f>IF(Table1[[#This Row],[RequiredDate]]&gt;Table1[[#This Row],[OrderDate]],Table1[[#This Row],[RequiredDate]],Table1[[#This Row],[OrderDate]])</f>
        <v>45796</v>
      </c>
      <c r="F542" s="21">
        <f>Table1[[#This Row],[New RD]]-Table1[[#This Row],[new   od]]</f>
        <v>21</v>
      </c>
      <c r="G542" s="4">
        <f>IF(Table1[[#This Row],[RequiredDate]]&lt;Table1[[#This Row],[OrderDate]], Table1[[#This Row],[OrderDate]]+7, Table1[[#This Row],[RequiredDate]])</f>
        <v>45796</v>
      </c>
      <c r="H542" s="21">
        <f t="shared" si="89"/>
        <v>21</v>
      </c>
      <c r="I542" s="6" t="str">
        <f>IF(Table1[[#This Row],[New LTD]]&lt;=7,"Yes","No")</f>
        <v>No</v>
      </c>
      <c r="J542" s="6" t="str">
        <f t="shared" si="90"/>
        <v>No</v>
      </c>
      <c r="K542" t="s">
        <v>649</v>
      </c>
      <c r="L542" t="s">
        <v>656</v>
      </c>
      <c r="M542" t="s">
        <v>671</v>
      </c>
      <c r="N542" t="s">
        <v>701</v>
      </c>
      <c r="O542" t="s">
        <v>710</v>
      </c>
      <c r="P542" t="s">
        <v>717</v>
      </c>
      <c r="Q542" t="s">
        <v>730</v>
      </c>
      <c r="R542" t="s">
        <v>1216</v>
      </c>
      <c r="S542" s="6">
        <v>350.76</v>
      </c>
      <c r="T542" s="6">
        <v>492.18</v>
      </c>
      <c r="U542" s="6">
        <f t="shared" si="91"/>
        <v>492.18</v>
      </c>
      <c r="V542" s="8">
        <v>5.2999999999999999E-2</v>
      </c>
      <c r="W542" s="6">
        <v>11</v>
      </c>
      <c r="X542" s="6">
        <f t="shared" si="92"/>
        <v>5127.0390600000001</v>
      </c>
      <c r="Y542">
        <f t="shared" si="93"/>
        <v>3858.3599999999997</v>
      </c>
      <c r="Z542" s="6">
        <f t="shared" si="94"/>
        <v>1268.6790600000004</v>
      </c>
      <c r="AA542">
        <f t="shared" si="95"/>
        <v>0.24744868239798437</v>
      </c>
      <c r="AB542" t="str">
        <f t="shared" si="96"/>
        <v>4-2025</v>
      </c>
      <c r="AC542" t="str">
        <f t="shared" si="97"/>
        <v>Q2-2025</v>
      </c>
      <c r="AD542" t="str">
        <f t="shared" si="98"/>
        <v>Europe →Germany →Berlin</v>
      </c>
      <c r="AE542" t="str">
        <f t="shared" si="99"/>
        <v>Low</v>
      </c>
      <c r="AF542" t="str">
        <f>TEXT(Table1[[#This Row],[OrderDate]],"MMM")</f>
        <v>Apr</v>
      </c>
      <c r="AG542" t="str">
        <f>TEXT(Table1[[#This Row],[OrderDate]],"YYYY")</f>
        <v>2025</v>
      </c>
      <c r="AI542" s="4">
        <f>IF(Table1[[#This Row],[RequiredDate]]&lt;Table1[[#This Row],[OrderDate]], Table1[[#This Row],[OrderDate]]+7, Table1[[#This Row],[RequiredDate]])</f>
        <v>45796</v>
      </c>
      <c r="AJ542">
        <f>IF(Dashboard!$D$3&gt;'Staging Data'!V542,'Staging Data'!V542,Dashboard!D$3)</f>
        <v>5.2999999999999999E-2</v>
      </c>
      <c r="AK542" s="19">
        <f>(100%+Dashboard!$D$4)*'Staging Data'!S542</f>
        <v>368.298</v>
      </c>
      <c r="AL542">
        <f>(100%+Dashboard!$D$5)*'Staging Data'!W542</f>
        <v>12.649999999999999</v>
      </c>
    </row>
    <row r="543" spans="1:38" x14ac:dyDescent="0.35">
      <c r="A543" s="6" t="s">
        <v>74</v>
      </c>
      <c r="B543" s="4">
        <v>45779</v>
      </c>
      <c r="C543" s="4">
        <v>45790</v>
      </c>
      <c r="D543" s="4">
        <f>IF(Table1[[#This Row],[RequiredDate]]&lt;Table1[[#This Row],[OrderDate]],Table1[[#This Row],[RequiredDate]],Table1[[#This Row],[OrderDate]])</f>
        <v>45779</v>
      </c>
      <c r="E543" s="4">
        <f>IF(Table1[[#This Row],[RequiredDate]]&gt;Table1[[#This Row],[OrderDate]],Table1[[#This Row],[RequiredDate]],Table1[[#This Row],[OrderDate]])</f>
        <v>45790</v>
      </c>
      <c r="F543" s="21">
        <f>Table1[[#This Row],[New RD]]-Table1[[#This Row],[new   od]]</f>
        <v>11</v>
      </c>
      <c r="G543" s="4">
        <f>IF(Table1[[#This Row],[RequiredDate]]&lt;Table1[[#This Row],[OrderDate]], Table1[[#This Row],[OrderDate]]+7, Table1[[#This Row],[RequiredDate]])</f>
        <v>45790</v>
      </c>
      <c r="H543" s="21">
        <f t="shared" si="89"/>
        <v>11</v>
      </c>
      <c r="I543" s="6" t="str">
        <f>IF(Table1[[#This Row],[New LTD]]&lt;=7,"Yes","No")</f>
        <v>No</v>
      </c>
      <c r="J543" s="6" t="str">
        <f t="shared" si="90"/>
        <v>Yes</v>
      </c>
      <c r="K543" t="s">
        <v>646</v>
      </c>
      <c r="L543" t="s">
        <v>650</v>
      </c>
      <c r="M543" t="s">
        <v>678</v>
      </c>
      <c r="N543" t="s">
        <v>705</v>
      </c>
      <c r="O543" t="s">
        <v>708</v>
      </c>
      <c r="P543" t="s">
        <v>720</v>
      </c>
      <c r="Q543" t="s">
        <v>733</v>
      </c>
      <c r="R543" t="s">
        <v>793</v>
      </c>
      <c r="S543" s="6">
        <v>1057.5999999999999</v>
      </c>
      <c r="T543" s="6">
        <v>1437.06</v>
      </c>
      <c r="U543" s="6">
        <f t="shared" si="91"/>
        <v>1437.06</v>
      </c>
      <c r="V543" s="8">
        <v>0.20499999999999999</v>
      </c>
      <c r="W543" s="6">
        <v>4</v>
      </c>
      <c r="X543" s="6">
        <f t="shared" si="92"/>
        <v>4569.8508000000002</v>
      </c>
      <c r="Y543">
        <f t="shared" si="93"/>
        <v>4230.3999999999996</v>
      </c>
      <c r="Z543" s="6">
        <f t="shared" si="94"/>
        <v>339.45080000000053</v>
      </c>
      <c r="AA543">
        <f t="shared" si="95"/>
        <v>7.4280499485891424E-2</v>
      </c>
      <c r="AB543" t="str">
        <f t="shared" si="96"/>
        <v>5-2025</v>
      </c>
      <c r="AC543" t="str">
        <f t="shared" si="97"/>
        <v>Q2-2025</v>
      </c>
      <c r="AD543" t="str">
        <f t="shared" si="98"/>
        <v>Africa →Kenya →Nakuru</v>
      </c>
      <c r="AE543" t="str">
        <f t="shared" si="99"/>
        <v>Medium</v>
      </c>
      <c r="AF543" t="str">
        <f>TEXT(Table1[[#This Row],[OrderDate]],"MMM")</f>
        <v>May</v>
      </c>
      <c r="AG543" t="str">
        <f>TEXT(Table1[[#This Row],[OrderDate]],"YYYY")</f>
        <v>2025</v>
      </c>
      <c r="AI543" s="4">
        <f>IF(Table1[[#This Row],[RequiredDate]]&lt;Table1[[#This Row],[OrderDate]], Table1[[#This Row],[OrderDate]]+7, Table1[[#This Row],[RequiredDate]])</f>
        <v>45790</v>
      </c>
      <c r="AJ543">
        <f>IF(Dashboard!$D$3&gt;'Staging Data'!V543,'Staging Data'!V543,Dashboard!D$3)</f>
        <v>0.2</v>
      </c>
      <c r="AK543" s="19">
        <f>(100%+Dashboard!$D$4)*'Staging Data'!S543</f>
        <v>1110.48</v>
      </c>
      <c r="AL543">
        <f>(100%+Dashboard!$D$5)*'Staging Data'!W543</f>
        <v>4.5999999999999996</v>
      </c>
    </row>
    <row r="544" spans="1:38" x14ac:dyDescent="0.35">
      <c r="A544" s="6" t="s">
        <v>443</v>
      </c>
      <c r="B544" s="4">
        <v>45784</v>
      </c>
      <c r="C544" s="4">
        <v>45790</v>
      </c>
      <c r="D544" s="4">
        <f>IF(Table1[[#This Row],[RequiredDate]]&lt;Table1[[#This Row],[OrderDate]],Table1[[#This Row],[RequiredDate]],Table1[[#This Row],[OrderDate]])</f>
        <v>45784</v>
      </c>
      <c r="E544" s="4">
        <f>IF(Table1[[#This Row],[RequiredDate]]&gt;Table1[[#This Row],[OrderDate]],Table1[[#This Row],[RequiredDate]],Table1[[#This Row],[OrderDate]])</f>
        <v>45790</v>
      </c>
      <c r="F544" s="21">
        <f>Table1[[#This Row],[New RD]]-Table1[[#This Row],[new   od]]</f>
        <v>6</v>
      </c>
      <c r="G544" s="4">
        <f>IF(Table1[[#This Row],[RequiredDate]]&lt;Table1[[#This Row],[OrderDate]], Table1[[#This Row],[OrderDate]]+7, Table1[[#This Row],[RequiredDate]])</f>
        <v>45790</v>
      </c>
      <c r="H544" s="21">
        <f t="shared" si="89"/>
        <v>6</v>
      </c>
      <c r="I544" s="6" t="str">
        <f>IF(Table1[[#This Row],[New LTD]]&lt;=7,"Yes","No")</f>
        <v>Yes</v>
      </c>
      <c r="J544" s="6" t="str">
        <f t="shared" si="90"/>
        <v>No</v>
      </c>
      <c r="K544" t="s">
        <v>647</v>
      </c>
      <c r="L544" t="s">
        <v>654</v>
      </c>
      <c r="M544" t="s">
        <v>668</v>
      </c>
      <c r="N544" t="s">
        <v>706</v>
      </c>
      <c r="O544" t="s">
        <v>711</v>
      </c>
      <c r="P544" t="s">
        <v>713</v>
      </c>
      <c r="Q544" t="s">
        <v>730</v>
      </c>
      <c r="R544" t="s">
        <v>1162</v>
      </c>
      <c r="S544" s="6">
        <v>935.98</v>
      </c>
      <c r="T544" s="6">
        <v>2077.69</v>
      </c>
      <c r="U544" s="6">
        <f t="shared" si="91"/>
        <v>2077.69</v>
      </c>
      <c r="V544" s="8">
        <v>0.17499999999999999</v>
      </c>
      <c r="W544" s="6">
        <v>24</v>
      </c>
      <c r="X544" s="6">
        <f t="shared" si="92"/>
        <v>41138.261999999995</v>
      </c>
      <c r="Y544">
        <f t="shared" si="93"/>
        <v>22463.52</v>
      </c>
      <c r="Z544" s="6">
        <f t="shared" si="94"/>
        <v>18674.741999999995</v>
      </c>
      <c r="AA544">
        <f t="shared" si="95"/>
        <v>0.45395067978321491</v>
      </c>
      <c r="AB544" t="str">
        <f t="shared" si="96"/>
        <v>5-2025</v>
      </c>
      <c r="AC544" t="str">
        <f t="shared" si="97"/>
        <v>Q2-2025</v>
      </c>
      <c r="AD544" t="str">
        <f t="shared" si="98"/>
        <v>Asia →India →Bengaluru</v>
      </c>
      <c r="AE544" t="str">
        <f t="shared" si="99"/>
        <v>High</v>
      </c>
      <c r="AF544" t="str">
        <f>TEXT(Table1[[#This Row],[OrderDate]],"MMM")</f>
        <v>May</v>
      </c>
      <c r="AG544" t="str">
        <f>TEXT(Table1[[#This Row],[OrderDate]],"YYYY")</f>
        <v>2025</v>
      </c>
      <c r="AI544" s="4">
        <f>IF(Table1[[#This Row],[RequiredDate]]&lt;Table1[[#This Row],[OrderDate]], Table1[[#This Row],[OrderDate]]+7, Table1[[#This Row],[RequiredDate]])</f>
        <v>45790</v>
      </c>
      <c r="AJ544">
        <f>IF(Dashboard!$D$3&gt;'Staging Data'!V544,'Staging Data'!V544,Dashboard!D$3)</f>
        <v>0.17499999999999999</v>
      </c>
      <c r="AK544" s="19">
        <f>(100%+Dashboard!$D$4)*'Staging Data'!S544</f>
        <v>982.77900000000011</v>
      </c>
      <c r="AL544">
        <f>(100%+Dashboard!$D$5)*'Staging Data'!W544</f>
        <v>27.599999999999998</v>
      </c>
    </row>
    <row r="545" spans="1:38" x14ac:dyDescent="0.35">
      <c r="A545" s="6" t="s">
        <v>314</v>
      </c>
      <c r="B545" s="4">
        <v>45787</v>
      </c>
      <c r="C545" s="4">
        <v>45804</v>
      </c>
      <c r="D545" s="4">
        <f>IF(Table1[[#This Row],[RequiredDate]]&lt;Table1[[#This Row],[OrderDate]],Table1[[#This Row],[RequiredDate]],Table1[[#This Row],[OrderDate]])</f>
        <v>45787</v>
      </c>
      <c r="E545" s="4">
        <f>IF(Table1[[#This Row],[RequiredDate]]&gt;Table1[[#This Row],[OrderDate]],Table1[[#This Row],[RequiredDate]],Table1[[#This Row],[OrderDate]])</f>
        <v>45804</v>
      </c>
      <c r="F545" s="21">
        <f>Table1[[#This Row],[New RD]]-Table1[[#This Row],[new   od]]</f>
        <v>17</v>
      </c>
      <c r="G545" s="4">
        <f>IF(Table1[[#This Row],[RequiredDate]]&lt;Table1[[#This Row],[OrderDate]], Table1[[#This Row],[OrderDate]]+7, Table1[[#This Row],[RequiredDate]])</f>
        <v>45804</v>
      </c>
      <c r="H545" s="21">
        <f t="shared" si="89"/>
        <v>17</v>
      </c>
      <c r="I545" s="6" t="str">
        <f>IF(Table1[[#This Row],[New LTD]]&lt;=7,"Yes","No")</f>
        <v>No</v>
      </c>
      <c r="J545" s="6" t="str">
        <f t="shared" si="90"/>
        <v>No</v>
      </c>
      <c r="K545" t="s">
        <v>648</v>
      </c>
      <c r="L545" t="s">
        <v>653</v>
      </c>
      <c r="M545" t="s">
        <v>688</v>
      </c>
      <c r="N545" t="s">
        <v>702</v>
      </c>
      <c r="O545" t="s">
        <v>711</v>
      </c>
      <c r="P545" t="s">
        <v>712</v>
      </c>
      <c r="Q545" t="s">
        <v>727</v>
      </c>
      <c r="R545" t="s">
        <v>1034</v>
      </c>
      <c r="S545" s="6">
        <v>862.89</v>
      </c>
      <c r="T545" s="6">
        <v>1426.03</v>
      </c>
      <c r="U545" s="6">
        <f t="shared" si="91"/>
        <v>1426.03</v>
      </c>
      <c r="V545" s="8">
        <v>5.6000000000000001E-2</v>
      </c>
      <c r="W545" s="6">
        <v>19</v>
      </c>
      <c r="X545" s="6">
        <f t="shared" si="92"/>
        <v>25577.274079999999</v>
      </c>
      <c r="Y545">
        <f t="shared" si="93"/>
        <v>16394.91</v>
      </c>
      <c r="Z545" s="6">
        <f t="shared" si="94"/>
        <v>9182.3640799999994</v>
      </c>
      <c r="AA545">
        <f t="shared" si="95"/>
        <v>0.35900479665188778</v>
      </c>
      <c r="AB545" t="str">
        <f t="shared" si="96"/>
        <v>5-2025</v>
      </c>
      <c r="AC545" t="str">
        <f t="shared" si="97"/>
        <v>Q2-2025</v>
      </c>
      <c r="AD545" t="str">
        <f t="shared" si="98"/>
        <v>Americas →Canada →Vancouver</v>
      </c>
      <c r="AE545" t="str">
        <f t="shared" si="99"/>
        <v>Medium</v>
      </c>
      <c r="AF545" t="str">
        <f>TEXT(Table1[[#This Row],[OrderDate]],"MMM")</f>
        <v>May</v>
      </c>
      <c r="AG545" t="str">
        <f>TEXT(Table1[[#This Row],[OrderDate]],"YYYY")</f>
        <v>2025</v>
      </c>
      <c r="AI545" s="4">
        <f>IF(Table1[[#This Row],[RequiredDate]]&lt;Table1[[#This Row],[OrderDate]], Table1[[#This Row],[OrderDate]]+7, Table1[[#This Row],[RequiredDate]])</f>
        <v>45804</v>
      </c>
      <c r="AJ545">
        <f>IF(Dashboard!$D$3&gt;'Staging Data'!V545,'Staging Data'!V545,Dashboard!D$3)</f>
        <v>5.6000000000000001E-2</v>
      </c>
      <c r="AK545" s="19">
        <f>(100%+Dashboard!$D$4)*'Staging Data'!S545</f>
        <v>906.03449999999998</v>
      </c>
      <c r="AL545">
        <f>(100%+Dashboard!$D$5)*'Staging Data'!W545</f>
        <v>21.849999999999998</v>
      </c>
    </row>
    <row r="546" spans="1:38" x14ac:dyDescent="0.35">
      <c r="A546" s="6" t="s">
        <v>400</v>
      </c>
      <c r="B546" s="4">
        <v>45789</v>
      </c>
      <c r="C546" s="4">
        <v>45803</v>
      </c>
      <c r="D546" s="4">
        <f>IF(Table1[[#This Row],[RequiredDate]]&lt;Table1[[#This Row],[OrderDate]],Table1[[#This Row],[RequiredDate]],Table1[[#This Row],[OrderDate]])</f>
        <v>45789</v>
      </c>
      <c r="E546" s="4">
        <f>IF(Table1[[#This Row],[RequiredDate]]&gt;Table1[[#This Row],[OrderDate]],Table1[[#This Row],[RequiredDate]],Table1[[#This Row],[OrderDate]])</f>
        <v>45803</v>
      </c>
      <c r="F546" s="21">
        <f>Table1[[#This Row],[New RD]]-Table1[[#This Row],[new   od]]</f>
        <v>14</v>
      </c>
      <c r="G546" s="4">
        <f>IF(Table1[[#This Row],[RequiredDate]]&lt;Table1[[#This Row],[OrderDate]], Table1[[#This Row],[OrderDate]]+7, Table1[[#This Row],[RequiredDate]])</f>
        <v>45803</v>
      </c>
      <c r="H546" s="21">
        <f t="shared" si="89"/>
        <v>14</v>
      </c>
      <c r="I546" s="6" t="str">
        <f>IF(Table1[[#This Row],[New LTD]]&lt;=7,"Yes","No")</f>
        <v>No</v>
      </c>
      <c r="J546" s="6" t="str">
        <f t="shared" si="90"/>
        <v>No</v>
      </c>
      <c r="K546" t="s">
        <v>647</v>
      </c>
      <c r="L546" t="s">
        <v>654</v>
      </c>
      <c r="M546" t="s">
        <v>696</v>
      </c>
      <c r="N546" t="s">
        <v>701</v>
      </c>
      <c r="O546" t="s">
        <v>709</v>
      </c>
      <c r="P546" t="s">
        <v>715</v>
      </c>
      <c r="Q546" t="s">
        <v>728</v>
      </c>
      <c r="R546" t="s">
        <v>1119</v>
      </c>
      <c r="S546" s="6">
        <v>320.12</v>
      </c>
      <c r="T546" s="6">
        <v>594.41999999999996</v>
      </c>
      <c r="U546" s="6">
        <f t="shared" si="91"/>
        <v>594.41999999999996</v>
      </c>
      <c r="V546" s="8">
        <v>0.104</v>
      </c>
      <c r="W546" s="6">
        <v>18</v>
      </c>
      <c r="X546" s="6">
        <f t="shared" si="92"/>
        <v>9586.8057599999993</v>
      </c>
      <c r="Y546">
        <f t="shared" si="93"/>
        <v>5762.16</v>
      </c>
      <c r="Z546" s="6">
        <f t="shared" si="94"/>
        <v>3824.6457599999994</v>
      </c>
      <c r="AA546">
        <f t="shared" si="95"/>
        <v>0.39894891538931104</v>
      </c>
      <c r="AB546" t="str">
        <f t="shared" si="96"/>
        <v>5-2025</v>
      </c>
      <c r="AC546" t="str">
        <f t="shared" si="97"/>
        <v>Q2-2025</v>
      </c>
      <c r="AD546" t="str">
        <f t="shared" si="98"/>
        <v>Asia →India →Hyderabad</v>
      </c>
      <c r="AE546" t="str">
        <f t="shared" si="99"/>
        <v>Low</v>
      </c>
      <c r="AF546" t="str">
        <f>TEXT(Table1[[#This Row],[OrderDate]],"MMM")</f>
        <v>May</v>
      </c>
      <c r="AG546" t="str">
        <f>TEXT(Table1[[#This Row],[OrderDate]],"YYYY")</f>
        <v>2025</v>
      </c>
      <c r="AI546" s="4">
        <f>IF(Table1[[#This Row],[RequiredDate]]&lt;Table1[[#This Row],[OrderDate]], Table1[[#This Row],[OrderDate]]+7, Table1[[#This Row],[RequiredDate]])</f>
        <v>45803</v>
      </c>
      <c r="AJ546">
        <f>IF(Dashboard!$D$3&gt;'Staging Data'!V546,'Staging Data'!V546,Dashboard!D$3)</f>
        <v>0.104</v>
      </c>
      <c r="AK546" s="19">
        <f>(100%+Dashboard!$D$4)*'Staging Data'!S546</f>
        <v>336.12600000000003</v>
      </c>
      <c r="AL546">
        <f>(100%+Dashboard!$D$5)*'Staging Data'!W546</f>
        <v>20.7</v>
      </c>
    </row>
    <row r="547" spans="1:38" x14ac:dyDescent="0.35">
      <c r="A547" s="6" t="s">
        <v>97</v>
      </c>
      <c r="B547" s="4">
        <v>45791</v>
      </c>
      <c r="C547" s="4">
        <v>45801</v>
      </c>
      <c r="D547" s="4">
        <f>IF(Table1[[#This Row],[RequiredDate]]&lt;Table1[[#This Row],[OrderDate]],Table1[[#This Row],[RequiredDate]],Table1[[#This Row],[OrderDate]])</f>
        <v>45791</v>
      </c>
      <c r="E547" s="4">
        <f>IF(Table1[[#This Row],[RequiredDate]]&gt;Table1[[#This Row],[OrderDate]],Table1[[#This Row],[RequiredDate]],Table1[[#This Row],[OrderDate]])</f>
        <v>45801</v>
      </c>
      <c r="F547" s="21">
        <f>Table1[[#This Row],[New RD]]-Table1[[#This Row],[new   od]]</f>
        <v>10</v>
      </c>
      <c r="G547" s="4">
        <f>IF(Table1[[#This Row],[RequiredDate]]&lt;Table1[[#This Row],[OrderDate]], Table1[[#This Row],[OrderDate]]+7, Table1[[#This Row],[RequiredDate]])</f>
        <v>45801</v>
      </c>
      <c r="H547" s="21">
        <f t="shared" si="89"/>
        <v>10</v>
      </c>
      <c r="I547" s="6" t="str">
        <f>IF(Table1[[#This Row],[New LTD]]&lt;=7,"Yes","No")</f>
        <v>No</v>
      </c>
      <c r="J547" s="6" t="str">
        <f t="shared" si="90"/>
        <v>No</v>
      </c>
      <c r="K547" t="s">
        <v>649</v>
      </c>
      <c r="L547" t="s">
        <v>657</v>
      </c>
      <c r="M547" t="s">
        <v>690</v>
      </c>
      <c r="N547" t="s">
        <v>705</v>
      </c>
      <c r="O547" t="s">
        <v>709</v>
      </c>
      <c r="P547" t="s">
        <v>723</v>
      </c>
      <c r="Q547" t="s">
        <v>727</v>
      </c>
      <c r="R547" t="s">
        <v>816</v>
      </c>
      <c r="S547" s="6">
        <v>170.39</v>
      </c>
      <c r="T547" s="6">
        <v>388.04</v>
      </c>
      <c r="U547" s="6">
        <f t="shared" si="91"/>
        <v>388.04</v>
      </c>
      <c r="V547" s="8">
        <v>8.4000000000000005E-2</v>
      </c>
      <c r="W547" s="6">
        <v>15</v>
      </c>
      <c r="X547" s="6">
        <f t="shared" si="92"/>
        <v>5331.6696000000002</v>
      </c>
      <c r="Y547">
        <f t="shared" si="93"/>
        <v>2555.85</v>
      </c>
      <c r="Z547" s="6">
        <f t="shared" si="94"/>
        <v>2775.8196000000003</v>
      </c>
      <c r="AA547">
        <f t="shared" si="95"/>
        <v>0.52062858508711796</v>
      </c>
      <c r="AB547" t="str">
        <f t="shared" si="96"/>
        <v>5-2025</v>
      </c>
      <c r="AC547" t="str">
        <f t="shared" si="97"/>
        <v>Q2-2025</v>
      </c>
      <c r="AD547" t="str">
        <f t="shared" si="98"/>
        <v>Europe →France →Paris</v>
      </c>
      <c r="AE547" t="str">
        <f t="shared" si="99"/>
        <v>Low</v>
      </c>
      <c r="AF547" t="str">
        <f>TEXT(Table1[[#This Row],[OrderDate]],"MMM")</f>
        <v>May</v>
      </c>
      <c r="AG547" t="str">
        <f>TEXT(Table1[[#This Row],[OrderDate]],"YYYY")</f>
        <v>2025</v>
      </c>
      <c r="AI547" s="4">
        <f>IF(Table1[[#This Row],[RequiredDate]]&lt;Table1[[#This Row],[OrderDate]], Table1[[#This Row],[OrderDate]]+7, Table1[[#This Row],[RequiredDate]])</f>
        <v>45801</v>
      </c>
      <c r="AJ547">
        <f>IF(Dashboard!$D$3&gt;'Staging Data'!V547,'Staging Data'!V547,Dashboard!D$3)</f>
        <v>8.4000000000000005E-2</v>
      </c>
      <c r="AK547" s="19">
        <f>(100%+Dashboard!$D$4)*'Staging Data'!S547</f>
        <v>178.90949999999998</v>
      </c>
      <c r="AL547">
        <f>(100%+Dashboard!$D$5)*'Staging Data'!W547</f>
        <v>17.25</v>
      </c>
    </row>
    <row r="548" spans="1:38" x14ac:dyDescent="0.35">
      <c r="A548" s="6" t="s">
        <v>571</v>
      </c>
      <c r="B548" s="4">
        <v>45791</v>
      </c>
      <c r="C548" s="4">
        <v>45789</v>
      </c>
      <c r="D548" s="4">
        <f>IF(Table1[[#This Row],[RequiredDate]]&lt;Table1[[#This Row],[OrderDate]],Table1[[#This Row],[RequiredDate]],Table1[[#This Row],[OrderDate]])</f>
        <v>45789</v>
      </c>
      <c r="E548" s="4">
        <f>IF(Table1[[#This Row],[RequiredDate]]&gt;Table1[[#This Row],[OrderDate]],Table1[[#This Row],[RequiredDate]],Table1[[#This Row],[OrderDate]])</f>
        <v>45791</v>
      </c>
      <c r="F548" s="21">
        <f>Table1[[#This Row],[New RD]]-Table1[[#This Row],[new   od]]</f>
        <v>2</v>
      </c>
      <c r="G548" s="4">
        <f>IF(Table1[[#This Row],[RequiredDate]]&lt;Table1[[#This Row],[OrderDate]], Table1[[#This Row],[OrderDate]]+7, Table1[[#This Row],[RequiredDate]])</f>
        <v>45798</v>
      </c>
      <c r="H548" s="21">
        <f t="shared" si="89"/>
        <v>7</v>
      </c>
      <c r="I548" s="6" t="str">
        <f>IF(Table1[[#This Row],[New LTD]]&lt;=7,"Yes","No")</f>
        <v>Yes</v>
      </c>
      <c r="J548" s="6" t="str">
        <f t="shared" si="90"/>
        <v>No</v>
      </c>
      <c r="K548" t="s">
        <v>648</v>
      </c>
      <c r="L548" t="s">
        <v>653</v>
      </c>
      <c r="M548" t="s">
        <v>688</v>
      </c>
      <c r="N548" t="s">
        <v>703</v>
      </c>
      <c r="O548" t="s">
        <v>710</v>
      </c>
      <c r="P548" t="s">
        <v>721</v>
      </c>
      <c r="Q548" t="s">
        <v>728</v>
      </c>
      <c r="R548" t="s">
        <v>1289</v>
      </c>
      <c r="S548" s="6">
        <v>883.5</v>
      </c>
      <c r="T548" s="6">
        <v>1978.91</v>
      </c>
      <c r="U548" s="6">
        <f t="shared" si="91"/>
        <v>1978.91</v>
      </c>
      <c r="V548" s="8">
        <v>5.3999999999999999E-2</v>
      </c>
      <c r="W548" s="6">
        <v>27</v>
      </c>
      <c r="X548" s="6">
        <f t="shared" si="92"/>
        <v>50545.319219999998</v>
      </c>
      <c r="Y548">
        <f t="shared" si="93"/>
        <v>23854.5</v>
      </c>
      <c r="Z548" s="6">
        <f t="shared" si="94"/>
        <v>26690.819219999998</v>
      </c>
      <c r="AA548">
        <f t="shared" si="95"/>
        <v>0.52805718970390547</v>
      </c>
      <c r="AB548" t="str">
        <f t="shared" si="96"/>
        <v>5-2025</v>
      </c>
      <c r="AC548" t="str">
        <f t="shared" si="97"/>
        <v>Q2-2025</v>
      </c>
      <c r="AD548" t="str">
        <f t="shared" si="98"/>
        <v>Americas →Canada →Vancouver</v>
      </c>
      <c r="AE548" t="str">
        <f t="shared" si="99"/>
        <v>High</v>
      </c>
      <c r="AF548" t="str">
        <f>TEXT(Table1[[#This Row],[OrderDate]],"MMM")</f>
        <v>May</v>
      </c>
      <c r="AG548" t="str">
        <f>TEXT(Table1[[#This Row],[OrderDate]],"YYYY")</f>
        <v>2025</v>
      </c>
      <c r="AI548" s="4">
        <f>IF(Table1[[#This Row],[RequiredDate]]&lt;Table1[[#This Row],[OrderDate]], Table1[[#This Row],[OrderDate]]+7, Table1[[#This Row],[RequiredDate]])</f>
        <v>45798</v>
      </c>
      <c r="AJ548">
        <f>IF(Dashboard!$D$3&gt;'Staging Data'!V548,'Staging Data'!V548,Dashboard!D$3)</f>
        <v>5.3999999999999999E-2</v>
      </c>
      <c r="AK548" s="19">
        <f>(100%+Dashboard!$D$4)*'Staging Data'!S548</f>
        <v>927.67500000000007</v>
      </c>
      <c r="AL548">
        <f>(100%+Dashboard!$D$5)*'Staging Data'!W548</f>
        <v>31.049999999999997</v>
      </c>
    </row>
    <row r="549" spans="1:38" x14ac:dyDescent="0.35">
      <c r="A549" s="6" t="s">
        <v>503</v>
      </c>
      <c r="B549" s="4">
        <v>45792</v>
      </c>
      <c r="C549" s="4">
        <v>45813</v>
      </c>
      <c r="D549" s="4">
        <f>IF(Table1[[#This Row],[RequiredDate]]&lt;Table1[[#This Row],[OrderDate]],Table1[[#This Row],[RequiredDate]],Table1[[#This Row],[OrderDate]])</f>
        <v>45792</v>
      </c>
      <c r="E549" s="4">
        <f>IF(Table1[[#This Row],[RequiredDate]]&gt;Table1[[#This Row],[OrderDate]],Table1[[#This Row],[RequiredDate]],Table1[[#This Row],[OrderDate]])</f>
        <v>45813</v>
      </c>
      <c r="F549" s="21">
        <f>Table1[[#This Row],[New RD]]-Table1[[#This Row],[new   od]]</f>
        <v>21</v>
      </c>
      <c r="G549" s="4">
        <f>IF(Table1[[#This Row],[RequiredDate]]&lt;Table1[[#This Row],[OrderDate]], Table1[[#This Row],[OrderDate]]+7, Table1[[#This Row],[RequiredDate]])</f>
        <v>45813</v>
      </c>
      <c r="H549" s="21">
        <f t="shared" si="89"/>
        <v>21</v>
      </c>
      <c r="I549" s="6" t="str">
        <f>IF(Table1[[#This Row],[New LTD]]&lt;=7,"Yes","No")</f>
        <v>No</v>
      </c>
      <c r="J549" s="6" t="str">
        <f t="shared" si="90"/>
        <v>No</v>
      </c>
      <c r="K549" t="s">
        <v>647</v>
      </c>
      <c r="L549" t="s">
        <v>652</v>
      </c>
      <c r="M549" t="s">
        <v>666</v>
      </c>
      <c r="N549" t="s">
        <v>706</v>
      </c>
      <c r="O549" t="s">
        <v>711</v>
      </c>
      <c r="P549" t="s">
        <v>722</v>
      </c>
      <c r="Q549" t="s">
        <v>730</v>
      </c>
      <c r="R549" t="s">
        <v>1222</v>
      </c>
      <c r="S549" s="6">
        <v>1466.5</v>
      </c>
      <c r="T549" s="6">
        <v>2778.74</v>
      </c>
      <c r="U549" s="6">
        <f t="shared" si="91"/>
        <v>2778.74</v>
      </c>
      <c r="V549" s="8">
        <v>0.13500000000000001</v>
      </c>
      <c r="W549" s="6">
        <v>4</v>
      </c>
      <c r="X549" s="6">
        <f t="shared" si="92"/>
        <v>9614.4403999999995</v>
      </c>
      <c r="Y549">
        <f t="shared" si="93"/>
        <v>5866</v>
      </c>
      <c r="Z549" s="6">
        <f t="shared" si="94"/>
        <v>3748.4403999999995</v>
      </c>
      <c r="AA549">
        <f t="shared" si="95"/>
        <v>0.38987608680792279</v>
      </c>
      <c r="AB549" t="str">
        <f t="shared" si="96"/>
        <v>5-2025</v>
      </c>
      <c r="AC549" t="str">
        <f t="shared" si="97"/>
        <v>Q2-2025</v>
      </c>
      <c r="AD549" t="str">
        <f t="shared" si="98"/>
        <v>Asia →Japan →Osaka</v>
      </c>
      <c r="AE549" t="str">
        <f t="shared" si="99"/>
        <v>High</v>
      </c>
      <c r="AF549" t="str">
        <f>TEXT(Table1[[#This Row],[OrderDate]],"MMM")</f>
        <v>May</v>
      </c>
      <c r="AG549" t="str">
        <f>TEXT(Table1[[#This Row],[OrderDate]],"YYYY")</f>
        <v>2025</v>
      </c>
      <c r="AI549" s="4">
        <f>IF(Table1[[#This Row],[RequiredDate]]&lt;Table1[[#This Row],[OrderDate]], Table1[[#This Row],[OrderDate]]+7, Table1[[#This Row],[RequiredDate]])</f>
        <v>45813</v>
      </c>
      <c r="AJ549">
        <f>IF(Dashboard!$D$3&gt;'Staging Data'!V549,'Staging Data'!V549,Dashboard!D$3)</f>
        <v>0.13500000000000001</v>
      </c>
      <c r="AK549" s="19">
        <f>(100%+Dashboard!$D$4)*'Staging Data'!S549</f>
        <v>1539.825</v>
      </c>
      <c r="AL549">
        <f>(100%+Dashboard!$D$5)*'Staging Data'!W549</f>
        <v>4.5999999999999996</v>
      </c>
    </row>
    <row r="550" spans="1:38" x14ac:dyDescent="0.35">
      <c r="A550" s="6" t="s">
        <v>255</v>
      </c>
      <c r="B550" s="4">
        <v>45793</v>
      </c>
      <c r="C550" s="4">
        <v>45804</v>
      </c>
      <c r="D550" s="4">
        <f>IF(Table1[[#This Row],[RequiredDate]]&lt;Table1[[#This Row],[OrderDate]],Table1[[#This Row],[RequiredDate]],Table1[[#This Row],[OrderDate]])</f>
        <v>45793</v>
      </c>
      <c r="E550" s="4">
        <f>IF(Table1[[#This Row],[RequiredDate]]&gt;Table1[[#This Row],[OrderDate]],Table1[[#This Row],[RequiredDate]],Table1[[#This Row],[OrderDate]])</f>
        <v>45804</v>
      </c>
      <c r="F550" s="21">
        <f>Table1[[#This Row],[New RD]]-Table1[[#This Row],[new   od]]</f>
        <v>11</v>
      </c>
      <c r="G550" s="4">
        <f>IF(Table1[[#This Row],[RequiredDate]]&lt;Table1[[#This Row],[OrderDate]], Table1[[#This Row],[OrderDate]]+7, Table1[[#This Row],[RequiredDate]])</f>
        <v>45804</v>
      </c>
      <c r="H550" s="21">
        <f t="shared" si="89"/>
        <v>11</v>
      </c>
      <c r="I550" s="6" t="str">
        <f>IF(Table1[[#This Row],[New LTD]]&lt;=7,"Yes","No")</f>
        <v>No</v>
      </c>
      <c r="J550" s="6" t="str">
        <f t="shared" si="90"/>
        <v>No</v>
      </c>
      <c r="K550" t="s">
        <v>647</v>
      </c>
      <c r="L550" t="s">
        <v>659</v>
      </c>
      <c r="M550" t="s">
        <v>699</v>
      </c>
      <c r="N550" t="s">
        <v>706</v>
      </c>
      <c r="O550" t="s">
        <v>708</v>
      </c>
      <c r="P550" t="s">
        <v>721</v>
      </c>
      <c r="Q550" t="s">
        <v>730</v>
      </c>
      <c r="R550" t="s">
        <v>975</v>
      </c>
      <c r="S550" s="6">
        <v>918.12</v>
      </c>
      <c r="T550" s="6">
        <v>1337.69</v>
      </c>
      <c r="U550" s="6">
        <f t="shared" si="91"/>
        <v>1337.69</v>
      </c>
      <c r="V550" s="8">
        <v>9.5000000000000001E-2</v>
      </c>
      <c r="W550" s="6">
        <v>8</v>
      </c>
      <c r="X550" s="6">
        <f t="shared" si="92"/>
        <v>9684.8756000000012</v>
      </c>
      <c r="Y550">
        <f t="shared" si="93"/>
        <v>7344.96</v>
      </c>
      <c r="Z550" s="6">
        <f t="shared" si="94"/>
        <v>2339.9156000000012</v>
      </c>
      <c r="AA550">
        <f t="shared" si="95"/>
        <v>0.24160512707050164</v>
      </c>
      <c r="AB550" t="str">
        <f t="shared" si="96"/>
        <v>5-2025</v>
      </c>
      <c r="AC550" t="str">
        <f t="shared" si="97"/>
        <v>Q2-2025</v>
      </c>
      <c r="AD550" t="str">
        <f t="shared" si="98"/>
        <v>Asia →China →Beijing</v>
      </c>
      <c r="AE550" t="str">
        <f t="shared" si="99"/>
        <v>Medium</v>
      </c>
      <c r="AF550" t="str">
        <f>TEXT(Table1[[#This Row],[OrderDate]],"MMM")</f>
        <v>May</v>
      </c>
      <c r="AG550" t="str">
        <f>TEXT(Table1[[#This Row],[OrderDate]],"YYYY")</f>
        <v>2025</v>
      </c>
      <c r="AI550" s="4">
        <f>IF(Table1[[#This Row],[RequiredDate]]&lt;Table1[[#This Row],[OrderDate]], Table1[[#This Row],[OrderDate]]+7, Table1[[#This Row],[RequiredDate]])</f>
        <v>45804</v>
      </c>
      <c r="AJ550">
        <f>IF(Dashboard!$D$3&gt;'Staging Data'!V550,'Staging Data'!V550,Dashboard!D$3)</f>
        <v>9.5000000000000001E-2</v>
      </c>
      <c r="AK550" s="19">
        <f>(100%+Dashboard!$D$4)*'Staging Data'!S550</f>
        <v>964.02600000000007</v>
      </c>
      <c r="AL550">
        <f>(100%+Dashboard!$D$5)*'Staging Data'!W550</f>
        <v>9.1999999999999993</v>
      </c>
    </row>
    <row r="551" spans="1:38" x14ac:dyDescent="0.35">
      <c r="A551" s="6" t="s">
        <v>617</v>
      </c>
      <c r="B551" s="4">
        <v>45793</v>
      </c>
      <c r="C551" s="4">
        <v>45795</v>
      </c>
      <c r="D551" s="4">
        <f>IF(Table1[[#This Row],[RequiredDate]]&lt;Table1[[#This Row],[OrderDate]],Table1[[#This Row],[RequiredDate]],Table1[[#This Row],[OrderDate]])</f>
        <v>45793</v>
      </c>
      <c r="E551" s="4">
        <f>IF(Table1[[#This Row],[RequiredDate]]&gt;Table1[[#This Row],[OrderDate]],Table1[[#This Row],[RequiredDate]],Table1[[#This Row],[OrderDate]])</f>
        <v>45795</v>
      </c>
      <c r="F551" s="21">
        <f>Table1[[#This Row],[New RD]]-Table1[[#This Row],[new   od]]</f>
        <v>2</v>
      </c>
      <c r="G551" s="4">
        <f>IF(Table1[[#This Row],[RequiredDate]]&lt;Table1[[#This Row],[OrderDate]], Table1[[#This Row],[OrderDate]]+7, Table1[[#This Row],[RequiredDate]])</f>
        <v>45795</v>
      </c>
      <c r="H551" s="21">
        <f t="shared" si="89"/>
        <v>2</v>
      </c>
      <c r="I551" s="6" t="str">
        <f>IF(Table1[[#This Row],[New LTD]]&lt;=7,"Yes","No")</f>
        <v>Yes</v>
      </c>
      <c r="J551" s="6" t="str">
        <f t="shared" si="90"/>
        <v>No</v>
      </c>
      <c r="K551" t="s">
        <v>647</v>
      </c>
      <c r="L551" t="s">
        <v>652</v>
      </c>
      <c r="M551" t="s">
        <v>689</v>
      </c>
      <c r="N551" t="s">
        <v>706</v>
      </c>
      <c r="O551" t="s">
        <v>707</v>
      </c>
      <c r="P551" t="s">
        <v>713</v>
      </c>
      <c r="Q551" t="s">
        <v>728</v>
      </c>
      <c r="R551" t="s">
        <v>1335</v>
      </c>
      <c r="S551" s="6">
        <v>1144.3800000000001</v>
      </c>
      <c r="T551" s="6">
        <v>2755.04</v>
      </c>
      <c r="U551" s="6">
        <f t="shared" si="91"/>
        <v>2755.04</v>
      </c>
      <c r="V551" s="8">
        <v>0.15</v>
      </c>
      <c r="W551" s="6">
        <v>17</v>
      </c>
      <c r="X551" s="6">
        <f t="shared" si="92"/>
        <v>39810.328000000001</v>
      </c>
      <c r="Y551">
        <f t="shared" si="93"/>
        <v>19454.460000000003</v>
      </c>
      <c r="Z551" s="6">
        <f t="shared" si="94"/>
        <v>20355.867999999999</v>
      </c>
      <c r="AA551">
        <f t="shared" si="95"/>
        <v>0.51132128326096682</v>
      </c>
      <c r="AB551" t="str">
        <f t="shared" si="96"/>
        <v>5-2025</v>
      </c>
      <c r="AC551" t="str">
        <f t="shared" si="97"/>
        <v>Q2-2025</v>
      </c>
      <c r="AD551" t="str">
        <f t="shared" si="98"/>
        <v>Asia →Japan →Tokyo</v>
      </c>
      <c r="AE551" t="str">
        <f t="shared" si="99"/>
        <v>High</v>
      </c>
      <c r="AF551" t="str">
        <f>TEXT(Table1[[#This Row],[OrderDate]],"MMM")</f>
        <v>May</v>
      </c>
      <c r="AG551" t="str">
        <f>TEXT(Table1[[#This Row],[OrderDate]],"YYYY")</f>
        <v>2025</v>
      </c>
      <c r="AI551" s="4">
        <f>IF(Table1[[#This Row],[RequiredDate]]&lt;Table1[[#This Row],[OrderDate]], Table1[[#This Row],[OrderDate]]+7, Table1[[#This Row],[RequiredDate]])</f>
        <v>45795</v>
      </c>
      <c r="AJ551">
        <f>IF(Dashboard!$D$3&gt;'Staging Data'!V551,'Staging Data'!V551,Dashboard!D$3)</f>
        <v>0.15</v>
      </c>
      <c r="AK551" s="19">
        <f>(100%+Dashboard!$D$4)*'Staging Data'!S551</f>
        <v>1201.5990000000002</v>
      </c>
      <c r="AL551">
        <f>(100%+Dashboard!$D$5)*'Staging Data'!W551</f>
        <v>19.549999999999997</v>
      </c>
    </row>
    <row r="552" spans="1:38" x14ac:dyDescent="0.35">
      <c r="A552" s="6" t="s">
        <v>297</v>
      </c>
      <c r="B552" s="4">
        <v>45794</v>
      </c>
      <c r="C552" s="4">
        <v>45805</v>
      </c>
      <c r="D552" s="4">
        <f>IF(Table1[[#This Row],[RequiredDate]]&lt;Table1[[#This Row],[OrderDate]],Table1[[#This Row],[RequiredDate]],Table1[[#This Row],[OrderDate]])</f>
        <v>45794</v>
      </c>
      <c r="E552" s="4">
        <f>IF(Table1[[#This Row],[RequiredDate]]&gt;Table1[[#This Row],[OrderDate]],Table1[[#This Row],[RequiredDate]],Table1[[#This Row],[OrderDate]])</f>
        <v>45805</v>
      </c>
      <c r="F552" s="21">
        <f>Table1[[#This Row],[New RD]]-Table1[[#This Row],[new   od]]</f>
        <v>11</v>
      </c>
      <c r="G552" s="4">
        <f>IF(Table1[[#This Row],[RequiredDate]]&lt;Table1[[#This Row],[OrderDate]], Table1[[#This Row],[OrderDate]]+7, Table1[[#This Row],[RequiredDate]])</f>
        <v>45805</v>
      </c>
      <c r="H552" s="21">
        <f t="shared" si="89"/>
        <v>11</v>
      </c>
      <c r="I552" s="6" t="str">
        <f>IF(Table1[[#This Row],[New LTD]]&lt;=7,"Yes","No")</f>
        <v>No</v>
      </c>
      <c r="J552" s="6" t="str">
        <f t="shared" si="90"/>
        <v>No</v>
      </c>
      <c r="K552" t="s">
        <v>647</v>
      </c>
      <c r="L552" t="s">
        <v>654</v>
      </c>
      <c r="M552" t="s">
        <v>668</v>
      </c>
      <c r="N552" t="s">
        <v>701</v>
      </c>
      <c r="O552" t="s">
        <v>710</v>
      </c>
      <c r="P552" t="s">
        <v>717</v>
      </c>
      <c r="Q552" t="s">
        <v>731</v>
      </c>
      <c r="R552" t="s">
        <v>1017</v>
      </c>
      <c r="S552" s="6">
        <v>623.4</v>
      </c>
      <c r="T552" s="6">
        <v>1100.0899999999999</v>
      </c>
      <c r="U552" s="6">
        <f t="shared" si="91"/>
        <v>1100.0899999999999</v>
      </c>
      <c r="V552" s="8">
        <v>0.114</v>
      </c>
      <c r="W552" s="6">
        <v>12</v>
      </c>
      <c r="X552" s="6">
        <f t="shared" si="92"/>
        <v>11696.156879999999</v>
      </c>
      <c r="Y552">
        <f t="shared" si="93"/>
        <v>7480.7999999999993</v>
      </c>
      <c r="Z552" s="6">
        <f t="shared" si="94"/>
        <v>4215.3568799999994</v>
      </c>
      <c r="AA552">
        <f t="shared" si="95"/>
        <v>0.36040529579490388</v>
      </c>
      <c r="AB552" t="str">
        <f t="shared" si="96"/>
        <v>5-2025</v>
      </c>
      <c r="AC552" t="str">
        <f t="shared" si="97"/>
        <v>Q2-2025</v>
      </c>
      <c r="AD552" t="str">
        <f t="shared" si="98"/>
        <v>Asia →India →Bengaluru</v>
      </c>
      <c r="AE552" t="str">
        <f t="shared" si="99"/>
        <v>Medium</v>
      </c>
      <c r="AF552" t="str">
        <f>TEXT(Table1[[#This Row],[OrderDate]],"MMM")</f>
        <v>May</v>
      </c>
      <c r="AG552" t="str">
        <f>TEXT(Table1[[#This Row],[OrderDate]],"YYYY")</f>
        <v>2025</v>
      </c>
      <c r="AI552" s="4">
        <f>IF(Table1[[#This Row],[RequiredDate]]&lt;Table1[[#This Row],[OrderDate]], Table1[[#This Row],[OrderDate]]+7, Table1[[#This Row],[RequiredDate]])</f>
        <v>45805</v>
      </c>
      <c r="AJ552">
        <f>IF(Dashboard!$D$3&gt;'Staging Data'!V552,'Staging Data'!V552,Dashboard!D$3)</f>
        <v>0.114</v>
      </c>
      <c r="AK552" s="19">
        <f>(100%+Dashboard!$D$4)*'Staging Data'!S552</f>
        <v>654.57000000000005</v>
      </c>
      <c r="AL552">
        <f>(100%+Dashboard!$D$5)*'Staging Data'!W552</f>
        <v>13.799999999999999</v>
      </c>
    </row>
    <row r="553" spans="1:38" x14ac:dyDescent="0.35">
      <c r="A553" s="6" t="s">
        <v>531</v>
      </c>
      <c r="B553" s="4">
        <v>45794</v>
      </c>
      <c r="C553" s="4">
        <v>45807</v>
      </c>
      <c r="D553" s="4">
        <f>IF(Table1[[#This Row],[RequiredDate]]&lt;Table1[[#This Row],[OrderDate]],Table1[[#This Row],[RequiredDate]],Table1[[#This Row],[OrderDate]])</f>
        <v>45794</v>
      </c>
      <c r="E553" s="4">
        <f>IF(Table1[[#This Row],[RequiredDate]]&gt;Table1[[#This Row],[OrderDate]],Table1[[#This Row],[RequiredDate]],Table1[[#This Row],[OrderDate]])</f>
        <v>45807</v>
      </c>
      <c r="F553" s="21">
        <f>Table1[[#This Row],[New RD]]-Table1[[#This Row],[new   od]]</f>
        <v>13</v>
      </c>
      <c r="G553" s="4">
        <f>IF(Table1[[#This Row],[RequiredDate]]&lt;Table1[[#This Row],[OrderDate]], Table1[[#This Row],[OrderDate]]+7, Table1[[#This Row],[RequiredDate]])</f>
        <v>45807</v>
      </c>
      <c r="H553" s="21">
        <f t="shared" si="89"/>
        <v>13</v>
      </c>
      <c r="I553" s="6" t="str">
        <f>IF(Table1[[#This Row],[New LTD]]&lt;=7,"Yes","No")</f>
        <v>No</v>
      </c>
      <c r="J553" s="6" t="str">
        <f t="shared" si="90"/>
        <v>No</v>
      </c>
      <c r="K553" t="s">
        <v>646</v>
      </c>
      <c r="L553" t="s">
        <v>651</v>
      </c>
      <c r="M553" t="s">
        <v>665</v>
      </c>
      <c r="N553" t="s">
        <v>704</v>
      </c>
      <c r="O553" t="s">
        <v>710</v>
      </c>
      <c r="P553" t="s">
        <v>721</v>
      </c>
      <c r="Q553" t="s">
        <v>733</v>
      </c>
      <c r="R553" t="s">
        <v>1250</v>
      </c>
      <c r="S553" s="6">
        <v>66.400000000000006</v>
      </c>
      <c r="T553" s="6">
        <v>141.43</v>
      </c>
      <c r="U553" s="6">
        <f t="shared" si="91"/>
        <v>141.43</v>
      </c>
      <c r="V553" s="8">
        <v>0.107</v>
      </c>
      <c r="W553" s="6">
        <v>8</v>
      </c>
      <c r="X553" s="6">
        <f t="shared" si="92"/>
        <v>1010.3759200000001</v>
      </c>
      <c r="Y553">
        <f t="shared" si="93"/>
        <v>531.20000000000005</v>
      </c>
      <c r="Z553" s="6">
        <f t="shared" si="94"/>
        <v>479.17592000000002</v>
      </c>
      <c r="AA553">
        <f t="shared" si="95"/>
        <v>0.47425508715607551</v>
      </c>
      <c r="AB553" t="str">
        <f t="shared" si="96"/>
        <v>5-2025</v>
      </c>
      <c r="AC553" t="str">
        <f t="shared" si="97"/>
        <v>Q2-2025</v>
      </c>
      <c r="AD553" t="str">
        <f t="shared" si="98"/>
        <v>Africa →Nigeria →Lagos</v>
      </c>
      <c r="AE553" t="str">
        <f t="shared" si="99"/>
        <v>Low</v>
      </c>
      <c r="AF553" t="str">
        <f>TEXT(Table1[[#This Row],[OrderDate]],"MMM")</f>
        <v>May</v>
      </c>
      <c r="AG553" t="str">
        <f>TEXT(Table1[[#This Row],[OrderDate]],"YYYY")</f>
        <v>2025</v>
      </c>
      <c r="AI553" s="4">
        <f>IF(Table1[[#This Row],[RequiredDate]]&lt;Table1[[#This Row],[OrderDate]], Table1[[#This Row],[OrderDate]]+7, Table1[[#This Row],[RequiredDate]])</f>
        <v>45807</v>
      </c>
      <c r="AJ553">
        <f>IF(Dashboard!$D$3&gt;'Staging Data'!V553,'Staging Data'!V553,Dashboard!D$3)</f>
        <v>0.107</v>
      </c>
      <c r="AK553" s="19">
        <f>(100%+Dashboard!$D$4)*'Staging Data'!S553</f>
        <v>69.720000000000013</v>
      </c>
      <c r="AL553">
        <f>(100%+Dashboard!$D$5)*'Staging Data'!W553</f>
        <v>9.1999999999999993</v>
      </c>
    </row>
    <row r="554" spans="1:38" x14ac:dyDescent="0.35">
      <c r="A554" s="6" t="s">
        <v>321</v>
      </c>
      <c r="B554" s="4">
        <v>45795</v>
      </c>
      <c r="C554" s="4">
        <v>45817</v>
      </c>
      <c r="D554" s="4">
        <f>IF(Table1[[#This Row],[RequiredDate]]&lt;Table1[[#This Row],[OrderDate]],Table1[[#This Row],[RequiredDate]],Table1[[#This Row],[OrderDate]])</f>
        <v>45795</v>
      </c>
      <c r="E554" s="4">
        <f>IF(Table1[[#This Row],[RequiredDate]]&gt;Table1[[#This Row],[OrderDate]],Table1[[#This Row],[RequiredDate]],Table1[[#This Row],[OrderDate]])</f>
        <v>45817</v>
      </c>
      <c r="F554" s="21">
        <f>Table1[[#This Row],[New RD]]-Table1[[#This Row],[new   od]]</f>
        <v>22</v>
      </c>
      <c r="G554" s="4">
        <f>IF(Table1[[#This Row],[RequiredDate]]&lt;Table1[[#This Row],[OrderDate]], Table1[[#This Row],[OrderDate]]+7, Table1[[#This Row],[RequiredDate]])</f>
        <v>45817</v>
      </c>
      <c r="H554" s="21">
        <f t="shared" si="89"/>
        <v>22</v>
      </c>
      <c r="I554" s="6" t="str">
        <f>IF(Table1[[#This Row],[New LTD]]&lt;=7,"Yes","No")</f>
        <v>No</v>
      </c>
      <c r="J554" s="6" t="str">
        <f t="shared" si="90"/>
        <v>No</v>
      </c>
      <c r="K554" t="s">
        <v>648</v>
      </c>
      <c r="L554" t="s">
        <v>660</v>
      </c>
      <c r="M554" t="s">
        <v>700</v>
      </c>
      <c r="N554" t="s">
        <v>704</v>
      </c>
      <c r="O554" t="s">
        <v>707</v>
      </c>
      <c r="P554" t="s">
        <v>722</v>
      </c>
      <c r="Q554" t="s">
        <v>729</v>
      </c>
      <c r="R554" t="s">
        <v>1041</v>
      </c>
      <c r="S554" s="6">
        <v>382.96</v>
      </c>
      <c r="T554" s="6">
        <v>552.84</v>
      </c>
      <c r="U554" s="6">
        <f t="shared" si="91"/>
        <v>552.84</v>
      </c>
      <c r="V554" s="8">
        <v>0.17599999999999999</v>
      </c>
      <c r="W554" s="6">
        <v>8</v>
      </c>
      <c r="X554" s="6">
        <f t="shared" si="92"/>
        <v>3644.3212800000006</v>
      </c>
      <c r="Y554">
        <f t="shared" si="93"/>
        <v>3063.68</v>
      </c>
      <c r="Z554" s="6">
        <f t="shared" si="94"/>
        <v>580.64128000000073</v>
      </c>
      <c r="AA554">
        <f t="shared" si="95"/>
        <v>0.15932768693763483</v>
      </c>
      <c r="AB554" t="str">
        <f t="shared" si="96"/>
        <v>5-2025</v>
      </c>
      <c r="AC554" t="str">
        <f t="shared" si="97"/>
        <v>Q2-2025</v>
      </c>
      <c r="AD554" t="str">
        <f t="shared" si="98"/>
        <v>Americas →USA →New York</v>
      </c>
      <c r="AE554" t="str">
        <f t="shared" si="99"/>
        <v>Low</v>
      </c>
      <c r="AF554" t="str">
        <f>TEXT(Table1[[#This Row],[OrderDate]],"MMM")</f>
        <v>May</v>
      </c>
      <c r="AG554" t="str">
        <f>TEXT(Table1[[#This Row],[OrderDate]],"YYYY")</f>
        <v>2025</v>
      </c>
      <c r="AI554" s="4">
        <f>IF(Table1[[#This Row],[RequiredDate]]&lt;Table1[[#This Row],[OrderDate]], Table1[[#This Row],[OrderDate]]+7, Table1[[#This Row],[RequiredDate]])</f>
        <v>45817</v>
      </c>
      <c r="AJ554">
        <f>IF(Dashboard!$D$3&gt;'Staging Data'!V554,'Staging Data'!V554,Dashboard!D$3)</f>
        <v>0.17599999999999999</v>
      </c>
      <c r="AK554" s="19">
        <f>(100%+Dashboard!$D$4)*'Staging Data'!S554</f>
        <v>402.108</v>
      </c>
      <c r="AL554">
        <f>(100%+Dashboard!$D$5)*'Staging Data'!W554</f>
        <v>9.1999999999999993</v>
      </c>
    </row>
    <row r="555" spans="1:38" x14ac:dyDescent="0.35">
      <c r="A555" s="6" t="s">
        <v>342</v>
      </c>
      <c r="B555" s="4">
        <v>45796</v>
      </c>
      <c r="C555" s="4">
        <v>45794</v>
      </c>
      <c r="D555" s="4">
        <f>IF(Table1[[#This Row],[RequiredDate]]&lt;Table1[[#This Row],[OrderDate]],Table1[[#This Row],[RequiredDate]],Table1[[#This Row],[OrderDate]])</f>
        <v>45794</v>
      </c>
      <c r="E555" s="4">
        <f>IF(Table1[[#This Row],[RequiredDate]]&gt;Table1[[#This Row],[OrderDate]],Table1[[#This Row],[RequiredDate]],Table1[[#This Row],[OrderDate]])</f>
        <v>45796</v>
      </c>
      <c r="F555" s="21">
        <f>Table1[[#This Row],[New RD]]-Table1[[#This Row],[new   od]]</f>
        <v>2</v>
      </c>
      <c r="G555" s="4">
        <f>IF(Table1[[#This Row],[RequiredDate]]&lt;Table1[[#This Row],[OrderDate]], Table1[[#This Row],[OrderDate]]+7, Table1[[#This Row],[RequiredDate]])</f>
        <v>45803</v>
      </c>
      <c r="H555" s="21">
        <f t="shared" si="89"/>
        <v>7</v>
      </c>
      <c r="I555" s="6" t="str">
        <f>IF(Table1[[#This Row],[New LTD]]&lt;=7,"Yes","No")</f>
        <v>Yes</v>
      </c>
      <c r="J555" s="6" t="str">
        <f t="shared" si="90"/>
        <v>Yes</v>
      </c>
      <c r="K555" t="s">
        <v>648</v>
      </c>
      <c r="L555" t="s">
        <v>655</v>
      </c>
      <c r="M555" t="s">
        <v>670</v>
      </c>
      <c r="N555" t="s">
        <v>705</v>
      </c>
      <c r="O555" t="s">
        <v>710</v>
      </c>
      <c r="P555" t="s">
        <v>716</v>
      </c>
      <c r="Q555" t="s">
        <v>732</v>
      </c>
      <c r="R555" t="s">
        <v>1062</v>
      </c>
      <c r="S555" s="6">
        <v>383.77</v>
      </c>
      <c r="T555" s="6">
        <v>952.56</v>
      </c>
      <c r="U555" s="6">
        <f t="shared" si="91"/>
        <v>952.56</v>
      </c>
      <c r="V555" s="8">
        <v>0.34599999999999997</v>
      </c>
      <c r="W555" s="6">
        <v>10</v>
      </c>
      <c r="X555" s="6">
        <f t="shared" si="92"/>
        <v>6229.7423999999992</v>
      </c>
      <c r="Y555">
        <f t="shared" si="93"/>
        <v>3837.7</v>
      </c>
      <c r="Z555" s="6">
        <f t="shared" si="94"/>
        <v>2392.0423999999994</v>
      </c>
      <c r="AA555">
        <f t="shared" si="95"/>
        <v>0.38397131797937578</v>
      </c>
      <c r="AB555" t="str">
        <f t="shared" si="96"/>
        <v>5-2025</v>
      </c>
      <c r="AC555" t="str">
        <f t="shared" si="97"/>
        <v>Q2-2025</v>
      </c>
      <c r="AD555" t="str">
        <f t="shared" si="98"/>
        <v>Americas →Brazil →São Paulo</v>
      </c>
      <c r="AE555" t="str">
        <f t="shared" si="99"/>
        <v>Medium</v>
      </c>
      <c r="AF555" t="str">
        <f>TEXT(Table1[[#This Row],[OrderDate]],"MMM")</f>
        <v>May</v>
      </c>
      <c r="AG555" t="str">
        <f>TEXT(Table1[[#This Row],[OrderDate]],"YYYY")</f>
        <v>2025</v>
      </c>
      <c r="AI555" s="4">
        <f>IF(Table1[[#This Row],[RequiredDate]]&lt;Table1[[#This Row],[OrderDate]], Table1[[#This Row],[OrderDate]]+7, Table1[[#This Row],[RequiredDate]])</f>
        <v>45803</v>
      </c>
      <c r="AJ555">
        <f>IF(Dashboard!$D$3&gt;'Staging Data'!V555,'Staging Data'!V555,Dashboard!D$3)</f>
        <v>0.2</v>
      </c>
      <c r="AK555" s="19">
        <f>(100%+Dashboard!$D$4)*'Staging Data'!S555</f>
        <v>402.95850000000002</v>
      </c>
      <c r="AL555">
        <f>(100%+Dashboard!$D$5)*'Staging Data'!W555</f>
        <v>11.5</v>
      </c>
    </row>
    <row r="556" spans="1:38" x14ac:dyDescent="0.35">
      <c r="A556" s="6" t="s">
        <v>24</v>
      </c>
      <c r="B556" s="4">
        <v>45798</v>
      </c>
      <c r="C556" s="4">
        <v>45817</v>
      </c>
      <c r="D556" s="4">
        <f>IF(Table1[[#This Row],[RequiredDate]]&lt;Table1[[#This Row],[OrderDate]],Table1[[#This Row],[RequiredDate]],Table1[[#This Row],[OrderDate]])</f>
        <v>45798</v>
      </c>
      <c r="E556" s="4">
        <f>IF(Table1[[#This Row],[RequiredDate]]&gt;Table1[[#This Row],[OrderDate]],Table1[[#This Row],[RequiredDate]],Table1[[#This Row],[OrderDate]])</f>
        <v>45817</v>
      </c>
      <c r="F556" s="21">
        <f>Table1[[#This Row],[New RD]]-Table1[[#This Row],[new   od]]</f>
        <v>19</v>
      </c>
      <c r="G556" s="4">
        <f>IF(Table1[[#This Row],[RequiredDate]]&lt;Table1[[#This Row],[OrderDate]], Table1[[#This Row],[OrderDate]]+7, Table1[[#This Row],[RequiredDate]])</f>
        <v>45817</v>
      </c>
      <c r="H556" s="21">
        <f t="shared" si="89"/>
        <v>19</v>
      </c>
      <c r="I556" s="6" t="str">
        <f>IF(Table1[[#This Row],[New LTD]]&lt;=7,"Yes","No")</f>
        <v>No</v>
      </c>
      <c r="J556" s="6" t="str">
        <f t="shared" si="90"/>
        <v>No</v>
      </c>
      <c r="K556" t="s">
        <v>648</v>
      </c>
      <c r="L556" t="s">
        <v>655</v>
      </c>
      <c r="M556" t="s">
        <v>670</v>
      </c>
      <c r="N556" t="s">
        <v>703</v>
      </c>
      <c r="O556" t="s">
        <v>708</v>
      </c>
      <c r="P556" t="s">
        <v>720</v>
      </c>
      <c r="Q556" t="s">
        <v>727</v>
      </c>
      <c r="R556" t="s">
        <v>743</v>
      </c>
      <c r="S556" s="6">
        <v>1331.38</v>
      </c>
      <c r="T556" s="6">
        <v>2309.56</v>
      </c>
      <c r="U556" s="6">
        <f t="shared" si="91"/>
        <v>2309.56</v>
      </c>
      <c r="V556" s="8">
        <v>0.14899999999999999</v>
      </c>
      <c r="W556" s="6">
        <v>31</v>
      </c>
      <c r="X556" s="6">
        <f t="shared" si="92"/>
        <v>60928.502359999999</v>
      </c>
      <c r="Y556">
        <f t="shared" si="93"/>
        <v>41272.780000000006</v>
      </c>
      <c r="Z556" s="6">
        <f t="shared" si="94"/>
        <v>19655.722359999992</v>
      </c>
      <c r="AA556">
        <f t="shared" si="95"/>
        <v>0.32260307735553528</v>
      </c>
      <c r="AB556" t="str">
        <f t="shared" si="96"/>
        <v>5-2025</v>
      </c>
      <c r="AC556" t="str">
        <f t="shared" si="97"/>
        <v>Q2-2025</v>
      </c>
      <c r="AD556" t="str">
        <f t="shared" si="98"/>
        <v>Americas →Brazil →São Paulo</v>
      </c>
      <c r="AE556" t="str">
        <f t="shared" si="99"/>
        <v>High</v>
      </c>
      <c r="AF556" t="str">
        <f>TEXT(Table1[[#This Row],[OrderDate]],"MMM")</f>
        <v>May</v>
      </c>
      <c r="AG556" t="str">
        <f>TEXT(Table1[[#This Row],[OrderDate]],"YYYY")</f>
        <v>2025</v>
      </c>
      <c r="AI556" s="4">
        <f>IF(Table1[[#This Row],[RequiredDate]]&lt;Table1[[#This Row],[OrderDate]], Table1[[#This Row],[OrderDate]]+7, Table1[[#This Row],[RequiredDate]])</f>
        <v>45817</v>
      </c>
      <c r="AJ556">
        <f>IF(Dashboard!$D$3&gt;'Staging Data'!V556,'Staging Data'!V556,Dashboard!D$3)</f>
        <v>0.14899999999999999</v>
      </c>
      <c r="AK556" s="19">
        <f>(100%+Dashboard!$D$4)*'Staging Data'!S556</f>
        <v>1397.9490000000001</v>
      </c>
      <c r="AL556">
        <f>(100%+Dashboard!$D$5)*'Staging Data'!W556</f>
        <v>35.65</v>
      </c>
    </row>
    <row r="557" spans="1:38" x14ac:dyDescent="0.35">
      <c r="A557" s="6" t="s">
        <v>34</v>
      </c>
      <c r="B557" s="4">
        <v>45798</v>
      </c>
      <c r="C557" s="4">
        <v>45796</v>
      </c>
      <c r="D557" s="4">
        <f>IF(Table1[[#This Row],[RequiredDate]]&lt;Table1[[#This Row],[OrderDate]],Table1[[#This Row],[RequiredDate]],Table1[[#This Row],[OrderDate]])</f>
        <v>45796</v>
      </c>
      <c r="E557" s="4">
        <f>IF(Table1[[#This Row],[RequiredDate]]&gt;Table1[[#This Row],[OrderDate]],Table1[[#This Row],[RequiredDate]],Table1[[#This Row],[OrderDate]])</f>
        <v>45798</v>
      </c>
      <c r="F557" s="21">
        <f>Table1[[#This Row],[New RD]]-Table1[[#This Row],[new   od]]</f>
        <v>2</v>
      </c>
      <c r="G557" s="4">
        <f>IF(Table1[[#This Row],[RequiredDate]]&lt;Table1[[#This Row],[OrderDate]], Table1[[#This Row],[OrderDate]]+7, Table1[[#This Row],[RequiredDate]])</f>
        <v>45805</v>
      </c>
      <c r="H557" s="21">
        <f t="shared" si="89"/>
        <v>7</v>
      </c>
      <c r="I557" s="6" t="str">
        <f>IF(Table1[[#This Row],[New LTD]]&lt;=7,"Yes","No")</f>
        <v>Yes</v>
      </c>
      <c r="J557" s="6" t="str">
        <f t="shared" si="90"/>
        <v>No</v>
      </c>
      <c r="K557" t="s">
        <v>649</v>
      </c>
      <c r="L557" t="s">
        <v>658</v>
      </c>
      <c r="M557" t="s">
        <v>674</v>
      </c>
      <c r="N557" t="s">
        <v>706</v>
      </c>
      <c r="O557" t="s">
        <v>708</v>
      </c>
      <c r="P557" t="s">
        <v>724</v>
      </c>
      <c r="Q557" t="s">
        <v>731</v>
      </c>
      <c r="R557" t="s">
        <v>753</v>
      </c>
      <c r="S557" s="6">
        <v>1015.16</v>
      </c>
      <c r="T557" s="6">
        <v>2148.14</v>
      </c>
      <c r="U557" s="6">
        <f t="shared" si="91"/>
        <v>2148.14</v>
      </c>
      <c r="V557" s="8">
        <v>3.7999999999999999E-2</v>
      </c>
      <c r="W557" s="6">
        <v>19</v>
      </c>
      <c r="X557" s="6">
        <f t="shared" si="92"/>
        <v>39263.702919999996</v>
      </c>
      <c r="Y557">
        <f t="shared" si="93"/>
        <v>19288.04</v>
      </c>
      <c r="Z557" s="6">
        <f t="shared" si="94"/>
        <v>19975.662919999995</v>
      </c>
      <c r="AA557">
        <f t="shared" si="95"/>
        <v>0.50875647059322227</v>
      </c>
      <c r="AB557" t="str">
        <f t="shared" si="96"/>
        <v>5-2025</v>
      </c>
      <c r="AC557" t="str">
        <f t="shared" si="97"/>
        <v>Q2-2025</v>
      </c>
      <c r="AD557" t="str">
        <f t="shared" si="98"/>
        <v>Europe →United Kingdom →Birmingham</v>
      </c>
      <c r="AE557" t="str">
        <f t="shared" si="99"/>
        <v>High</v>
      </c>
      <c r="AF557" t="str">
        <f>TEXT(Table1[[#This Row],[OrderDate]],"MMM")</f>
        <v>May</v>
      </c>
      <c r="AG557" t="str">
        <f>TEXT(Table1[[#This Row],[OrderDate]],"YYYY")</f>
        <v>2025</v>
      </c>
      <c r="AI557" s="4">
        <f>IF(Table1[[#This Row],[RequiredDate]]&lt;Table1[[#This Row],[OrderDate]], Table1[[#This Row],[OrderDate]]+7, Table1[[#This Row],[RequiredDate]])</f>
        <v>45805</v>
      </c>
      <c r="AJ557">
        <f>IF(Dashboard!$D$3&gt;'Staging Data'!V557,'Staging Data'!V557,Dashboard!D$3)</f>
        <v>3.7999999999999999E-2</v>
      </c>
      <c r="AK557" s="19">
        <f>(100%+Dashboard!$D$4)*'Staging Data'!S557</f>
        <v>1065.9180000000001</v>
      </c>
      <c r="AL557">
        <f>(100%+Dashboard!$D$5)*'Staging Data'!W557</f>
        <v>21.849999999999998</v>
      </c>
    </row>
    <row r="558" spans="1:38" x14ac:dyDescent="0.35">
      <c r="A558" s="6" t="s">
        <v>188</v>
      </c>
      <c r="B558" s="4">
        <v>45798</v>
      </c>
      <c r="C558" s="4">
        <v>45796</v>
      </c>
      <c r="D558" s="4">
        <f>IF(Table1[[#This Row],[RequiredDate]]&lt;Table1[[#This Row],[OrderDate]],Table1[[#This Row],[RequiredDate]],Table1[[#This Row],[OrderDate]])</f>
        <v>45796</v>
      </c>
      <c r="E558" s="4">
        <f>IF(Table1[[#This Row],[RequiredDate]]&gt;Table1[[#This Row],[OrderDate]],Table1[[#This Row],[RequiredDate]],Table1[[#This Row],[OrderDate]])</f>
        <v>45798</v>
      </c>
      <c r="F558" s="21">
        <f>Table1[[#This Row],[New RD]]-Table1[[#This Row],[new   od]]</f>
        <v>2</v>
      </c>
      <c r="G558" s="4">
        <f>IF(Table1[[#This Row],[RequiredDate]]&lt;Table1[[#This Row],[OrderDate]], Table1[[#This Row],[OrderDate]]+7, Table1[[#This Row],[RequiredDate]])</f>
        <v>45805</v>
      </c>
      <c r="H558" s="21">
        <f t="shared" si="89"/>
        <v>7</v>
      </c>
      <c r="I558" s="6" t="str">
        <f>IF(Table1[[#This Row],[New LTD]]&lt;=7,"Yes","No")</f>
        <v>Yes</v>
      </c>
      <c r="J558" s="6" t="str">
        <f t="shared" si="90"/>
        <v>No</v>
      </c>
      <c r="K558" t="s">
        <v>646</v>
      </c>
      <c r="L558" t="s">
        <v>661</v>
      </c>
      <c r="M558" t="s">
        <v>682</v>
      </c>
      <c r="N558" t="s">
        <v>703</v>
      </c>
      <c r="O558" t="s">
        <v>710</v>
      </c>
      <c r="P558" t="s">
        <v>719</v>
      </c>
      <c r="Q558" t="s">
        <v>731</v>
      </c>
      <c r="R558" t="s">
        <v>907</v>
      </c>
      <c r="S558" s="6">
        <v>1263.8399999999999</v>
      </c>
      <c r="T558" s="6">
        <v>2281.7199999999998</v>
      </c>
      <c r="U558" s="6">
        <f t="shared" si="91"/>
        <v>2281.7199999999998</v>
      </c>
      <c r="V558" s="8">
        <v>7.8E-2</v>
      </c>
      <c r="W558" s="6">
        <v>15</v>
      </c>
      <c r="X558" s="6">
        <f t="shared" si="92"/>
        <v>31556.187599999997</v>
      </c>
      <c r="Y558">
        <f t="shared" si="93"/>
        <v>18957.599999999999</v>
      </c>
      <c r="Z558" s="6">
        <f t="shared" si="94"/>
        <v>12598.587599999999</v>
      </c>
      <c r="AA558">
        <f t="shared" si="95"/>
        <v>0.39924301882398494</v>
      </c>
      <c r="AB558" t="str">
        <f t="shared" si="96"/>
        <v>5-2025</v>
      </c>
      <c r="AC558" t="str">
        <f t="shared" si="97"/>
        <v>Q2-2025</v>
      </c>
      <c r="AD558" t="str">
        <f t="shared" si="98"/>
        <v>Africa →South Africa →Johannesburg</v>
      </c>
      <c r="AE558" t="str">
        <f t="shared" si="99"/>
        <v>High</v>
      </c>
      <c r="AF558" t="str">
        <f>TEXT(Table1[[#This Row],[OrderDate]],"MMM")</f>
        <v>May</v>
      </c>
      <c r="AG558" t="str">
        <f>TEXT(Table1[[#This Row],[OrderDate]],"YYYY")</f>
        <v>2025</v>
      </c>
      <c r="AI558" s="4">
        <f>IF(Table1[[#This Row],[RequiredDate]]&lt;Table1[[#This Row],[OrderDate]], Table1[[#This Row],[OrderDate]]+7, Table1[[#This Row],[RequiredDate]])</f>
        <v>45805</v>
      </c>
      <c r="AJ558">
        <f>IF(Dashboard!$D$3&gt;'Staging Data'!V558,'Staging Data'!V558,Dashboard!D$3)</f>
        <v>7.8E-2</v>
      </c>
      <c r="AK558" s="19">
        <f>(100%+Dashboard!$D$4)*'Staging Data'!S558</f>
        <v>1327.0319999999999</v>
      </c>
      <c r="AL558">
        <f>(100%+Dashboard!$D$5)*'Staging Data'!W558</f>
        <v>17.25</v>
      </c>
    </row>
    <row r="559" spans="1:38" x14ac:dyDescent="0.35">
      <c r="A559" s="6" t="s">
        <v>409</v>
      </c>
      <c r="B559" s="4">
        <v>45804</v>
      </c>
      <c r="C559" s="4">
        <v>45816</v>
      </c>
      <c r="D559" s="4">
        <f>IF(Table1[[#This Row],[RequiredDate]]&lt;Table1[[#This Row],[OrderDate]],Table1[[#This Row],[RequiredDate]],Table1[[#This Row],[OrderDate]])</f>
        <v>45804</v>
      </c>
      <c r="E559" s="4">
        <f>IF(Table1[[#This Row],[RequiredDate]]&gt;Table1[[#This Row],[OrderDate]],Table1[[#This Row],[RequiredDate]],Table1[[#This Row],[OrderDate]])</f>
        <v>45816</v>
      </c>
      <c r="F559" s="21">
        <f>Table1[[#This Row],[New RD]]-Table1[[#This Row],[new   od]]</f>
        <v>12</v>
      </c>
      <c r="G559" s="4">
        <f>IF(Table1[[#This Row],[RequiredDate]]&lt;Table1[[#This Row],[OrderDate]], Table1[[#This Row],[OrderDate]]+7, Table1[[#This Row],[RequiredDate]])</f>
        <v>45816</v>
      </c>
      <c r="H559" s="21">
        <f t="shared" si="89"/>
        <v>12</v>
      </c>
      <c r="I559" s="6" t="str">
        <f>IF(Table1[[#This Row],[New LTD]]&lt;=7,"Yes","No")</f>
        <v>No</v>
      </c>
      <c r="J559" s="6" t="str">
        <f t="shared" si="90"/>
        <v>No</v>
      </c>
      <c r="K559" t="s">
        <v>647</v>
      </c>
      <c r="L559" t="s">
        <v>652</v>
      </c>
      <c r="M559" t="s">
        <v>666</v>
      </c>
      <c r="N559" t="s">
        <v>701</v>
      </c>
      <c r="O559" t="s">
        <v>707</v>
      </c>
      <c r="P559" t="s">
        <v>722</v>
      </c>
      <c r="Q559" t="s">
        <v>733</v>
      </c>
      <c r="R559" t="s">
        <v>1128</v>
      </c>
      <c r="S559" s="6">
        <v>653.6</v>
      </c>
      <c r="T559" s="6">
        <v>842.09</v>
      </c>
      <c r="U559" s="6">
        <f t="shared" si="91"/>
        <v>842.09</v>
      </c>
      <c r="V559" s="8">
        <v>9.8000000000000004E-2</v>
      </c>
      <c r="W559" s="6">
        <v>19</v>
      </c>
      <c r="X559" s="6">
        <f t="shared" si="92"/>
        <v>14431.738420000001</v>
      </c>
      <c r="Y559">
        <f t="shared" si="93"/>
        <v>12418.4</v>
      </c>
      <c r="Z559" s="6">
        <f t="shared" si="94"/>
        <v>2013.3384200000019</v>
      </c>
      <c r="AA559">
        <f t="shared" si="95"/>
        <v>0.13950768517324622</v>
      </c>
      <c r="AB559" t="str">
        <f t="shared" si="96"/>
        <v>5-2025</v>
      </c>
      <c r="AC559" t="str">
        <f t="shared" si="97"/>
        <v>Q2-2025</v>
      </c>
      <c r="AD559" t="str">
        <f t="shared" si="98"/>
        <v>Asia →Japan →Osaka</v>
      </c>
      <c r="AE559" t="str">
        <f t="shared" si="99"/>
        <v>Medium</v>
      </c>
      <c r="AF559" t="str">
        <f>TEXT(Table1[[#This Row],[OrderDate]],"MMM")</f>
        <v>May</v>
      </c>
      <c r="AG559" t="str">
        <f>TEXT(Table1[[#This Row],[OrderDate]],"YYYY")</f>
        <v>2025</v>
      </c>
      <c r="AI559" s="4">
        <f>IF(Table1[[#This Row],[RequiredDate]]&lt;Table1[[#This Row],[OrderDate]], Table1[[#This Row],[OrderDate]]+7, Table1[[#This Row],[RequiredDate]])</f>
        <v>45816</v>
      </c>
      <c r="AJ559">
        <f>IF(Dashboard!$D$3&gt;'Staging Data'!V559,'Staging Data'!V559,Dashboard!D$3)</f>
        <v>9.8000000000000004E-2</v>
      </c>
      <c r="AK559" s="19">
        <f>(100%+Dashboard!$D$4)*'Staging Data'!S559</f>
        <v>686.28000000000009</v>
      </c>
      <c r="AL559">
        <f>(100%+Dashboard!$D$5)*'Staging Data'!W559</f>
        <v>21.849999999999998</v>
      </c>
    </row>
    <row r="560" spans="1:38" x14ac:dyDescent="0.35">
      <c r="A560" s="6" t="s">
        <v>58</v>
      </c>
      <c r="B560" s="4">
        <v>45806</v>
      </c>
      <c r="C560" s="4">
        <v>45828</v>
      </c>
      <c r="D560" s="4">
        <f>IF(Table1[[#This Row],[RequiredDate]]&lt;Table1[[#This Row],[OrderDate]],Table1[[#This Row],[RequiredDate]],Table1[[#This Row],[OrderDate]])</f>
        <v>45806</v>
      </c>
      <c r="E560" s="4">
        <f>IF(Table1[[#This Row],[RequiredDate]]&gt;Table1[[#This Row],[OrderDate]],Table1[[#This Row],[RequiredDate]],Table1[[#This Row],[OrderDate]])</f>
        <v>45828</v>
      </c>
      <c r="F560" s="21">
        <f>Table1[[#This Row],[New RD]]-Table1[[#This Row],[new   od]]</f>
        <v>22</v>
      </c>
      <c r="G560" s="4">
        <f>IF(Table1[[#This Row],[RequiredDate]]&lt;Table1[[#This Row],[OrderDate]], Table1[[#This Row],[OrderDate]]+7, Table1[[#This Row],[RequiredDate]])</f>
        <v>45828</v>
      </c>
      <c r="H560" s="21">
        <f t="shared" si="89"/>
        <v>22</v>
      </c>
      <c r="I560" s="6" t="str">
        <f>IF(Table1[[#This Row],[New LTD]]&lt;=7,"Yes","No")</f>
        <v>No</v>
      </c>
      <c r="J560" s="6" t="str">
        <f t="shared" si="90"/>
        <v>No</v>
      </c>
      <c r="K560" t="s">
        <v>649</v>
      </c>
      <c r="L560" t="s">
        <v>656</v>
      </c>
      <c r="M560" t="s">
        <v>671</v>
      </c>
      <c r="N560" t="s">
        <v>701</v>
      </c>
      <c r="O560" t="s">
        <v>711</v>
      </c>
      <c r="P560" t="s">
        <v>720</v>
      </c>
      <c r="Q560" t="s">
        <v>728</v>
      </c>
      <c r="R560" t="s">
        <v>777</v>
      </c>
      <c r="S560" s="6">
        <v>483.47</v>
      </c>
      <c r="T560" s="6">
        <v>1135.43</v>
      </c>
      <c r="U560" s="6">
        <f t="shared" si="91"/>
        <v>1135.43</v>
      </c>
      <c r="V560" s="8">
        <v>0.14599999999999999</v>
      </c>
      <c r="W560" s="6">
        <v>11</v>
      </c>
      <c r="X560" s="6">
        <f t="shared" si="92"/>
        <v>10666.229420000001</v>
      </c>
      <c r="Y560">
        <f t="shared" si="93"/>
        <v>5318.17</v>
      </c>
      <c r="Z560" s="6">
        <f t="shared" si="94"/>
        <v>5348.0594200000014</v>
      </c>
      <c r="AA560">
        <f t="shared" si="95"/>
        <v>0.50140112399719983</v>
      </c>
      <c r="AB560" t="str">
        <f t="shared" si="96"/>
        <v>5-2025</v>
      </c>
      <c r="AC560" t="str">
        <f t="shared" si="97"/>
        <v>Q2-2025</v>
      </c>
      <c r="AD560" t="str">
        <f t="shared" si="98"/>
        <v>Europe →Germany →Berlin</v>
      </c>
      <c r="AE560" t="str">
        <f t="shared" si="99"/>
        <v>Medium</v>
      </c>
      <c r="AF560" t="str">
        <f>TEXT(Table1[[#This Row],[OrderDate]],"MMM")</f>
        <v>May</v>
      </c>
      <c r="AG560" t="str">
        <f>TEXT(Table1[[#This Row],[OrderDate]],"YYYY")</f>
        <v>2025</v>
      </c>
      <c r="AI560" s="4">
        <f>IF(Table1[[#This Row],[RequiredDate]]&lt;Table1[[#This Row],[OrderDate]], Table1[[#This Row],[OrderDate]]+7, Table1[[#This Row],[RequiredDate]])</f>
        <v>45828</v>
      </c>
      <c r="AJ560">
        <f>IF(Dashboard!$D$3&gt;'Staging Data'!V560,'Staging Data'!V560,Dashboard!D$3)</f>
        <v>0.14599999999999999</v>
      </c>
      <c r="AK560" s="19">
        <f>(100%+Dashboard!$D$4)*'Staging Data'!S560</f>
        <v>507.64350000000007</v>
      </c>
      <c r="AL560">
        <f>(100%+Dashboard!$D$5)*'Staging Data'!W560</f>
        <v>12.649999999999999</v>
      </c>
    </row>
    <row r="561" spans="1:38" x14ac:dyDescent="0.35">
      <c r="A561" s="6" t="s">
        <v>309</v>
      </c>
      <c r="B561" s="4">
        <v>45809</v>
      </c>
      <c r="C561" s="4">
        <v>45835</v>
      </c>
      <c r="D561" s="4">
        <f>IF(Table1[[#This Row],[RequiredDate]]&lt;Table1[[#This Row],[OrderDate]],Table1[[#This Row],[RequiredDate]],Table1[[#This Row],[OrderDate]])</f>
        <v>45809</v>
      </c>
      <c r="E561" s="4">
        <f>IF(Table1[[#This Row],[RequiredDate]]&gt;Table1[[#This Row],[OrderDate]],Table1[[#This Row],[RequiredDate]],Table1[[#This Row],[OrderDate]])</f>
        <v>45835</v>
      </c>
      <c r="F561" s="21">
        <f>Table1[[#This Row],[New RD]]-Table1[[#This Row],[new   od]]</f>
        <v>26</v>
      </c>
      <c r="G561" s="4">
        <f>IF(Table1[[#This Row],[RequiredDate]]&lt;Table1[[#This Row],[OrderDate]], Table1[[#This Row],[OrderDate]]+7, Table1[[#This Row],[RequiredDate]])</f>
        <v>45835</v>
      </c>
      <c r="H561" s="21">
        <f t="shared" si="89"/>
        <v>26</v>
      </c>
      <c r="I561" s="6" t="str">
        <f>IF(Table1[[#This Row],[New LTD]]&lt;=7,"Yes","No")</f>
        <v>No</v>
      </c>
      <c r="J561" s="6" t="str">
        <f t="shared" si="90"/>
        <v>No</v>
      </c>
      <c r="K561" t="s">
        <v>649</v>
      </c>
      <c r="L561" t="s">
        <v>656</v>
      </c>
      <c r="M561" t="s">
        <v>684</v>
      </c>
      <c r="N561" t="s">
        <v>704</v>
      </c>
      <c r="O561" t="s">
        <v>710</v>
      </c>
      <c r="P561" t="s">
        <v>718</v>
      </c>
      <c r="Q561" t="s">
        <v>731</v>
      </c>
      <c r="R561" t="s">
        <v>1029</v>
      </c>
      <c r="S561" s="6">
        <v>1362.31</v>
      </c>
      <c r="T561" s="6">
        <v>3294.57</v>
      </c>
      <c r="U561" s="6">
        <f t="shared" si="91"/>
        <v>3294.57</v>
      </c>
      <c r="V561" s="8">
        <v>0.113</v>
      </c>
      <c r="W561" s="6">
        <v>7</v>
      </c>
      <c r="X561" s="6">
        <f t="shared" si="92"/>
        <v>20455.985130000001</v>
      </c>
      <c r="Y561">
        <f t="shared" si="93"/>
        <v>9536.17</v>
      </c>
      <c r="Z561" s="6">
        <f t="shared" si="94"/>
        <v>10919.815130000001</v>
      </c>
      <c r="AA561">
        <f t="shared" si="95"/>
        <v>0.5338200561157721</v>
      </c>
      <c r="AB561" t="str">
        <f t="shared" si="96"/>
        <v>6-2025</v>
      </c>
      <c r="AC561" t="str">
        <f t="shared" si="97"/>
        <v>Q2-2025</v>
      </c>
      <c r="AD561" t="str">
        <f t="shared" si="98"/>
        <v>Europe →Germany →Munich</v>
      </c>
      <c r="AE561" t="str">
        <f t="shared" si="99"/>
        <v>High</v>
      </c>
      <c r="AF561" t="str">
        <f>TEXT(Table1[[#This Row],[OrderDate]],"MMM")</f>
        <v>Jun</v>
      </c>
      <c r="AG561" t="str">
        <f>TEXT(Table1[[#This Row],[OrderDate]],"YYYY")</f>
        <v>2025</v>
      </c>
      <c r="AI561" s="4">
        <f>IF(Table1[[#This Row],[RequiredDate]]&lt;Table1[[#This Row],[OrderDate]], Table1[[#This Row],[OrderDate]]+7, Table1[[#This Row],[RequiredDate]])</f>
        <v>45835</v>
      </c>
      <c r="AJ561">
        <f>IF(Dashboard!$D$3&gt;'Staging Data'!V561,'Staging Data'!V561,Dashboard!D$3)</f>
        <v>0.113</v>
      </c>
      <c r="AK561" s="19">
        <f>(100%+Dashboard!$D$4)*'Staging Data'!S561</f>
        <v>1430.4255000000001</v>
      </c>
      <c r="AL561">
        <f>(100%+Dashboard!$D$5)*'Staging Data'!W561</f>
        <v>8.0499999999999989</v>
      </c>
    </row>
    <row r="562" spans="1:38" x14ac:dyDescent="0.35">
      <c r="A562" s="6" t="s">
        <v>329</v>
      </c>
      <c r="B562" s="4">
        <v>45809</v>
      </c>
      <c r="C562" s="4">
        <v>45814</v>
      </c>
      <c r="D562" s="4">
        <f>IF(Table1[[#This Row],[RequiredDate]]&lt;Table1[[#This Row],[OrderDate]],Table1[[#This Row],[RequiredDate]],Table1[[#This Row],[OrderDate]])</f>
        <v>45809</v>
      </c>
      <c r="E562" s="4">
        <f>IF(Table1[[#This Row],[RequiredDate]]&gt;Table1[[#This Row],[OrderDate]],Table1[[#This Row],[RequiredDate]],Table1[[#This Row],[OrderDate]])</f>
        <v>45814</v>
      </c>
      <c r="F562" s="21">
        <f>Table1[[#This Row],[New RD]]-Table1[[#This Row],[new   od]]</f>
        <v>5</v>
      </c>
      <c r="G562" s="4">
        <f>IF(Table1[[#This Row],[RequiredDate]]&lt;Table1[[#This Row],[OrderDate]], Table1[[#This Row],[OrderDate]]+7, Table1[[#This Row],[RequiredDate]])</f>
        <v>45814</v>
      </c>
      <c r="H562" s="21">
        <f t="shared" si="89"/>
        <v>5</v>
      </c>
      <c r="I562" s="6" t="str">
        <f>IF(Table1[[#This Row],[New LTD]]&lt;=7,"Yes","No")</f>
        <v>Yes</v>
      </c>
      <c r="J562" s="6" t="str">
        <f t="shared" si="90"/>
        <v>No</v>
      </c>
      <c r="K562" t="s">
        <v>649</v>
      </c>
      <c r="L562" t="s">
        <v>657</v>
      </c>
      <c r="M562" t="s">
        <v>690</v>
      </c>
      <c r="N562" t="s">
        <v>704</v>
      </c>
      <c r="O562" t="s">
        <v>710</v>
      </c>
      <c r="P562" t="s">
        <v>715</v>
      </c>
      <c r="Q562" t="s">
        <v>727</v>
      </c>
      <c r="R562" t="s">
        <v>1049</v>
      </c>
      <c r="S562" s="6">
        <v>379.45</v>
      </c>
      <c r="T562" s="6">
        <v>742.23</v>
      </c>
      <c r="U562" s="6">
        <f t="shared" si="91"/>
        <v>742.23</v>
      </c>
      <c r="V562" s="8">
        <v>0.09</v>
      </c>
      <c r="W562" s="6">
        <v>13</v>
      </c>
      <c r="X562" s="6">
        <f t="shared" si="92"/>
        <v>8780.5809000000008</v>
      </c>
      <c r="Y562">
        <f t="shared" si="93"/>
        <v>4932.8499999999995</v>
      </c>
      <c r="Z562" s="6">
        <f t="shared" si="94"/>
        <v>3847.7309000000014</v>
      </c>
      <c r="AA562">
        <f t="shared" si="95"/>
        <v>0.43820915083192286</v>
      </c>
      <c r="AB562" t="str">
        <f t="shared" si="96"/>
        <v>6-2025</v>
      </c>
      <c r="AC562" t="str">
        <f t="shared" si="97"/>
        <v>Q2-2025</v>
      </c>
      <c r="AD562" t="str">
        <f t="shared" si="98"/>
        <v>Europe →France →Paris</v>
      </c>
      <c r="AE562" t="str">
        <f t="shared" si="99"/>
        <v>Low</v>
      </c>
      <c r="AF562" t="str">
        <f>TEXT(Table1[[#This Row],[OrderDate]],"MMM")</f>
        <v>Jun</v>
      </c>
      <c r="AG562" t="str">
        <f>TEXT(Table1[[#This Row],[OrderDate]],"YYYY")</f>
        <v>2025</v>
      </c>
      <c r="AI562" s="4">
        <f>IF(Table1[[#This Row],[RequiredDate]]&lt;Table1[[#This Row],[OrderDate]], Table1[[#This Row],[OrderDate]]+7, Table1[[#This Row],[RequiredDate]])</f>
        <v>45814</v>
      </c>
      <c r="AJ562">
        <f>IF(Dashboard!$D$3&gt;'Staging Data'!V562,'Staging Data'!V562,Dashboard!D$3)</f>
        <v>0.09</v>
      </c>
      <c r="AK562" s="19">
        <f>(100%+Dashboard!$D$4)*'Staging Data'!S562</f>
        <v>398.42250000000001</v>
      </c>
      <c r="AL562">
        <f>(100%+Dashboard!$D$5)*'Staging Data'!W562</f>
        <v>14.95</v>
      </c>
    </row>
    <row r="563" spans="1:38" x14ac:dyDescent="0.35">
      <c r="A563" s="6" t="s">
        <v>482</v>
      </c>
      <c r="B563" s="4">
        <v>45809</v>
      </c>
      <c r="C563" s="4">
        <v>45813</v>
      </c>
      <c r="D563" s="4">
        <f>IF(Table1[[#This Row],[RequiredDate]]&lt;Table1[[#This Row],[OrderDate]],Table1[[#This Row],[RequiredDate]],Table1[[#This Row],[OrderDate]])</f>
        <v>45809</v>
      </c>
      <c r="E563" s="4">
        <f>IF(Table1[[#This Row],[RequiredDate]]&gt;Table1[[#This Row],[OrderDate]],Table1[[#This Row],[RequiredDate]],Table1[[#This Row],[OrderDate]])</f>
        <v>45813</v>
      </c>
      <c r="F563" s="21">
        <f>Table1[[#This Row],[New RD]]-Table1[[#This Row],[new   od]]</f>
        <v>4</v>
      </c>
      <c r="G563" s="4">
        <f>IF(Table1[[#This Row],[RequiredDate]]&lt;Table1[[#This Row],[OrderDate]], Table1[[#This Row],[OrderDate]]+7, Table1[[#This Row],[RequiredDate]])</f>
        <v>45813</v>
      </c>
      <c r="H563" s="21">
        <f t="shared" si="89"/>
        <v>4</v>
      </c>
      <c r="I563" s="6" t="str">
        <f>IF(Table1[[#This Row],[New LTD]]&lt;=7,"Yes","No")</f>
        <v>Yes</v>
      </c>
      <c r="J563" s="6" t="str">
        <f t="shared" si="90"/>
        <v>Yes</v>
      </c>
      <c r="K563" t="s">
        <v>649</v>
      </c>
      <c r="L563" t="s">
        <v>656</v>
      </c>
      <c r="M563" t="s">
        <v>684</v>
      </c>
      <c r="N563" t="s">
        <v>706</v>
      </c>
      <c r="O563" t="s">
        <v>711</v>
      </c>
      <c r="P563" t="s">
        <v>724</v>
      </c>
      <c r="Q563" t="s">
        <v>727</v>
      </c>
      <c r="R563" t="s">
        <v>1201</v>
      </c>
      <c r="S563" s="6">
        <v>1171.42</v>
      </c>
      <c r="T563" s="6">
        <v>2187.8000000000002</v>
      </c>
      <c r="U563" s="6">
        <f t="shared" si="91"/>
        <v>2187.8000000000002</v>
      </c>
      <c r="V563" s="8">
        <v>0.23</v>
      </c>
      <c r="W563" s="6">
        <v>15</v>
      </c>
      <c r="X563" s="6">
        <f t="shared" si="92"/>
        <v>25269.09</v>
      </c>
      <c r="Y563">
        <f t="shared" si="93"/>
        <v>17571.300000000003</v>
      </c>
      <c r="Z563" s="6">
        <f t="shared" si="94"/>
        <v>7697.7899999999972</v>
      </c>
      <c r="AA563">
        <f t="shared" si="95"/>
        <v>0.30463265594447592</v>
      </c>
      <c r="AB563" t="str">
        <f t="shared" si="96"/>
        <v>6-2025</v>
      </c>
      <c r="AC563" t="str">
        <f t="shared" si="97"/>
        <v>Q2-2025</v>
      </c>
      <c r="AD563" t="str">
        <f t="shared" si="98"/>
        <v>Europe →Germany →Munich</v>
      </c>
      <c r="AE563" t="str">
        <f t="shared" si="99"/>
        <v>High</v>
      </c>
      <c r="AF563" t="str">
        <f>TEXT(Table1[[#This Row],[OrderDate]],"MMM")</f>
        <v>Jun</v>
      </c>
      <c r="AG563" t="str">
        <f>TEXT(Table1[[#This Row],[OrderDate]],"YYYY")</f>
        <v>2025</v>
      </c>
      <c r="AI563" s="4">
        <f>IF(Table1[[#This Row],[RequiredDate]]&lt;Table1[[#This Row],[OrderDate]], Table1[[#This Row],[OrderDate]]+7, Table1[[#This Row],[RequiredDate]])</f>
        <v>45813</v>
      </c>
      <c r="AJ563">
        <f>IF(Dashboard!$D$3&gt;'Staging Data'!V563,'Staging Data'!V563,Dashboard!D$3)</f>
        <v>0.2</v>
      </c>
      <c r="AK563" s="19">
        <f>(100%+Dashboard!$D$4)*'Staging Data'!S563</f>
        <v>1229.9910000000002</v>
      </c>
      <c r="AL563">
        <f>(100%+Dashboard!$D$5)*'Staging Data'!W563</f>
        <v>17.25</v>
      </c>
    </row>
    <row r="564" spans="1:38" x14ac:dyDescent="0.35">
      <c r="A564" s="6" t="s">
        <v>131</v>
      </c>
      <c r="B564" s="4">
        <v>45811</v>
      </c>
      <c r="C564" s="4">
        <v>45818</v>
      </c>
      <c r="D564" s="4">
        <f>IF(Table1[[#This Row],[RequiredDate]]&lt;Table1[[#This Row],[OrderDate]],Table1[[#This Row],[RequiredDate]],Table1[[#This Row],[OrderDate]])</f>
        <v>45811</v>
      </c>
      <c r="E564" s="4">
        <f>IF(Table1[[#This Row],[RequiredDate]]&gt;Table1[[#This Row],[OrderDate]],Table1[[#This Row],[RequiredDate]],Table1[[#This Row],[OrderDate]])</f>
        <v>45818</v>
      </c>
      <c r="F564" s="21">
        <f>Table1[[#This Row],[New RD]]-Table1[[#This Row],[new   od]]</f>
        <v>7</v>
      </c>
      <c r="G564" s="4">
        <f>IF(Table1[[#This Row],[RequiredDate]]&lt;Table1[[#This Row],[OrderDate]], Table1[[#This Row],[OrderDate]]+7, Table1[[#This Row],[RequiredDate]])</f>
        <v>45818</v>
      </c>
      <c r="H564" s="21">
        <f t="shared" si="89"/>
        <v>7</v>
      </c>
      <c r="I564" s="6" t="str">
        <f>IF(Table1[[#This Row],[New LTD]]&lt;=7,"Yes","No")</f>
        <v>Yes</v>
      </c>
      <c r="J564" s="6" t="str">
        <f t="shared" si="90"/>
        <v>No</v>
      </c>
      <c r="K564" t="s">
        <v>648</v>
      </c>
      <c r="L564" t="s">
        <v>653</v>
      </c>
      <c r="M564" t="s">
        <v>667</v>
      </c>
      <c r="N564" t="s">
        <v>704</v>
      </c>
      <c r="O564" t="s">
        <v>710</v>
      </c>
      <c r="P564" t="s">
        <v>719</v>
      </c>
      <c r="Q564" t="s">
        <v>728</v>
      </c>
      <c r="R564" t="s">
        <v>850</v>
      </c>
      <c r="S564" s="6">
        <v>75.180000000000007</v>
      </c>
      <c r="T564" s="6">
        <v>53.45</v>
      </c>
      <c r="U564" s="6">
        <f t="shared" si="91"/>
        <v>53.45</v>
      </c>
      <c r="V564" s="8">
        <v>0.157</v>
      </c>
      <c r="W564" s="6">
        <v>17</v>
      </c>
      <c r="X564" s="6">
        <f t="shared" si="92"/>
        <v>765.99195000000009</v>
      </c>
      <c r="Y564">
        <f t="shared" si="93"/>
        <v>1278.0600000000002</v>
      </c>
      <c r="Z564" s="6">
        <f t="shared" si="94"/>
        <v>-512.06805000000008</v>
      </c>
      <c r="AA564">
        <f t="shared" si="95"/>
        <v>-0.66850317421743144</v>
      </c>
      <c r="AB564" t="str">
        <f t="shared" si="96"/>
        <v>6-2025</v>
      </c>
      <c r="AC564" t="str">
        <f t="shared" si="97"/>
        <v>Q2-2025</v>
      </c>
      <c r="AD564" t="str">
        <f t="shared" si="98"/>
        <v>Americas →Canada →Toronto</v>
      </c>
      <c r="AE564" t="str">
        <f t="shared" si="99"/>
        <v>Low</v>
      </c>
      <c r="AF564" t="str">
        <f>TEXT(Table1[[#This Row],[OrderDate]],"MMM")</f>
        <v>Jun</v>
      </c>
      <c r="AG564" t="str">
        <f>TEXT(Table1[[#This Row],[OrderDate]],"YYYY")</f>
        <v>2025</v>
      </c>
      <c r="AI564" s="4">
        <f>IF(Table1[[#This Row],[RequiredDate]]&lt;Table1[[#This Row],[OrderDate]], Table1[[#This Row],[OrderDate]]+7, Table1[[#This Row],[RequiredDate]])</f>
        <v>45818</v>
      </c>
      <c r="AJ564">
        <f>IF(Dashboard!$D$3&gt;'Staging Data'!V564,'Staging Data'!V564,Dashboard!D$3)</f>
        <v>0.157</v>
      </c>
      <c r="AK564" s="19">
        <f>(100%+Dashboard!$D$4)*'Staging Data'!S564</f>
        <v>78.939000000000007</v>
      </c>
      <c r="AL564">
        <f>(100%+Dashboard!$D$5)*'Staging Data'!W564</f>
        <v>19.549999999999997</v>
      </c>
    </row>
    <row r="565" spans="1:38" x14ac:dyDescent="0.35">
      <c r="A565" s="6" t="s">
        <v>431</v>
      </c>
      <c r="B565" s="4">
        <v>45813</v>
      </c>
      <c r="C565" s="4">
        <v>45822</v>
      </c>
      <c r="D565" s="4">
        <f>IF(Table1[[#This Row],[RequiredDate]]&lt;Table1[[#This Row],[OrderDate]],Table1[[#This Row],[RequiredDate]],Table1[[#This Row],[OrderDate]])</f>
        <v>45813</v>
      </c>
      <c r="E565" s="4">
        <f>IF(Table1[[#This Row],[RequiredDate]]&gt;Table1[[#This Row],[OrderDate]],Table1[[#This Row],[RequiredDate]],Table1[[#This Row],[OrderDate]])</f>
        <v>45822</v>
      </c>
      <c r="F565" s="21">
        <f>Table1[[#This Row],[New RD]]-Table1[[#This Row],[new   od]]</f>
        <v>9</v>
      </c>
      <c r="G565" s="4">
        <f>IF(Table1[[#This Row],[RequiredDate]]&lt;Table1[[#This Row],[OrderDate]], Table1[[#This Row],[OrderDate]]+7, Table1[[#This Row],[RequiredDate]])</f>
        <v>45822</v>
      </c>
      <c r="H565" s="21">
        <f t="shared" si="89"/>
        <v>9</v>
      </c>
      <c r="I565" s="6" t="str">
        <f>IF(Table1[[#This Row],[New LTD]]&lt;=7,"Yes","No")</f>
        <v>No</v>
      </c>
      <c r="J565" s="6" t="str">
        <f t="shared" si="90"/>
        <v>No</v>
      </c>
      <c r="K565" t="s">
        <v>647</v>
      </c>
      <c r="L565" t="s">
        <v>654</v>
      </c>
      <c r="M565" t="s">
        <v>680</v>
      </c>
      <c r="N565" t="s">
        <v>703</v>
      </c>
      <c r="O565" t="s">
        <v>707</v>
      </c>
      <c r="P565" t="s">
        <v>720</v>
      </c>
      <c r="Q565" t="s">
        <v>733</v>
      </c>
      <c r="R565" t="s">
        <v>1150</v>
      </c>
      <c r="S565" s="6">
        <v>618.69000000000005</v>
      </c>
      <c r="T565" s="6">
        <v>796.15</v>
      </c>
      <c r="U565" s="6">
        <f t="shared" si="91"/>
        <v>796.15</v>
      </c>
      <c r="V565" s="8">
        <v>0.09</v>
      </c>
      <c r="W565" s="6">
        <v>11</v>
      </c>
      <c r="X565" s="6">
        <f t="shared" si="92"/>
        <v>7969.4615000000003</v>
      </c>
      <c r="Y565">
        <f t="shared" si="93"/>
        <v>6805.59</v>
      </c>
      <c r="Z565" s="6">
        <f t="shared" si="94"/>
        <v>1163.8715000000002</v>
      </c>
      <c r="AA565">
        <f t="shared" si="95"/>
        <v>0.14604142325049191</v>
      </c>
      <c r="AB565" t="str">
        <f t="shared" si="96"/>
        <v>6-2025</v>
      </c>
      <c r="AC565" t="str">
        <f t="shared" si="97"/>
        <v>Q2-2025</v>
      </c>
      <c r="AD565" t="str">
        <f t="shared" si="98"/>
        <v>Asia →India →Delhi</v>
      </c>
      <c r="AE565" t="str">
        <f t="shared" si="99"/>
        <v>Low</v>
      </c>
      <c r="AF565" t="str">
        <f>TEXT(Table1[[#This Row],[OrderDate]],"MMM")</f>
        <v>Jun</v>
      </c>
      <c r="AG565" t="str">
        <f>TEXT(Table1[[#This Row],[OrderDate]],"YYYY")</f>
        <v>2025</v>
      </c>
      <c r="AI565" s="4">
        <f>IF(Table1[[#This Row],[RequiredDate]]&lt;Table1[[#This Row],[OrderDate]], Table1[[#This Row],[OrderDate]]+7, Table1[[#This Row],[RequiredDate]])</f>
        <v>45822</v>
      </c>
      <c r="AJ565">
        <f>IF(Dashboard!$D$3&gt;'Staging Data'!V565,'Staging Data'!V565,Dashboard!D$3)</f>
        <v>0.09</v>
      </c>
      <c r="AK565" s="19">
        <f>(100%+Dashboard!$D$4)*'Staging Data'!S565</f>
        <v>649.62450000000013</v>
      </c>
      <c r="AL565">
        <f>(100%+Dashboard!$D$5)*'Staging Data'!W565</f>
        <v>12.649999999999999</v>
      </c>
    </row>
    <row r="566" spans="1:38" x14ac:dyDescent="0.35">
      <c r="A566" s="6" t="s">
        <v>73</v>
      </c>
      <c r="B566" s="4">
        <v>45817</v>
      </c>
      <c r="C566" s="4">
        <v>45826</v>
      </c>
      <c r="D566" s="4">
        <f>IF(Table1[[#This Row],[RequiredDate]]&lt;Table1[[#This Row],[OrderDate]],Table1[[#This Row],[RequiredDate]],Table1[[#This Row],[OrderDate]])</f>
        <v>45817</v>
      </c>
      <c r="E566" s="4">
        <f>IF(Table1[[#This Row],[RequiredDate]]&gt;Table1[[#This Row],[OrderDate]],Table1[[#This Row],[RequiredDate]],Table1[[#This Row],[OrderDate]])</f>
        <v>45826</v>
      </c>
      <c r="F566" s="21">
        <f>Table1[[#This Row],[New RD]]-Table1[[#This Row],[new   od]]</f>
        <v>9</v>
      </c>
      <c r="G566" s="4">
        <f>IF(Table1[[#This Row],[RequiredDate]]&lt;Table1[[#This Row],[OrderDate]], Table1[[#This Row],[OrderDate]]+7, Table1[[#This Row],[RequiredDate]])</f>
        <v>45826</v>
      </c>
      <c r="H566" s="21">
        <f t="shared" si="89"/>
        <v>9</v>
      </c>
      <c r="I566" s="6" t="str">
        <f>IF(Table1[[#This Row],[New LTD]]&lt;=7,"Yes","No")</f>
        <v>No</v>
      </c>
      <c r="J566" s="6" t="str">
        <f t="shared" si="90"/>
        <v>No</v>
      </c>
      <c r="K566" t="s">
        <v>649</v>
      </c>
      <c r="L566" t="s">
        <v>657</v>
      </c>
      <c r="M566" t="s">
        <v>673</v>
      </c>
      <c r="N566" t="s">
        <v>705</v>
      </c>
      <c r="O566" t="s">
        <v>709</v>
      </c>
      <c r="P566" t="s">
        <v>722</v>
      </c>
      <c r="Q566" t="s">
        <v>733</v>
      </c>
      <c r="R566" t="s">
        <v>792</v>
      </c>
      <c r="S566" s="6">
        <v>1225.5</v>
      </c>
      <c r="T566" s="6">
        <v>-5.27</v>
      </c>
      <c r="U566" s="6">
        <f t="shared" si="91"/>
        <v>5.27</v>
      </c>
      <c r="V566" s="8">
        <v>7.4999999999999997E-2</v>
      </c>
      <c r="W566" s="6">
        <v>56</v>
      </c>
      <c r="X566" s="6">
        <f t="shared" si="92"/>
        <v>272.98599999999999</v>
      </c>
      <c r="Y566">
        <f t="shared" si="93"/>
        <v>68628</v>
      </c>
      <c r="Z566" s="6">
        <f t="shared" si="94"/>
        <v>-68355.013999999996</v>
      </c>
      <c r="AA566">
        <f t="shared" si="95"/>
        <v>-250.39750756449047</v>
      </c>
      <c r="AB566" t="str">
        <f t="shared" si="96"/>
        <v>6-2025</v>
      </c>
      <c r="AC566" t="str">
        <f t="shared" si="97"/>
        <v>Q2-2025</v>
      </c>
      <c r="AD566" t="str">
        <f t="shared" si="98"/>
        <v>Europe →France →Marseille</v>
      </c>
      <c r="AE566" t="str">
        <f t="shared" si="99"/>
        <v>Low</v>
      </c>
      <c r="AF566" t="str">
        <f>TEXT(Table1[[#This Row],[OrderDate]],"MMM")</f>
        <v>Jun</v>
      </c>
      <c r="AG566" t="str">
        <f>TEXT(Table1[[#This Row],[OrderDate]],"YYYY")</f>
        <v>2025</v>
      </c>
      <c r="AI566" s="4">
        <f>IF(Table1[[#This Row],[RequiredDate]]&lt;Table1[[#This Row],[OrderDate]], Table1[[#This Row],[OrderDate]]+7, Table1[[#This Row],[RequiredDate]])</f>
        <v>45826</v>
      </c>
      <c r="AJ566">
        <f>IF(Dashboard!$D$3&gt;'Staging Data'!V566,'Staging Data'!V566,Dashboard!D$3)</f>
        <v>7.4999999999999997E-2</v>
      </c>
      <c r="AK566" s="19">
        <f>(100%+Dashboard!$D$4)*'Staging Data'!S566</f>
        <v>1286.7750000000001</v>
      </c>
      <c r="AL566">
        <f>(100%+Dashboard!$D$5)*'Staging Data'!W566</f>
        <v>64.399999999999991</v>
      </c>
    </row>
    <row r="567" spans="1:38" x14ac:dyDescent="0.35">
      <c r="A567" s="6" t="s">
        <v>106</v>
      </c>
      <c r="B567" s="4">
        <v>45817</v>
      </c>
      <c r="C567" s="4">
        <v>45833</v>
      </c>
      <c r="D567" s="4">
        <f>IF(Table1[[#This Row],[RequiredDate]]&lt;Table1[[#This Row],[OrderDate]],Table1[[#This Row],[RequiredDate]],Table1[[#This Row],[OrderDate]])</f>
        <v>45817</v>
      </c>
      <c r="E567" s="4">
        <f>IF(Table1[[#This Row],[RequiredDate]]&gt;Table1[[#This Row],[OrderDate]],Table1[[#This Row],[RequiredDate]],Table1[[#This Row],[OrderDate]])</f>
        <v>45833</v>
      </c>
      <c r="F567" s="21">
        <f>Table1[[#This Row],[New RD]]-Table1[[#This Row],[new   od]]</f>
        <v>16</v>
      </c>
      <c r="G567" s="4">
        <f>IF(Table1[[#This Row],[RequiredDate]]&lt;Table1[[#This Row],[OrderDate]], Table1[[#This Row],[OrderDate]]+7, Table1[[#This Row],[RequiredDate]])</f>
        <v>45833</v>
      </c>
      <c r="H567" s="21">
        <f t="shared" si="89"/>
        <v>16</v>
      </c>
      <c r="I567" s="6" t="str">
        <f>IF(Table1[[#This Row],[New LTD]]&lt;=7,"Yes","No")</f>
        <v>No</v>
      </c>
      <c r="J567" s="6" t="str">
        <f t="shared" si="90"/>
        <v>No</v>
      </c>
      <c r="K567" t="s">
        <v>647</v>
      </c>
      <c r="L567" t="s">
        <v>654</v>
      </c>
      <c r="M567" t="s">
        <v>696</v>
      </c>
      <c r="N567" t="s">
        <v>706</v>
      </c>
      <c r="O567" t="s">
        <v>710</v>
      </c>
      <c r="P567" t="s">
        <v>724</v>
      </c>
      <c r="Q567" t="s">
        <v>730</v>
      </c>
      <c r="R567" t="s">
        <v>825</v>
      </c>
      <c r="S567" s="6">
        <v>527.33000000000004</v>
      </c>
      <c r="T567" s="6">
        <v>911.72</v>
      </c>
      <c r="U567" s="6">
        <f t="shared" si="91"/>
        <v>911.72</v>
      </c>
      <c r="V567" s="8">
        <v>0.14399999999999999</v>
      </c>
      <c r="W567" s="6">
        <v>25</v>
      </c>
      <c r="X567" s="6">
        <f t="shared" si="92"/>
        <v>19510.808000000001</v>
      </c>
      <c r="Y567">
        <f t="shared" si="93"/>
        <v>13183.250000000002</v>
      </c>
      <c r="Z567" s="6">
        <f t="shared" si="94"/>
        <v>6327.5579999999991</v>
      </c>
      <c r="AA567">
        <f t="shared" si="95"/>
        <v>0.32431040272652978</v>
      </c>
      <c r="AB567" t="str">
        <f t="shared" si="96"/>
        <v>6-2025</v>
      </c>
      <c r="AC567" t="str">
        <f t="shared" si="97"/>
        <v>Q2-2025</v>
      </c>
      <c r="AD567" t="str">
        <f t="shared" si="98"/>
        <v>Asia →India →Hyderabad</v>
      </c>
      <c r="AE567" t="str">
        <f t="shared" si="99"/>
        <v>Medium</v>
      </c>
      <c r="AF567" t="str">
        <f>TEXT(Table1[[#This Row],[OrderDate]],"MMM")</f>
        <v>Jun</v>
      </c>
      <c r="AG567" t="str">
        <f>TEXT(Table1[[#This Row],[OrderDate]],"YYYY")</f>
        <v>2025</v>
      </c>
      <c r="AI567" s="4">
        <f>IF(Table1[[#This Row],[RequiredDate]]&lt;Table1[[#This Row],[OrderDate]], Table1[[#This Row],[OrderDate]]+7, Table1[[#This Row],[RequiredDate]])</f>
        <v>45833</v>
      </c>
      <c r="AJ567">
        <f>IF(Dashboard!$D$3&gt;'Staging Data'!V567,'Staging Data'!V567,Dashboard!D$3)</f>
        <v>0.14399999999999999</v>
      </c>
      <c r="AK567" s="19">
        <f>(100%+Dashboard!$D$4)*'Staging Data'!S567</f>
        <v>553.69650000000001</v>
      </c>
      <c r="AL567">
        <f>(100%+Dashboard!$D$5)*'Staging Data'!W567</f>
        <v>28.749999999999996</v>
      </c>
    </row>
    <row r="568" spans="1:38" x14ac:dyDescent="0.35">
      <c r="A568" s="6" t="s">
        <v>467</v>
      </c>
      <c r="B568" s="4">
        <v>45817</v>
      </c>
      <c r="C568" s="4">
        <v>45832</v>
      </c>
      <c r="D568" s="4">
        <f>IF(Table1[[#This Row],[RequiredDate]]&lt;Table1[[#This Row],[OrderDate]],Table1[[#This Row],[RequiredDate]],Table1[[#This Row],[OrderDate]])</f>
        <v>45817</v>
      </c>
      <c r="E568" s="4">
        <f>IF(Table1[[#This Row],[RequiredDate]]&gt;Table1[[#This Row],[OrderDate]],Table1[[#This Row],[RequiredDate]],Table1[[#This Row],[OrderDate]])</f>
        <v>45832</v>
      </c>
      <c r="F568" s="21">
        <f>Table1[[#This Row],[New RD]]-Table1[[#This Row],[new   od]]</f>
        <v>15</v>
      </c>
      <c r="G568" s="4">
        <f>IF(Table1[[#This Row],[RequiredDate]]&lt;Table1[[#This Row],[OrderDate]], Table1[[#This Row],[OrderDate]]+7, Table1[[#This Row],[RequiredDate]])</f>
        <v>45832</v>
      </c>
      <c r="H568" s="21">
        <f t="shared" si="89"/>
        <v>15</v>
      </c>
      <c r="I568" s="6" t="str">
        <f>IF(Table1[[#This Row],[New LTD]]&lt;=7,"Yes","No")</f>
        <v>No</v>
      </c>
      <c r="J568" s="6" t="str">
        <f t="shared" si="90"/>
        <v>No</v>
      </c>
      <c r="K568" t="s">
        <v>647</v>
      </c>
      <c r="L568" t="s">
        <v>652</v>
      </c>
      <c r="M568" t="s">
        <v>694</v>
      </c>
      <c r="N568" t="s">
        <v>701</v>
      </c>
      <c r="O568" t="s">
        <v>711</v>
      </c>
      <c r="P568" t="s">
        <v>717</v>
      </c>
      <c r="Q568" t="s">
        <v>730</v>
      </c>
      <c r="R568" t="s">
        <v>1186</v>
      </c>
      <c r="S568" s="6">
        <v>400.39</v>
      </c>
      <c r="T568" s="6">
        <v>712.75</v>
      </c>
      <c r="U568" s="6">
        <f t="shared" si="91"/>
        <v>712.75</v>
      </c>
      <c r="V568" s="8">
        <v>0.115</v>
      </c>
      <c r="W568" s="6">
        <v>19</v>
      </c>
      <c r="X568" s="6">
        <f t="shared" si="92"/>
        <v>11984.891250000001</v>
      </c>
      <c r="Y568">
        <f t="shared" si="93"/>
        <v>7607.41</v>
      </c>
      <c r="Z568" s="6">
        <f t="shared" si="94"/>
        <v>4377.4812500000007</v>
      </c>
      <c r="AA568">
        <f t="shared" si="95"/>
        <v>0.36524997671547504</v>
      </c>
      <c r="AB568" t="str">
        <f t="shared" si="96"/>
        <v>6-2025</v>
      </c>
      <c r="AC568" t="str">
        <f t="shared" si="97"/>
        <v>Q2-2025</v>
      </c>
      <c r="AD568" t="str">
        <f t="shared" si="98"/>
        <v>Asia →Japan →Nagoya</v>
      </c>
      <c r="AE568" t="str">
        <f t="shared" si="99"/>
        <v>Low</v>
      </c>
      <c r="AF568" t="str">
        <f>TEXT(Table1[[#This Row],[OrderDate]],"MMM")</f>
        <v>Jun</v>
      </c>
      <c r="AG568" t="str">
        <f>TEXT(Table1[[#This Row],[OrderDate]],"YYYY")</f>
        <v>2025</v>
      </c>
      <c r="AI568" s="4">
        <f>IF(Table1[[#This Row],[RequiredDate]]&lt;Table1[[#This Row],[OrderDate]], Table1[[#This Row],[OrderDate]]+7, Table1[[#This Row],[RequiredDate]])</f>
        <v>45832</v>
      </c>
      <c r="AJ568">
        <f>IF(Dashboard!$D$3&gt;'Staging Data'!V568,'Staging Data'!V568,Dashboard!D$3)</f>
        <v>0.115</v>
      </c>
      <c r="AK568" s="19">
        <f>(100%+Dashboard!$D$4)*'Staging Data'!S568</f>
        <v>420.40949999999998</v>
      </c>
      <c r="AL568">
        <f>(100%+Dashboard!$D$5)*'Staging Data'!W568</f>
        <v>21.849999999999998</v>
      </c>
    </row>
    <row r="569" spans="1:38" x14ac:dyDescent="0.35">
      <c r="A569" s="6" t="s">
        <v>37</v>
      </c>
      <c r="B569" s="4">
        <v>45822</v>
      </c>
      <c r="C569" s="4">
        <v>45837</v>
      </c>
      <c r="D569" s="4">
        <f>IF(Table1[[#This Row],[RequiredDate]]&lt;Table1[[#This Row],[OrderDate]],Table1[[#This Row],[RequiredDate]],Table1[[#This Row],[OrderDate]])</f>
        <v>45822</v>
      </c>
      <c r="E569" s="4">
        <f>IF(Table1[[#This Row],[RequiredDate]]&gt;Table1[[#This Row],[OrderDate]],Table1[[#This Row],[RequiredDate]],Table1[[#This Row],[OrderDate]])</f>
        <v>45837</v>
      </c>
      <c r="F569" s="21">
        <f>Table1[[#This Row],[New RD]]-Table1[[#This Row],[new   od]]</f>
        <v>15</v>
      </c>
      <c r="G569" s="4">
        <f>IF(Table1[[#This Row],[RequiredDate]]&lt;Table1[[#This Row],[OrderDate]], Table1[[#This Row],[OrderDate]]+7, Table1[[#This Row],[RequiredDate]])</f>
        <v>45837</v>
      </c>
      <c r="H569" s="21">
        <f t="shared" si="89"/>
        <v>15</v>
      </c>
      <c r="I569" s="6" t="str">
        <f>IF(Table1[[#This Row],[New LTD]]&lt;=7,"Yes","No")</f>
        <v>No</v>
      </c>
      <c r="J569" s="6" t="str">
        <f t="shared" si="90"/>
        <v>No</v>
      </c>
      <c r="K569" t="s">
        <v>646</v>
      </c>
      <c r="L569" t="s">
        <v>651</v>
      </c>
      <c r="M569" t="s">
        <v>663</v>
      </c>
      <c r="N569" t="s">
        <v>704</v>
      </c>
      <c r="O569" t="s">
        <v>709</v>
      </c>
      <c r="P569" t="s">
        <v>724</v>
      </c>
      <c r="Q569" t="s">
        <v>733</v>
      </c>
      <c r="R569" t="s">
        <v>756</v>
      </c>
      <c r="S569" s="6">
        <v>730.99</v>
      </c>
      <c r="T569" s="6">
        <v>1242.8399999999999</v>
      </c>
      <c r="U569" s="6">
        <f t="shared" si="91"/>
        <v>1242.8399999999999</v>
      </c>
      <c r="V569" s="8">
        <v>0.12</v>
      </c>
      <c r="W569" s="6">
        <v>10</v>
      </c>
      <c r="X569" s="6">
        <f t="shared" si="92"/>
        <v>10936.992</v>
      </c>
      <c r="Y569">
        <f t="shared" si="93"/>
        <v>7309.9</v>
      </c>
      <c r="Z569" s="6">
        <f t="shared" si="94"/>
        <v>3627.0920000000006</v>
      </c>
      <c r="AA569">
        <f t="shared" si="95"/>
        <v>0.33163524303574515</v>
      </c>
      <c r="AB569" t="str">
        <f t="shared" si="96"/>
        <v>6-2025</v>
      </c>
      <c r="AC569" t="str">
        <f t="shared" si="97"/>
        <v>Q2-2025</v>
      </c>
      <c r="AD569" t="str">
        <f t="shared" si="98"/>
        <v>Africa →Nigeria →Port Harcourt</v>
      </c>
      <c r="AE569" t="str">
        <f t="shared" si="99"/>
        <v>Medium</v>
      </c>
      <c r="AF569" t="str">
        <f>TEXT(Table1[[#This Row],[OrderDate]],"MMM")</f>
        <v>Jun</v>
      </c>
      <c r="AG569" t="str">
        <f>TEXT(Table1[[#This Row],[OrderDate]],"YYYY")</f>
        <v>2025</v>
      </c>
      <c r="AI569" s="4">
        <f>IF(Table1[[#This Row],[RequiredDate]]&lt;Table1[[#This Row],[OrderDate]], Table1[[#This Row],[OrderDate]]+7, Table1[[#This Row],[RequiredDate]])</f>
        <v>45837</v>
      </c>
      <c r="AJ569">
        <f>IF(Dashboard!$D$3&gt;'Staging Data'!V569,'Staging Data'!V569,Dashboard!D$3)</f>
        <v>0.12</v>
      </c>
      <c r="AK569" s="19">
        <f>(100%+Dashboard!$D$4)*'Staging Data'!S569</f>
        <v>767.53950000000009</v>
      </c>
      <c r="AL569">
        <f>(100%+Dashboard!$D$5)*'Staging Data'!W569</f>
        <v>11.5</v>
      </c>
    </row>
    <row r="570" spans="1:38" x14ac:dyDescent="0.35">
      <c r="A570" s="6" t="s">
        <v>404</v>
      </c>
      <c r="B570" s="4">
        <v>45823</v>
      </c>
      <c r="C570" s="4">
        <v>45838</v>
      </c>
      <c r="D570" s="4">
        <f>IF(Table1[[#This Row],[RequiredDate]]&lt;Table1[[#This Row],[OrderDate]],Table1[[#This Row],[RequiredDate]],Table1[[#This Row],[OrderDate]])</f>
        <v>45823</v>
      </c>
      <c r="E570" s="4">
        <f>IF(Table1[[#This Row],[RequiredDate]]&gt;Table1[[#This Row],[OrderDate]],Table1[[#This Row],[RequiredDate]],Table1[[#This Row],[OrderDate]])</f>
        <v>45838</v>
      </c>
      <c r="F570" s="21">
        <f>Table1[[#This Row],[New RD]]-Table1[[#This Row],[new   od]]</f>
        <v>15</v>
      </c>
      <c r="G570" s="4">
        <f>IF(Table1[[#This Row],[RequiredDate]]&lt;Table1[[#This Row],[OrderDate]], Table1[[#This Row],[OrderDate]]+7, Table1[[#This Row],[RequiredDate]])</f>
        <v>45838</v>
      </c>
      <c r="H570" s="21">
        <f t="shared" si="89"/>
        <v>15</v>
      </c>
      <c r="I570" s="6" t="str">
        <f>IF(Table1[[#This Row],[New LTD]]&lt;=7,"Yes","No")</f>
        <v>No</v>
      </c>
      <c r="J570" s="6" t="str">
        <f t="shared" si="90"/>
        <v>No</v>
      </c>
      <c r="K570" t="s">
        <v>646</v>
      </c>
      <c r="L570" t="s">
        <v>661</v>
      </c>
      <c r="M570" t="s">
        <v>682</v>
      </c>
      <c r="N570" t="s">
        <v>705</v>
      </c>
      <c r="O570" t="s">
        <v>711</v>
      </c>
      <c r="P570" t="s">
        <v>712</v>
      </c>
      <c r="Q570" t="s">
        <v>732</v>
      </c>
      <c r="R570" t="s">
        <v>1123</v>
      </c>
      <c r="S570" s="6">
        <v>1487.59</v>
      </c>
      <c r="T570" s="6">
        <v>1480.83</v>
      </c>
      <c r="U570" s="6">
        <f t="shared" si="91"/>
        <v>1480.83</v>
      </c>
      <c r="V570" s="8">
        <v>8.9999999999999993E-3</v>
      </c>
      <c r="W570" s="6">
        <v>11</v>
      </c>
      <c r="X570" s="6">
        <f t="shared" si="92"/>
        <v>16142.527829999999</v>
      </c>
      <c r="Y570">
        <f t="shared" si="93"/>
        <v>16363.49</v>
      </c>
      <c r="Z570" s="6">
        <f t="shared" si="94"/>
        <v>-220.9621700000007</v>
      </c>
      <c r="AA570">
        <f t="shared" si="95"/>
        <v>-1.3688201273492908E-2</v>
      </c>
      <c r="AB570" t="str">
        <f t="shared" si="96"/>
        <v>6-2025</v>
      </c>
      <c r="AC570" t="str">
        <f t="shared" si="97"/>
        <v>Q2-2025</v>
      </c>
      <c r="AD570" t="str">
        <f t="shared" si="98"/>
        <v>Africa →South Africa →Johannesburg</v>
      </c>
      <c r="AE570" t="str">
        <f t="shared" si="99"/>
        <v>Medium</v>
      </c>
      <c r="AF570" t="str">
        <f>TEXT(Table1[[#This Row],[OrderDate]],"MMM")</f>
        <v>Jun</v>
      </c>
      <c r="AG570" t="str">
        <f>TEXT(Table1[[#This Row],[OrderDate]],"YYYY")</f>
        <v>2025</v>
      </c>
      <c r="AI570" s="4">
        <f>IF(Table1[[#This Row],[RequiredDate]]&lt;Table1[[#This Row],[OrderDate]], Table1[[#This Row],[OrderDate]]+7, Table1[[#This Row],[RequiredDate]])</f>
        <v>45838</v>
      </c>
      <c r="AJ570">
        <f>IF(Dashboard!$D$3&gt;'Staging Data'!V570,'Staging Data'!V570,Dashboard!D$3)</f>
        <v>8.9999999999999993E-3</v>
      </c>
      <c r="AK570" s="19">
        <f>(100%+Dashboard!$D$4)*'Staging Data'!S570</f>
        <v>1561.9694999999999</v>
      </c>
      <c r="AL570">
        <f>(100%+Dashboard!$D$5)*'Staging Data'!W570</f>
        <v>12.649999999999999</v>
      </c>
    </row>
    <row r="571" spans="1:38" x14ac:dyDescent="0.35">
      <c r="A571" s="6" t="s">
        <v>608</v>
      </c>
      <c r="B571" s="4">
        <v>45823</v>
      </c>
      <c r="C571" s="4">
        <v>45850</v>
      </c>
      <c r="D571" s="4">
        <f>IF(Table1[[#This Row],[RequiredDate]]&lt;Table1[[#This Row],[OrderDate]],Table1[[#This Row],[RequiredDate]],Table1[[#This Row],[OrderDate]])</f>
        <v>45823</v>
      </c>
      <c r="E571" s="4">
        <f>IF(Table1[[#This Row],[RequiredDate]]&gt;Table1[[#This Row],[OrderDate]],Table1[[#This Row],[RequiredDate]],Table1[[#This Row],[OrderDate]])</f>
        <v>45850</v>
      </c>
      <c r="F571" s="21">
        <f>Table1[[#This Row],[New RD]]-Table1[[#This Row],[new   od]]</f>
        <v>27</v>
      </c>
      <c r="G571" s="4">
        <f>IF(Table1[[#This Row],[RequiredDate]]&lt;Table1[[#This Row],[OrderDate]], Table1[[#This Row],[OrderDate]]+7, Table1[[#This Row],[RequiredDate]])</f>
        <v>45850</v>
      </c>
      <c r="H571" s="21">
        <f t="shared" si="89"/>
        <v>27</v>
      </c>
      <c r="I571" s="6" t="str">
        <f>IF(Table1[[#This Row],[New LTD]]&lt;=7,"Yes","No")</f>
        <v>No</v>
      </c>
      <c r="J571" s="6" t="str">
        <f t="shared" si="90"/>
        <v>No</v>
      </c>
      <c r="K571" t="s">
        <v>649</v>
      </c>
      <c r="L571" t="s">
        <v>657</v>
      </c>
      <c r="M571" t="s">
        <v>673</v>
      </c>
      <c r="N571" t="s">
        <v>704</v>
      </c>
      <c r="O571" t="s">
        <v>711</v>
      </c>
      <c r="P571" t="s">
        <v>712</v>
      </c>
      <c r="Q571" t="s">
        <v>733</v>
      </c>
      <c r="R571" t="s">
        <v>1326</v>
      </c>
      <c r="S571" s="6">
        <v>318.83</v>
      </c>
      <c r="T571" s="6">
        <v>699.5</v>
      </c>
      <c r="U571" s="6">
        <f t="shared" si="91"/>
        <v>699.5</v>
      </c>
      <c r="V571" s="8">
        <v>0.08</v>
      </c>
      <c r="W571" s="6">
        <v>13</v>
      </c>
      <c r="X571" s="6">
        <f t="shared" si="92"/>
        <v>8366.02</v>
      </c>
      <c r="Y571">
        <f t="shared" si="93"/>
        <v>4144.79</v>
      </c>
      <c r="Z571" s="6">
        <f t="shared" si="94"/>
        <v>4221.2300000000005</v>
      </c>
      <c r="AA571">
        <f t="shared" si="95"/>
        <v>0.50456848059172699</v>
      </c>
      <c r="AB571" t="str">
        <f t="shared" si="96"/>
        <v>6-2025</v>
      </c>
      <c r="AC571" t="str">
        <f t="shared" si="97"/>
        <v>Q2-2025</v>
      </c>
      <c r="AD571" t="str">
        <f t="shared" si="98"/>
        <v>Europe →France →Marseille</v>
      </c>
      <c r="AE571" t="str">
        <f t="shared" si="99"/>
        <v>Low</v>
      </c>
      <c r="AF571" t="str">
        <f>TEXT(Table1[[#This Row],[OrderDate]],"MMM")</f>
        <v>Jun</v>
      </c>
      <c r="AG571" t="str">
        <f>TEXT(Table1[[#This Row],[OrderDate]],"YYYY")</f>
        <v>2025</v>
      </c>
      <c r="AI571" s="4">
        <f>IF(Table1[[#This Row],[RequiredDate]]&lt;Table1[[#This Row],[OrderDate]], Table1[[#This Row],[OrderDate]]+7, Table1[[#This Row],[RequiredDate]])</f>
        <v>45850</v>
      </c>
      <c r="AJ571">
        <f>IF(Dashboard!$D$3&gt;'Staging Data'!V571,'Staging Data'!V571,Dashboard!D$3)</f>
        <v>0.08</v>
      </c>
      <c r="AK571" s="19">
        <f>(100%+Dashboard!$D$4)*'Staging Data'!S571</f>
        <v>334.7715</v>
      </c>
      <c r="AL571">
        <f>(100%+Dashboard!$D$5)*'Staging Data'!W571</f>
        <v>14.95</v>
      </c>
    </row>
    <row r="572" spans="1:38" x14ac:dyDescent="0.35">
      <c r="A572" s="6" t="s">
        <v>363</v>
      </c>
      <c r="B572" s="4">
        <v>45825</v>
      </c>
      <c r="C572" s="4">
        <v>45843</v>
      </c>
      <c r="D572" s="4">
        <f>IF(Table1[[#This Row],[RequiredDate]]&lt;Table1[[#This Row],[OrderDate]],Table1[[#This Row],[RequiredDate]],Table1[[#This Row],[OrderDate]])</f>
        <v>45825</v>
      </c>
      <c r="E572" s="4">
        <f>IF(Table1[[#This Row],[RequiredDate]]&gt;Table1[[#This Row],[OrderDate]],Table1[[#This Row],[RequiredDate]],Table1[[#This Row],[OrderDate]])</f>
        <v>45843</v>
      </c>
      <c r="F572" s="21">
        <f>Table1[[#This Row],[New RD]]-Table1[[#This Row],[new   od]]</f>
        <v>18</v>
      </c>
      <c r="G572" s="4">
        <f>IF(Table1[[#This Row],[RequiredDate]]&lt;Table1[[#This Row],[OrderDate]], Table1[[#This Row],[OrderDate]]+7, Table1[[#This Row],[RequiredDate]])</f>
        <v>45843</v>
      </c>
      <c r="H572" s="21">
        <f t="shared" si="89"/>
        <v>18</v>
      </c>
      <c r="I572" s="6" t="str">
        <f>IF(Table1[[#This Row],[New LTD]]&lt;=7,"Yes","No")</f>
        <v>No</v>
      </c>
      <c r="J572" s="6" t="str">
        <f t="shared" si="90"/>
        <v>No</v>
      </c>
      <c r="K572" t="s">
        <v>647</v>
      </c>
      <c r="L572" t="s">
        <v>654</v>
      </c>
      <c r="M572" t="s">
        <v>680</v>
      </c>
      <c r="N572" t="s">
        <v>704</v>
      </c>
      <c r="O572" t="s">
        <v>709</v>
      </c>
      <c r="P572" t="s">
        <v>716</v>
      </c>
      <c r="Q572" t="s">
        <v>731</v>
      </c>
      <c r="R572" t="s">
        <v>1083</v>
      </c>
      <c r="S572" s="6">
        <v>982.93</v>
      </c>
      <c r="T572" s="6">
        <v>2299.3000000000002</v>
      </c>
      <c r="U572" s="6">
        <f t="shared" si="91"/>
        <v>2299.3000000000002</v>
      </c>
      <c r="V572" s="8">
        <v>0.113</v>
      </c>
      <c r="W572" s="6">
        <v>6</v>
      </c>
      <c r="X572" s="6">
        <f t="shared" si="92"/>
        <v>12236.874600000001</v>
      </c>
      <c r="Y572">
        <f t="shared" si="93"/>
        <v>5897.58</v>
      </c>
      <c r="Z572" s="6">
        <f t="shared" si="94"/>
        <v>6339.2946000000011</v>
      </c>
      <c r="AA572">
        <f t="shared" si="95"/>
        <v>0.51804850562087157</v>
      </c>
      <c r="AB572" t="str">
        <f t="shared" si="96"/>
        <v>6-2025</v>
      </c>
      <c r="AC572" t="str">
        <f t="shared" si="97"/>
        <v>Q2-2025</v>
      </c>
      <c r="AD572" t="str">
        <f t="shared" si="98"/>
        <v>Asia →India →Delhi</v>
      </c>
      <c r="AE572" t="str">
        <f t="shared" si="99"/>
        <v>High</v>
      </c>
      <c r="AF572" t="str">
        <f>TEXT(Table1[[#This Row],[OrderDate]],"MMM")</f>
        <v>Jun</v>
      </c>
      <c r="AG572" t="str">
        <f>TEXT(Table1[[#This Row],[OrderDate]],"YYYY")</f>
        <v>2025</v>
      </c>
      <c r="AI572" s="4">
        <f>IF(Table1[[#This Row],[RequiredDate]]&lt;Table1[[#This Row],[OrderDate]], Table1[[#This Row],[OrderDate]]+7, Table1[[#This Row],[RequiredDate]])</f>
        <v>45843</v>
      </c>
      <c r="AJ572">
        <f>IF(Dashboard!$D$3&gt;'Staging Data'!V572,'Staging Data'!V572,Dashboard!D$3)</f>
        <v>0.113</v>
      </c>
      <c r="AK572" s="19">
        <f>(100%+Dashboard!$D$4)*'Staging Data'!S572</f>
        <v>1032.0764999999999</v>
      </c>
      <c r="AL572">
        <f>(100%+Dashboard!$D$5)*'Staging Data'!W572</f>
        <v>6.8999999999999995</v>
      </c>
    </row>
    <row r="573" spans="1:38" x14ac:dyDescent="0.35">
      <c r="A573" s="6" t="s">
        <v>135</v>
      </c>
      <c r="B573" s="4">
        <v>45827</v>
      </c>
      <c r="C573" s="4">
        <v>45850</v>
      </c>
      <c r="D573" s="4">
        <f>IF(Table1[[#This Row],[RequiredDate]]&lt;Table1[[#This Row],[OrderDate]],Table1[[#This Row],[RequiredDate]],Table1[[#This Row],[OrderDate]])</f>
        <v>45827</v>
      </c>
      <c r="E573" s="4">
        <f>IF(Table1[[#This Row],[RequiredDate]]&gt;Table1[[#This Row],[OrderDate]],Table1[[#This Row],[RequiredDate]],Table1[[#This Row],[OrderDate]])</f>
        <v>45850</v>
      </c>
      <c r="F573" s="21">
        <f>Table1[[#This Row],[New RD]]-Table1[[#This Row],[new   od]]</f>
        <v>23</v>
      </c>
      <c r="G573" s="4">
        <f>IF(Table1[[#This Row],[RequiredDate]]&lt;Table1[[#This Row],[OrderDate]], Table1[[#This Row],[OrderDate]]+7, Table1[[#This Row],[RequiredDate]])</f>
        <v>45850</v>
      </c>
      <c r="H573" s="21">
        <f t="shared" si="89"/>
        <v>23</v>
      </c>
      <c r="I573" s="6" t="str">
        <f>IF(Table1[[#This Row],[New LTD]]&lt;=7,"Yes","No")</f>
        <v>No</v>
      </c>
      <c r="J573" s="6" t="str">
        <f t="shared" si="90"/>
        <v>No</v>
      </c>
      <c r="K573" t="s">
        <v>649</v>
      </c>
      <c r="L573" t="s">
        <v>658</v>
      </c>
      <c r="M573" t="s">
        <v>1423</v>
      </c>
      <c r="N573" t="s">
        <v>703</v>
      </c>
      <c r="O573" t="s">
        <v>711</v>
      </c>
      <c r="P573" t="s">
        <v>1423</v>
      </c>
      <c r="Q573" t="s">
        <v>729</v>
      </c>
      <c r="R573" t="s">
        <v>854</v>
      </c>
      <c r="S573" s="6">
        <v>801.24</v>
      </c>
      <c r="T573" s="6">
        <v>1959.09</v>
      </c>
      <c r="U573" s="6">
        <f t="shared" si="91"/>
        <v>1959.09</v>
      </c>
      <c r="V573" s="8">
        <v>0.123</v>
      </c>
      <c r="W573" s="6">
        <v>23</v>
      </c>
      <c r="X573" s="6">
        <f t="shared" si="92"/>
        <v>39516.804389999998</v>
      </c>
      <c r="Y573">
        <f t="shared" si="93"/>
        <v>18428.52</v>
      </c>
      <c r="Z573" s="6">
        <f t="shared" si="94"/>
        <v>21088.284389999997</v>
      </c>
      <c r="AA573">
        <f t="shared" si="95"/>
        <v>0.53365358650651762</v>
      </c>
      <c r="AB573" t="str">
        <f t="shared" si="96"/>
        <v>6-2025</v>
      </c>
      <c r="AC573" t="str">
        <f t="shared" si="97"/>
        <v>Q2-2025</v>
      </c>
      <c r="AD573" t="str">
        <f t="shared" si="98"/>
        <v>Europe →United Kingdom →N/A</v>
      </c>
      <c r="AE573" t="str">
        <f t="shared" si="99"/>
        <v>High</v>
      </c>
      <c r="AF573" t="str">
        <f>TEXT(Table1[[#This Row],[OrderDate]],"MMM")</f>
        <v>Jun</v>
      </c>
      <c r="AG573" t="str">
        <f>TEXT(Table1[[#This Row],[OrderDate]],"YYYY")</f>
        <v>2025</v>
      </c>
      <c r="AI573" s="4">
        <f>IF(Table1[[#This Row],[RequiredDate]]&lt;Table1[[#This Row],[OrderDate]], Table1[[#This Row],[OrderDate]]+7, Table1[[#This Row],[RequiredDate]])</f>
        <v>45850</v>
      </c>
      <c r="AJ573">
        <f>IF(Dashboard!$D$3&gt;'Staging Data'!V573,'Staging Data'!V573,Dashboard!D$3)</f>
        <v>0.123</v>
      </c>
      <c r="AK573" s="19">
        <f>(100%+Dashboard!$D$4)*'Staging Data'!S573</f>
        <v>841.30200000000002</v>
      </c>
      <c r="AL573">
        <f>(100%+Dashboard!$D$5)*'Staging Data'!W573</f>
        <v>26.45</v>
      </c>
    </row>
    <row r="574" spans="1:38" x14ac:dyDescent="0.35">
      <c r="A574" s="6" t="s">
        <v>621</v>
      </c>
      <c r="B574" s="4">
        <v>45827</v>
      </c>
      <c r="C574" s="4">
        <v>45829</v>
      </c>
      <c r="D574" s="4">
        <f>IF(Table1[[#This Row],[RequiredDate]]&lt;Table1[[#This Row],[OrderDate]],Table1[[#This Row],[RequiredDate]],Table1[[#This Row],[OrderDate]])</f>
        <v>45827</v>
      </c>
      <c r="E574" s="4">
        <f>IF(Table1[[#This Row],[RequiredDate]]&gt;Table1[[#This Row],[OrderDate]],Table1[[#This Row],[RequiredDate]],Table1[[#This Row],[OrderDate]])</f>
        <v>45829</v>
      </c>
      <c r="F574" s="21">
        <f>Table1[[#This Row],[New RD]]-Table1[[#This Row],[new   od]]</f>
        <v>2</v>
      </c>
      <c r="G574" s="4">
        <f>IF(Table1[[#This Row],[RequiredDate]]&lt;Table1[[#This Row],[OrderDate]], Table1[[#This Row],[OrderDate]]+7, Table1[[#This Row],[RequiredDate]])</f>
        <v>45829</v>
      </c>
      <c r="H574" s="21">
        <f t="shared" si="89"/>
        <v>2</v>
      </c>
      <c r="I574" s="6" t="str">
        <f>IF(Table1[[#This Row],[New LTD]]&lt;=7,"Yes","No")</f>
        <v>Yes</v>
      </c>
      <c r="J574" s="6" t="str">
        <f t="shared" si="90"/>
        <v>No</v>
      </c>
      <c r="K574" t="s">
        <v>646</v>
      </c>
      <c r="L574" t="s">
        <v>661</v>
      </c>
      <c r="M574" t="s">
        <v>682</v>
      </c>
      <c r="N574" t="s">
        <v>705</v>
      </c>
      <c r="O574" t="s">
        <v>1423</v>
      </c>
      <c r="P574" t="s">
        <v>722</v>
      </c>
      <c r="Q574" t="s">
        <v>730</v>
      </c>
      <c r="R574" t="s">
        <v>1339</v>
      </c>
      <c r="S574" s="6">
        <v>1466.27</v>
      </c>
      <c r="T574" s="6">
        <v>3589.89</v>
      </c>
      <c r="U574" s="6">
        <f t="shared" si="91"/>
        <v>3589.89</v>
      </c>
      <c r="V574" s="8">
        <v>9.7000000000000003E-2</v>
      </c>
      <c r="W574" s="6">
        <v>9</v>
      </c>
      <c r="X574" s="6">
        <f t="shared" si="92"/>
        <v>29175.036029999999</v>
      </c>
      <c r="Y574">
        <f t="shared" si="93"/>
        <v>13196.43</v>
      </c>
      <c r="Z574" s="6">
        <f t="shared" si="94"/>
        <v>15978.606029999999</v>
      </c>
      <c r="AA574">
        <f t="shared" si="95"/>
        <v>0.54768076425234147</v>
      </c>
      <c r="AB574" t="str">
        <f t="shared" si="96"/>
        <v>6-2025</v>
      </c>
      <c r="AC574" t="str">
        <f t="shared" si="97"/>
        <v>Q2-2025</v>
      </c>
      <c r="AD574" t="str">
        <f t="shared" si="98"/>
        <v>Africa →South Africa →Johannesburg</v>
      </c>
      <c r="AE574" t="str">
        <f t="shared" si="99"/>
        <v>High</v>
      </c>
      <c r="AF574" t="str">
        <f>TEXT(Table1[[#This Row],[OrderDate]],"MMM")</f>
        <v>Jun</v>
      </c>
      <c r="AG574" t="str">
        <f>TEXT(Table1[[#This Row],[OrderDate]],"YYYY")</f>
        <v>2025</v>
      </c>
      <c r="AI574" s="4">
        <f>IF(Table1[[#This Row],[RequiredDate]]&lt;Table1[[#This Row],[OrderDate]], Table1[[#This Row],[OrderDate]]+7, Table1[[#This Row],[RequiredDate]])</f>
        <v>45829</v>
      </c>
      <c r="AJ574">
        <f>IF(Dashboard!$D$3&gt;'Staging Data'!V574,'Staging Data'!V574,Dashboard!D$3)</f>
        <v>9.7000000000000003E-2</v>
      </c>
      <c r="AK574" s="19">
        <f>(100%+Dashboard!$D$4)*'Staging Data'!S574</f>
        <v>1539.5835</v>
      </c>
      <c r="AL574">
        <f>(100%+Dashboard!$D$5)*'Staging Data'!W574</f>
        <v>10.35</v>
      </c>
    </row>
    <row r="575" spans="1:38" x14ac:dyDescent="0.35">
      <c r="A575" s="6" t="s">
        <v>277</v>
      </c>
      <c r="B575" s="4">
        <v>45829</v>
      </c>
      <c r="C575" s="4">
        <v>45835</v>
      </c>
      <c r="D575" s="4">
        <f>IF(Table1[[#This Row],[RequiredDate]]&lt;Table1[[#This Row],[OrderDate]],Table1[[#This Row],[RequiredDate]],Table1[[#This Row],[OrderDate]])</f>
        <v>45829</v>
      </c>
      <c r="E575" s="4">
        <f>IF(Table1[[#This Row],[RequiredDate]]&gt;Table1[[#This Row],[OrderDate]],Table1[[#This Row],[RequiredDate]],Table1[[#This Row],[OrderDate]])</f>
        <v>45835</v>
      </c>
      <c r="F575" s="21">
        <f>Table1[[#This Row],[New RD]]-Table1[[#This Row],[new   od]]</f>
        <v>6</v>
      </c>
      <c r="G575" s="4">
        <f>IF(Table1[[#This Row],[RequiredDate]]&lt;Table1[[#This Row],[OrderDate]], Table1[[#This Row],[OrderDate]]+7, Table1[[#This Row],[RequiredDate]])</f>
        <v>45835</v>
      </c>
      <c r="H575" s="21">
        <f t="shared" si="89"/>
        <v>6</v>
      </c>
      <c r="I575" s="6" t="str">
        <f>IF(Table1[[#This Row],[New LTD]]&lt;=7,"Yes","No")</f>
        <v>Yes</v>
      </c>
      <c r="J575" s="6" t="str">
        <f t="shared" si="90"/>
        <v>No</v>
      </c>
      <c r="K575" t="s">
        <v>646</v>
      </c>
      <c r="L575" t="s">
        <v>661</v>
      </c>
      <c r="M575" t="s">
        <v>687</v>
      </c>
      <c r="N575" t="s">
        <v>706</v>
      </c>
      <c r="O575" t="s">
        <v>710</v>
      </c>
      <c r="P575" t="s">
        <v>725</v>
      </c>
      <c r="Q575" t="s">
        <v>730</v>
      </c>
      <c r="R575" t="s">
        <v>997</v>
      </c>
      <c r="S575" s="6">
        <v>93.91</v>
      </c>
      <c r="T575" s="6">
        <v>99.04</v>
      </c>
      <c r="U575" s="6">
        <f t="shared" si="91"/>
        <v>99.04</v>
      </c>
      <c r="V575" s="8">
        <v>5.7000000000000002E-2</v>
      </c>
      <c r="W575" s="6">
        <v>6</v>
      </c>
      <c r="X575" s="6">
        <f t="shared" si="92"/>
        <v>560.36831999999993</v>
      </c>
      <c r="Y575">
        <f t="shared" si="93"/>
        <v>563.46</v>
      </c>
      <c r="Z575" s="6">
        <f t="shared" si="94"/>
        <v>-3.0916800000001103</v>
      </c>
      <c r="AA575">
        <f t="shared" si="95"/>
        <v>-5.5172283829323376E-3</v>
      </c>
      <c r="AB575" t="str">
        <f t="shared" si="96"/>
        <v>6-2025</v>
      </c>
      <c r="AC575" t="str">
        <f t="shared" si="97"/>
        <v>Q2-2025</v>
      </c>
      <c r="AD575" t="str">
        <f t="shared" si="98"/>
        <v>Africa →South Africa →Durban</v>
      </c>
      <c r="AE575" t="str">
        <f t="shared" si="99"/>
        <v>Low</v>
      </c>
      <c r="AF575" t="str">
        <f>TEXT(Table1[[#This Row],[OrderDate]],"MMM")</f>
        <v>Jun</v>
      </c>
      <c r="AG575" t="str">
        <f>TEXT(Table1[[#This Row],[OrderDate]],"YYYY")</f>
        <v>2025</v>
      </c>
      <c r="AI575" s="4">
        <f>IF(Table1[[#This Row],[RequiredDate]]&lt;Table1[[#This Row],[OrderDate]], Table1[[#This Row],[OrderDate]]+7, Table1[[#This Row],[RequiredDate]])</f>
        <v>45835</v>
      </c>
      <c r="AJ575">
        <f>IF(Dashboard!$D$3&gt;'Staging Data'!V575,'Staging Data'!V575,Dashboard!D$3)</f>
        <v>5.7000000000000002E-2</v>
      </c>
      <c r="AK575" s="19">
        <f>(100%+Dashboard!$D$4)*'Staging Data'!S575</f>
        <v>98.605500000000006</v>
      </c>
      <c r="AL575">
        <f>(100%+Dashboard!$D$5)*'Staging Data'!W575</f>
        <v>6.8999999999999995</v>
      </c>
    </row>
    <row r="576" spans="1:38" x14ac:dyDescent="0.35">
      <c r="A576" s="6" t="s">
        <v>317</v>
      </c>
      <c r="B576" s="4">
        <v>45830</v>
      </c>
      <c r="C576" s="4">
        <v>45846</v>
      </c>
      <c r="D576" s="4">
        <f>IF(Table1[[#This Row],[RequiredDate]]&lt;Table1[[#This Row],[OrderDate]],Table1[[#This Row],[RequiredDate]],Table1[[#This Row],[OrderDate]])</f>
        <v>45830</v>
      </c>
      <c r="E576" s="4">
        <f>IF(Table1[[#This Row],[RequiredDate]]&gt;Table1[[#This Row],[OrderDate]],Table1[[#This Row],[RequiredDate]],Table1[[#This Row],[OrderDate]])</f>
        <v>45846</v>
      </c>
      <c r="F576" s="21">
        <f>Table1[[#This Row],[New RD]]-Table1[[#This Row],[new   od]]</f>
        <v>16</v>
      </c>
      <c r="G576" s="4">
        <f>IF(Table1[[#This Row],[RequiredDate]]&lt;Table1[[#This Row],[OrderDate]], Table1[[#This Row],[OrderDate]]+7, Table1[[#This Row],[RequiredDate]])</f>
        <v>45846</v>
      </c>
      <c r="H576" s="21">
        <f t="shared" si="89"/>
        <v>16</v>
      </c>
      <c r="I576" s="6" t="str">
        <f>IF(Table1[[#This Row],[New LTD]]&lt;=7,"Yes","No")</f>
        <v>No</v>
      </c>
      <c r="J576" s="6" t="str">
        <f t="shared" si="90"/>
        <v>No</v>
      </c>
      <c r="K576" t="s">
        <v>649</v>
      </c>
      <c r="L576" t="s">
        <v>658</v>
      </c>
      <c r="M576" t="s">
        <v>683</v>
      </c>
      <c r="N576" t="s">
        <v>702</v>
      </c>
      <c r="O576" t="s">
        <v>711</v>
      </c>
      <c r="P576" t="s">
        <v>720</v>
      </c>
      <c r="Q576" t="s">
        <v>730</v>
      </c>
      <c r="R576" t="s">
        <v>1037</v>
      </c>
      <c r="S576" s="6">
        <v>892.73</v>
      </c>
      <c r="T576" s="6">
        <v>979.84</v>
      </c>
      <c r="U576" s="6">
        <f t="shared" si="91"/>
        <v>979.84</v>
      </c>
      <c r="V576" s="8">
        <v>0.17399999999999999</v>
      </c>
      <c r="W576" s="6">
        <v>10</v>
      </c>
      <c r="X576" s="6">
        <f t="shared" si="92"/>
        <v>8093.4784</v>
      </c>
      <c r="Y576">
        <f t="shared" si="93"/>
        <v>8927.2999999999993</v>
      </c>
      <c r="Z576" s="6">
        <f t="shared" si="94"/>
        <v>-833.82159999999931</v>
      </c>
      <c r="AA576">
        <f t="shared" si="95"/>
        <v>-0.10302388649112838</v>
      </c>
      <c r="AB576" t="str">
        <f t="shared" si="96"/>
        <v>6-2025</v>
      </c>
      <c r="AC576" t="str">
        <f t="shared" si="97"/>
        <v>Q2-2025</v>
      </c>
      <c r="AD576" t="str">
        <f t="shared" si="98"/>
        <v>Europe →United Kingdom →London</v>
      </c>
      <c r="AE576" t="str">
        <f t="shared" si="99"/>
        <v>Medium</v>
      </c>
      <c r="AF576" t="str">
        <f>TEXT(Table1[[#This Row],[OrderDate]],"MMM")</f>
        <v>Jun</v>
      </c>
      <c r="AG576" t="str">
        <f>TEXT(Table1[[#This Row],[OrderDate]],"YYYY")</f>
        <v>2025</v>
      </c>
      <c r="AI576" s="4">
        <f>IF(Table1[[#This Row],[RequiredDate]]&lt;Table1[[#This Row],[OrderDate]], Table1[[#This Row],[OrderDate]]+7, Table1[[#This Row],[RequiredDate]])</f>
        <v>45846</v>
      </c>
      <c r="AJ576">
        <f>IF(Dashboard!$D$3&gt;'Staging Data'!V576,'Staging Data'!V576,Dashboard!D$3)</f>
        <v>0.17399999999999999</v>
      </c>
      <c r="AK576" s="19">
        <f>(100%+Dashboard!$D$4)*'Staging Data'!S576</f>
        <v>937.36650000000009</v>
      </c>
      <c r="AL576">
        <f>(100%+Dashboard!$D$5)*'Staging Data'!W576</f>
        <v>11.5</v>
      </c>
    </row>
    <row r="577" spans="1:38" x14ac:dyDescent="0.35">
      <c r="A577" s="6" t="s">
        <v>52</v>
      </c>
      <c r="B577" s="4">
        <v>45832</v>
      </c>
      <c r="C577" s="4">
        <v>45848</v>
      </c>
      <c r="D577" s="4">
        <f>IF(Table1[[#This Row],[RequiredDate]]&lt;Table1[[#This Row],[OrderDate]],Table1[[#This Row],[RequiredDate]],Table1[[#This Row],[OrderDate]])</f>
        <v>45832</v>
      </c>
      <c r="E577" s="4">
        <f>IF(Table1[[#This Row],[RequiredDate]]&gt;Table1[[#This Row],[OrderDate]],Table1[[#This Row],[RequiredDate]],Table1[[#This Row],[OrderDate]])</f>
        <v>45848</v>
      </c>
      <c r="F577" s="21">
        <f>Table1[[#This Row],[New RD]]-Table1[[#This Row],[new   od]]</f>
        <v>16</v>
      </c>
      <c r="G577" s="4">
        <f>IF(Table1[[#This Row],[RequiredDate]]&lt;Table1[[#This Row],[OrderDate]], Table1[[#This Row],[OrderDate]]+7, Table1[[#This Row],[RequiredDate]])</f>
        <v>45848</v>
      </c>
      <c r="H577" s="21">
        <f t="shared" si="89"/>
        <v>16</v>
      </c>
      <c r="I577" s="6" t="str">
        <f>IF(Table1[[#This Row],[New LTD]]&lt;=7,"Yes","No")</f>
        <v>No</v>
      </c>
      <c r="J577" s="6" t="str">
        <f t="shared" si="90"/>
        <v>No</v>
      </c>
      <c r="K577" t="s">
        <v>647</v>
      </c>
      <c r="L577" t="s">
        <v>659</v>
      </c>
      <c r="M577" t="s">
        <v>685</v>
      </c>
      <c r="N577" t="s">
        <v>706</v>
      </c>
      <c r="O577" t="s">
        <v>711</v>
      </c>
      <c r="P577" t="s">
        <v>725</v>
      </c>
      <c r="Q577" t="s">
        <v>727</v>
      </c>
      <c r="R577" t="s">
        <v>771</v>
      </c>
      <c r="S577" s="6">
        <v>757.19</v>
      </c>
      <c r="T577" s="6">
        <v>1735.41</v>
      </c>
      <c r="U577" s="6">
        <f t="shared" si="91"/>
        <v>1735.41</v>
      </c>
      <c r="V577" s="8">
        <v>0.13600000000000001</v>
      </c>
      <c r="W577" s="6">
        <v>8</v>
      </c>
      <c r="X577" s="6">
        <f t="shared" si="92"/>
        <v>11995.153920000001</v>
      </c>
      <c r="Y577">
        <f t="shared" si="93"/>
        <v>6057.52</v>
      </c>
      <c r="Z577" s="6">
        <f t="shared" si="94"/>
        <v>5937.6339200000002</v>
      </c>
      <c r="AA577">
        <f t="shared" si="95"/>
        <v>0.4950027285685718</v>
      </c>
      <c r="AB577" t="str">
        <f t="shared" si="96"/>
        <v>6-2025</v>
      </c>
      <c r="AC577" t="str">
        <f t="shared" si="97"/>
        <v>Q2-2025</v>
      </c>
      <c r="AD577" t="str">
        <f t="shared" si="98"/>
        <v>Asia →China →Shanghai</v>
      </c>
      <c r="AE577" t="str">
        <f t="shared" si="99"/>
        <v>High</v>
      </c>
      <c r="AF577" t="str">
        <f>TEXT(Table1[[#This Row],[OrderDate]],"MMM")</f>
        <v>Jun</v>
      </c>
      <c r="AG577" t="str">
        <f>TEXT(Table1[[#This Row],[OrderDate]],"YYYY")</f>
        <v>2025</v>
      </c>
      <c r="AI577" s="4">
        <f>IF(Table1[[#This Row],[RequiredDate]]&lt;Table1[[#This Row],[OrderDate]], Table1[[#This Row],[OrderDate]]+7, Table1[[#This Row],[RequiredDate]])</f>
        <v>45848</v>
      </c>
      <c r="AJ577">
        <f>IF(Dashboard!$D$3&gt;'Staging Data'!V577,'Staging Data'!V577,Dashboard!D$3)</f>
        <v>0.13600000000000001</v>
      </c>
      <c r="AK577" s="19">
        <f>(100%+Dashboard!$D$4)*'Staging Data'!S577</f>
        <v>795.04950000000008</v>
      </c>
      <c r="AL577">
        <f>(100%+Dashboard!$D$5)*'Staging Data'!W577</f>
        <v>9.1999999999999993</v>
      </c>
    </row>
    <row r="578" spans="1:38" x14ac:dyDescent="0.35">
      <c r="A578" s="6" t="s">
        <v>291</v>
      </c>
      <c r="B578" s="4">
        <v>45832</v>
      </c>
      <c r="C578" s="4">
        <v>45852</v>
      </c>
      <c r="D578" s="4">
        <f>IF(Table1[[#This Row],[RequiredDate]]&lt;Table1[[#This Row],[OrderDate]],Table1[[#This Row],[RequiredDate]],Table1[[#This Row],[OrderDate]])</f>
        <v>45832</v>
      </c>
      <c r="E578" s="4">
        <f>IF(Table1[[#This Row],[RequiredDate]]&gt;Table1[[#This Row],[OrderDate]],Table1[[#This Row],[RequiredDate]],Table1[[#This Row],[OrderDate]])</f>
        <v>45852</v>
      </c>
      <c r="F578" s="21">
        <f>Table1[[#This Row],[New RD]]-Table1[[#This Row],[new   od]]</f>
        <v>20</v>
      </c>
      <c r="G578" s="4">
        <f>IF(Table1[[#This Row],[RequiredDate]]&lt;Table1[[#This Row],[OrderDate]], Table1[[#This Row],[OrderDate]]+7, Table1[[#This Row],[RequiredDate]])</f>
        <v>45852</v>
      </c>
      <c r="H578" s="21">
        <f t="shared" ref="H578:H633" si="100">G578-B578</f>
        <v>20</v>
      </c>
      <c r="I578" s="6" t="str">
        <f>IF(Table1[[#This Row],[New LTD]]&lt;=7,"Yes","No")</f>
        <v>No</v>
      </c>
      <c r="J578" s="6" t="str">
        <f t="shared" ref="J578:J633" si="101">IF(V578&gt;20%,"Yes","No")</f>
        <v>No</v>
      </c>
      <c r="K578" t="s">
        <v>649</v>
      </c>
      <c r="L578" t="s">
        <v>656</v>
      </c>
      <c r="M578" t="s">
        <v>671</v>
      </c>
      <c r="N578" t="s">
        <v>701</v>
      </c>
      <c r="O578" t="s">
        <v>711</v>
      </c>
      <c r="P578" t="s">
        <v>719</v>
      </c>
      <c r="Q578" t="s">
        <v>733</v>
      </c>
      <c r="R578" t="s">
        <v>1011</v>
      </c>
      <c r="S578" s="6">
        <v>385.08</v>
      </c>
      <c r="T578" s="6">
        <v>893.19</v>
      </c>
      <c r="U578" s="6">
        <f t="shared" ref="U578:U633" si="102">ABS(T578)</f>
        <v>893.19</v>
      </c>
      <c r="V578" s="8">
        <v>0.151</v>
      </c>
      <c r="W578" s="6">
        <v>8</v>
      </c>
      <c r="X578" s="6">
        <f t="shared" ref="X578:X633" si="103">U578*W578*(1-V578)</f>
        <v>6066.54648</v>
      </c>
      <c r="Y578">
        <f t="shared" ref="Y578:Y633" si="104">S578*W578</f>
        <v>3080.64</v>
      </c>
      <c r="Z578" s="6">
        <f t="shared" ref="Z578:Z633" si="105">X578-Y578</f>
        <v>2985.9064800000001</v>
      </c>
      <c r="AA578">
        <f t="shared" ref="AA578:AA633" si="106">IF(X578=0, 0, Z578/ X578)</f>
        <v>0.49219213762621666</v>
      </c>
      <c r="AB578" t="str">
        <f t="shared" ref="AB578:AB633" si="107">_xlfn.CONCAT(MONTH(B578),"-",YEAR(B578))</f>
        <v>6-2025</v>
      </c>
      <c r="AC578" t="str">
        <f t="shared" ref="AC578:AC633" si="108">"Q"&amp;ROUNDUP(MONTH(B578)/3,0)&amp;"-"&amp;YEAR(B578)</f>
        <v>Q2-2025</v>
      </c>
      <c r="AD578" t="str">
        <f t="shared" ref="AD578:AD633" si="109">_xlfn.CONCAT(K578," →",L578," →",M578)</f>
        <v>Europe →Germany →Berlin</v>
      </c>
      <c r="AE578" t="str">
        <f t="shared" si="99"/>
        <v>Medium</v>
      </c>
      <c r="AF578" t="str">
        <f>TEXT(Table1[[#This Row],[OrderDate]],"MMM")</f>
        <v>Jun</v>
      </c>
      <c r="AG578" t="str">
        <f>TEXT(Table1[[#This Row],[OrderDate]],"YYYY")</f>
        <v>2025</v>
      </c>
      <c r="AI578" s="4">
        <f>IF(Table1[[#This Row],[RequiredDate]]&lt;Table1[[#This Row],[OrderDate]], Table1[[#This Row],[OrderDate]]+7, Table1[[#This Row],[RequiredDate]])</f>
        <v>45852</v>
      </c>
      <c r="AJ578">
        <f>IF(Dashboard!$D$3&gt;'Staging Data'!V578,'Staging Data'!V578,Dashboard!D$3)</f>
        <v>0.151</v>
      </c>
      <c r="AK578" s="19">
        <f>(100%+Dashboard!$D$4)*'Staging Data'!S578</f>
        <v>404.334</v>
      </c>
      <c r="AL578">
        <f>(100%+Dashboard!$D$5)*'Staging Data'!W578</f>
        <v>9.1999999999999993</v>
      </c>
    </row>
    <row r="579" spans="1:38" x14ac:dyDescent="0.35">
      <c r="A579" s="6" t="s">
        <v>383</v>
      </c>
      <c r="B579" s="4">
        <v>45832</v>
      </c>
      <c r="C579" s="4">
        <v>45861</v>
      </c>
      <c r="D579" s="4">
        <f>IF(Table1[[#This Row],[RequiredDate]]&lt;Table1[[#This Row],[OrderDate]],Table1[[#This Row],[RequiredDate]],Table1[[#This Row],[OrderDate]])</f>
        <v>45832</v>
      </c>
      <c r="E579" s="4">
        <f>IF(Table1[[#This Row],[RequiredDate]]&gt;Table1[[#This Row],[OrderDate]],Table1[[#This Row],[RequiredDate]],Table1[[#This Row],[OrderDate]])</f>
        <v>45861</v>
      </c>
      <c r="F579" s="21">
        <f>Table1[[#This Row],[New RD]]-Table1[[#This Row],[new   od]]</f>
        <v>29</v>
      </c>
      <c r="G579" s="4">
        <f>IF(Table1[[#This Row],[RequiredDate]]&lt;Table1[[#This Row],[OrderDate]], Table1[[#This Row],[OrderDate]]+7, Table1[[#This Row],[RequiredDate]])</f>
        <v>45861</v>
      </c>
      <c r="H579" s="21">
        <f t="shared" si="100"/>
        <v>29</v>
      </c>
      <c r="I579" s="6" t="str">
        <f>IF(Table1[[#This Row],[New LTD]]&lt;=7,"Yes","No")</f>
        <v>No</v>
      </c>
      <c r="J579" s="6" t="str">
        <f t="shared" si="101"/>
        <v>No</v>
      </c>
      <c r="K579" t="s">
        <v>648</v>
      </c>
      <c r="L579" t="s">
        <v>653</v>
      </c>
      <c r="M579" t="s">
        <v>688</v>
      </c>
      <c r="N579" t="s">
        <v>703</v>
      </c>
      <c r="O579" t="s">
        <v>709</v>
      </c>
      <c r="P579" t="s">
        <v>714</v>
      </c>
      <c r="Q579" t="s">
        <v>728</v>
      </c>
      <c r="R579" t="s">
        <v>1103</v>
      </c>
      <c r="S579" s="6">
        <v>255.4</v>
      </c>
      <c r="T579" s="6">
        <v>322.70999999999998</v>
      </c>
      <c r="U579" s="6">
        <f t="shared" si="102"/>
        <v>322.70999999999998</v>
      </c>
      <c r="V579" s="8">
        <v>0.115</v>
      </c>
      <c r="W579" s="6">
        <v>16</v>
      </c>
      <c r="X579" s="6">
        <f t="shared" si="103"/>
        <v>4569.5735999999997</v>
      </c>
      <c r="Y579">
        <f t="shared" si="104"/>
        <v>4086.4</v>
      </c>
      <c r="Z579" s="6">
        <f t="shared" si="105"/>
        <v>483.17359999999962</v>
      </c>
      <c r="AA579">
        <f t="shared" si="106"/>
        <v>0.10573713048412212</v>
      </c>
      <c r="AB579" t="str">
        <f t="shared" si="107"/>
        <v>6-2025</v>
      </c>
      <c r="AC579" t="str">
        <f t="shared" si="108"/>
        <v>Q2-2025</v>
      </c>
      <c r="AD579" t="str">
        <f t="shared" si="109"/>
        <v>Americas →Canada →Vancouver</v>
      </c>
      <c r="AE579" t="str">
        <f t="shared" si="99"/>
        <v>Low</v>
      </c>
      <c r="AF579" t="str">
        <f>TEXT(Table1[[#This Row],[OrderDate]],"MMM")</f>
        <v>Jun</v>
      </c>
      <c r="AG579" t="str">
        <f>TEXT(Table1[[#This Row],[OrderDate]],"YYYY")</f>
        <v>2025</v>
      </c>
      <c r="AI579" s="4">
        <f>IF(Table1[[#This Row],[RequiredDate]]&lt;Table1[[#This Row],[OrderDate]], Table1[[#This Row],[OrderDate]]+7, Table1[[#This Row],[RequiredDate]])</f>
        <v>45861</v>
      </c>
      <c r="AJ579">
        <f>IF(Dashboard!$D$3&gt;'Staging Data'!V579,'Staging Data'!V579,Dashboard!D$3)</f>
        <v>0.115</v>
      </c>
      <c r="AK579" s="19">
        <f>(100%+Dashboard!$D$4)*'Staging Data'!S579</f>
        <v>268.17</v>
      </c>
      <c r="AL579">
        <f>(100%+Dashboard!$D$5)*'Staging Data'!W579</f>
        <v>18.399999999999999</v>
      </c>
    </row>
    <row r="580" spans="1:38" x14ac:dyDescent="0.35">
      <c r="A580" s="6" t="s">
        <v>548</v>
      </c>
      <c r="B580" s="4">
        <v>45832</v>
      </c>
      <c r="C580" s="4">
        <v>45852</v>
      </c>
      <c r="D580" s="4">
        <f>IF(Table1[[#This Row],[RequiredDate]]&lt;Table1[[#This Row],[OrderDate]],Table1[[#This Row],[RequiredDate]],Table1[[#This Row],[OrderDate]])</f>
        <v>45832</v>
      </c>
      <c r="E580" s="4">
        <f>IF(Table1[[#This Row],[RequiredDate]]&gt;Table1[[#This Row],[OrderDate]],Table1[[#This Row],[RequiredDate]],Table1[[#This Row],[OrderDate]])</f>
        <v>45852</v>
      </c>
      <c r="F580" s="21">
        <f>Table1[[#This Row],[New RD]]-Table1[[#This Row],[new   od]]</f>
        <v>20</v>
      </c>
      <c r="G580" s="4">
        <f>IF(Table1[[#This Row],[RequiredDate]]&lt;Table1[[#This Row],[OrderDate]], Table1[[#This Row],[OrderDate]]+7, Table1[[#This Row],[RequiredDate]])</f>
        <v>45852</v>
      </c>
      <c r="H580" s="21">
        <f t="shared" si="100"/>
        <v>20</v>
      </c>
      <c r="I580" s="6" t="str">
        <f>IF(Table1[[#This Row],[New LTD]]&lt;=7,"Yes","No")</f>
        <v>No</v>
      </c>
      <c r="J580" s="6" t="str">
        <f t="shared" si="101"/>
        <v>Yes</v>
      </c>
      <c r="K580" t="s">
        <v>646</v>
      </c>
      <c r="L580" t="s">
        <v>661</v>
      </c>
      <c r="M580" t="s">
        <v>682</v>
      </c>
      <c r="N580" t="s">
        <v>706</v>
      </c>
      <c r="O580" t="s">
        <v>709</v>
      </c>
      <c r="P580" t="s">
        <v>713</v>
      </c>
      <c r="Q580" t="s">
        <v>731</v>
      </c>
      <c r="R580" t="s">
        <v>1267</v>
      </c>
      <c r="S580" s="6">
        <v>1151.06</v>
      </c>
      <c r="T580" s="6">
        <v>2821.36</v>
      </c>
      <c r="U580" s="6">
        <f t="shared" si="102"/>
        <v>2821.36</v>
      </c>
      <c r="V580" s="8">
        <v>0.248</v>
      </c>
      <c r="W580" s="6">
        <v>20</v>
      </c>
      <c r="X580" s="6">
        <f t="shared" si="103"/>
        <v>42433.254400000005</v>
      </c>
      <c r="Y580">
        <f t="shared" si="104"/>
        <v>23021.199999999997</v>
      </c>
      <c r="Z580" s="6">
        <f t="shared" si="105"/>
        <v>19412.054400000008</v>
      </c>
      <c r="AA580">
        <f t="shared" si="106"/>
        <v>0.45747267501594235</v>
      </c>
      <c r="AB580" t="str">
        <f t="shared" si="107"/>
        <v>6-2025</v>
      </c>
      <c r="AC580" t="str">
        <f t="shared" si="108"/>
        <v>Q2-2025</v>
      </c>
      <c r="AD580" t="str">
        <f t="shared" si="109"/>
        <v>Africa →South Africa →Johannesburg</v>
      </c>
      <c r="AE580" t="str">
        <f t="shared" si="99"/>
        <v>High</v>
      </c>
      <c r="AF580" t="str">
        <f>TEXT(Table1[[#This Row],[OrderDate]],"MMM")</f>
        <v>Jun</v>
      </c>
      <c r="AG580" t="str">
        <f>TEXT(Table1[[#This Row],[OrderDate]],"YYYY")</f>
        <v>2025</v>
      </c>
      <c r="AI580" s="4">
        <f>IF(Table1[[#This Row],[RequiredDate]]&lt;Table1[[#This Row],[OrderDate]], Table1[[#This Row],[OrderDate]]+7, Table1[[#This Row],[RequiredDate]])</f>
        <v>45852</v>
      </c>
      <c r="AJ580">
        <f>IF(Dashboard!$D$3&gt;'Staging Data'!V580,'Staging Data'!V580,Dashboard!D$3)</f>
        <v>0.2</v>
      </c>
      <c r="AK580" s="19">
        <f>(100%+Dashboard!$D$4)*'Staging Data'!S580</f>
        <v>1208.6130000000001</v>
      </c>
      <c r="AL580">
        <f>(100%+Dashboard!$D$5)*'Staging Data'!W580</f>
        <v>23</v>
      </c>
    </row>
    <row r="581" spans="1:38" x14ac:dyDescent="0.35">
      <c r="A581" s="6" t="s">
        <v>375</v>
      </c>
      <c r="B581" s="4">
        <v>45833</v>
      </c>
      <c r="C581" s="4">
        <v>45848</v>
      </c>
      <c r="D581" s="4">
        <f>IF(Table1[[#This Row],[RequiredDate]]&lt;Table1[[#This Row],[OrderDate]],Table1[[#This Row],[RequiredDate]],Table1[[#This Row],[OrderDate]])</f>
        <v>45833</v>
      </c>
      <c r="E581" s="4">
        <f>IF(Table1[[#This Row],[RequiredDate]]&gt;Table1[[#This Row],[OrderDate]],Table1[[#This Row],[RequiredDate]],Table1[[#This Row],[OrderDate]])</f>
        <v>45848</v>
      </c>
      <c r="F581" s="21">
        <f>Table1[[#This Row],[New RD]]-Table1[[#This Row],[new   od]]</f>
        <v>15</v>
      </c>
      <c r="G581" s="4">
        <f>IF(Table1[[#This Row],[RequiredDate]]&lt;Table1[[#This Row],[OrderDate]], Table1[[#This Row],[OrderDate]]+7, Table1[[#This Row],[RequiredDate]])</f>
        <v>45848</v>
      </c>
      <c r="H581" s="21">
        <f t="shared" si="100"/>
        <v>15</v>
      </c>
      <c r="I581" s="6" t="str">
        <f>IF(Table1[[#This Row],[New LTD]]&lt;=7,"Yes","No")</f>
        <v>No</v>
      </c>
      <c r="J581" s="6" t="str">
        <f t="shared" si="101"/>
        <v>No</v>
      </c>
      <c r="K581" t="s">
        <v>649</v>
      </c>
      <c r="L581" t="s">
        <v>658</v>
      </c>
      <c r="M581" t="s">
        <v>674</v>
      </c>
      <c r="N581" t="s">
        <v>703</v>
      </c>
      <c r="O581" t="s">
        <v>709</v>
      </c>
      <c r="P581" t="s">
        <v>726</v>
      </c>
      <c r="Q581" t="s">
        <v>730</v>
      </c>
      <c r="R581" t="s">
        <v>1095</v>
      </c>
      <c r="S581" s="6">
        <v>546.83000000000004</v>
      </c>
      <c r="T581" s="6">
        <v>400.84</v>
      </c>
      <c r="U581" s="6">
        <f t="shared" si="102"/>
        <v>400.84</v>
      </c>
      <c r="V581" s="8">
        <v>7.8E-2</v>
      </c>
      <c r="W581" s="6">
        <v>13</v>
      </c>
      <c r="X581" s="6">
        <f t="shared" si="103"/>
        <v>4804.4682400000002</v>
      </c>
      <c r="Y581">
        <f t="shared" si="104"/>
        <v>7108.7900000000009</v>
      </c>
      <c r="Z581" s="6">
        <f t="shared" si="105"/>
        <v>-2304.3217600000007</v>
      </c>
      <c r="AA581">
        <f t="shared" si="106"/>
        <v>-0.47962056254533608</v>
      </c>
      <c r="AB581" t="str">
        <f t="shared" si="107"/>
        <v>6-2025</v>
      </c>
      <c r="AC581" t="str">
        <f t="shared" si="108"/>
        <v>Q2-2025</v>
      </c>
      <c r="AD581" t="str">
        <f t="shared" si="109"/>
        <v>Europe →United Kingdom →Birmingham</v>
      </c>
      <c r="AE581" t="str">
        <f t="shared" si="99"/>
        <v>Low</v>
      </c>
      <c r="AF581" t="str">
        <f>TEXT(Table1[[#This Row],[OrderDate]],"MMM")</f>
        <v>Jun</v>
      </c>
      <c r="AG581" t="str">
        <f>TEXT(Table1[[#This Row],[OrderDate]],"YYYY")</f>
        <v>2025</v>
      </c>
      <c r="AI581" s="4">
        <f>IF(Table1[[#This Row],[RequiredDate]]&lt;Table1[[#This Row],[OrderDate]], Table1[[#This Row],[OrderDate]]+7, Table1[[#This Row],[RequiredDate]])</f>
        <v>45848</v>
      </c>
      <c r="AJ581">
        <f>IF(Dashboard!$D$3&gt;'Staging Data'!V581,'Staging Data'!V581,Dashboard!D$3)</f>
        <v>7.8E-2</v>
      </c>
      <c r="AK581" s="19">
        <f>(100%+Dashboard!$D$4)*'Staging Data'!S581</f>
        <v>574.17150000000004</v>
      </c>
      <c r="AL581">
        <f>(100%+Dashboard!$D$5)*'Staging Data'!W581</f>
        <v>14.95</v>
      </c>
    </row>
    <row r="582" spans="1:38" x14ac:dyDescent="0.35">
      <c r="A582" s="6" t="s">
        <v>581</v>
      </c>
      <c r="B582" s="4">
        <v>45834</v>
      </c>
      <c r="C582" s="4">
        <v>45849</v>
      </c>
      <c r="D582" s="4">
        <f>IF(Table1[[#This Row],[RequiredDate]]&lt;Table1[[#This Row],[OrderDate]],Table1[[#This Row],[RequiredDate]],Table1[[#This Row],[OrderDate]])</f>
        <v>45834</v>
      </c>
      <c r="E582" s="4">
        <f>IF(Table1[[#This Row],[RequiredDate]]&gt;Table1[[#This Row],[OrderDate]],Table1[[#This Row],[RequiredDate]],Table1[[#This Row],[OrderDate]])</f>
        <v>45849</v>
      </c>
      <c r="F582" s="21">
        <f>Table1[[#This Row],[New RD]]-Table1[[#This Row],[new   od]]</f>
        <v>15</v>
      </c>
      <c r="G582" s="4">
        <f>IF(Table1[[#This Row],[RequiredDate]]&lt;Table1[[#This Row],[OrderDate]], Table1[[#This Row],[OrderDate]]+7, Table1[[#This Row],[RequiredDate]])</f>
        <v>45849</v>
      </c>
      <c r="H582" s="21">
        <f t="shared" si="100"/>
        <v>15</v>
      </c>
      <c r="I582" s="6" t="str">
        <f>IF(Table1[[#This Row],[New LTD]]&lt;=7,"Yes","No")</f>
        <v>No</v>
      </c>
      <c r="J582" s="6" t="str">
        <f t="shared" si="101"/>
        <v>No</v>
      </c>
      <c r="K582" t="s">
        <v>646</v>
      </c>
      <c r="L582" t="s">
        <v>651</v>
      </c>
      <c r="M582" t="s">
        <v>663</v>
      </c>
      <c r="N582" t="s">
        <v>705</v>
      </c>
      <c r="O582" t="s">
        <v>708</v>
      </c>
      <c r="P582" t="s">
        <v>720</v>
      </c>
      <c r="Q582" t="s">
        <v>731</v>
      </c>
      <c r="R582" t="s">
        <v>1299</v>
      </c>
      <c r="S582" s="6">
        <v>1170.1500000000001</v>
      </c>
      <c r="T582" s="6">
        <v>2115.19</v>
      </c>
      <c r="U582" s="6">
        <f t="shared" si="102"/>
        <v>2115.19</v>
      </c>
      <c r="V582" s="8">
        <v>9.1999999999999998E-2</v>
      </c>
      <c r="W582" s="6">
        <v>23</v>
      </c>
      <c r="X582" s="6">
        <f t="shared" si="103"/>
        <v>44173.627960000005</v>
      </c>
      <c r="Y582">
        <f t="shared" si="104"/>
        <v>26913.45</v>
      </c>
      <c r="Z582" s="6">
        <f t="shared" si="105"/>
        <v>17260.177960000005</v>
      </c>
      <c r="AA582">
        <f t="shared" si="106"/>
        <v>0.39073489674946776</v>
      </c>
      <c r="AB582" t="str">
        <f t="shared" si="107"/>
        <v>6-2025</v>
      </c>
      <c r="AC582" t="str">
        <f t="shared" si="108"/>
        <v>Q2-2025</v>
      </c>
      <c r="AD582" t="str">
        <f t="shared" si="109"/>
        <v>Africa →Nigeria →Port Harcourt</v>
      </c>
      <c r="AE582" t="str">
        <f t="shared" si="99"/>
        <v>High</v>
      </c>
      <c r="AF582" t="str">
        <f>TEXT(Table1[[#This Row],[OrderDate]],"MMM")</f>
        <v>Jun</v>
      </c>
      <c r="AG582" t="str">
        <f>TEXT(Table1[[#This Row],[OrderDate]],"YYYY")</f>
        <v>2025</v>
      </c>
      <c r="AI582" s="4">
        <f>IF(Table1[[#This Row],[RequiredDate]]&lt;Table1[[#This Row],[OrderDate]], Table1[[#This Row],[OrderDate]]+7, Table1[[#This Row],[RequiredDate]])</f>
        <v>45849</v>
      </c>
      <c r="AJ582">
        <f>IF(Dashboard!$D$3&gt;'Staging Data'!V582,'Staging Data'!V582,Dashboard!D$3)</f>
        <v>9.1999999999999998E-2</v>
      </c>
      <c r="AK582" s="19">
        <f>(100%+Dashboard!$D$4)*'Staging Data'!S582</f>
        <v>1228.6575000000003</v>
      </c>
      <c r="AL582">
        <f>(100%+Dashboard!$D$5)*'Staging Data'!W582</f>
        <v>26.45</v>
      </c>
    </row>
    <row r="583" spans="1:38" x14ac:dyDescent="0.35">
      <c r="A583" s="6" t="s">
        <v>272</v>
      </c>
      <c r="B583" s="4">
        <v>45835</v>
      </c>
      <c r="C583" s="4">
        <v>45843</v>
      </c>
      <c r="D583" s="4">
        <f>IF(Table1[[#This Row],[RequiredDate]]&lt;Table1[[#This Row],[OrderDate]],Table1[[#This Row],[RequiredDate]],Table1[[#This Row],[OrderDate]])</f>
        <v>45835</v>
      </c>
      <c r="E583" s="4">
        <f>IF(Table1[[#This Row],[RequiredDate]]&gt;Table1[[#This Row],[OrderDate]],Table1[[#This Row],[RequiredDate]],Table1[[#This Row],[OrderDate]])</f>
        <v>45843</v>
      </c>
      <c r="F583" s="21">
        <f>Table1[[#This Row],[New RD]]-Table1[[#This Row],[new   od]]</f>
        <v>8</v>
      </c>
      <c r="G583" s="4">
        <f>IF(Table1[[#This Row],[RequiredDate]]&lt;Table1[[#This Row],[OrderDate]], Table1[[#This Row],[OrderDate]]+7, Table1[[#This Row],[RequiredDate]])</f>
        <v>45843</v>
      </c>
      <c r="H583" s="21">
        <f t="shared" si="100"/>
        <v>8</v>
      </c>
      <c r="I583" s="6" t="str">
        <f>IF(Table1[[#This Row],[New LTD]]&lt;=7,"Yes","No")</f>
        <v>No</v>
      </c>
      <c r="J583" s="6" t="str">
        <f t="shared" si="101"/>
        <v>Yes</v>
      </c>
      <c r="K583" t="s">
        <v>649</v>
      </c>
      <c r="L583" t="s">
        <v>656</v>
      </c>
      <c r="M583" t="s">
        <v>684</v>
      </c>
      <c r="N583" t="s">
        <v>705</v>
      </c>
      <c r="O583" t="s">
        <v>711</v>
      </c>
      <c r="P583" t="s">
        <v>715</v>
      </c>
      <c r="Q583" t="s">
        <v>732</v>
      </c>
      <c r="R583" t="s">
        <v>992</v>
      </c>
      <c r="S583" s="6">
        <v>314.93</v>
      </c>
      <c r="T583" s="6">
        <v>687.95</v>
      </c>
      <c r="U583" s="6">
        <f t="shared" si="102"/>
        <v>687.95</v>
      </c>
      <c r="V583" s="8">
        <v>0.20499999999999999</v>
      </c>
      <c r="W583" s="6">
        <v>8</v>
      </c>
      <c r="X583" s="6">
        <f t="shared" si="103"/>
        <v>4375.3620000000001</v>
      </c>
      <c r="Y583">
        <f t="shared" si="104"/>
        <v>2519.44</v>
      </c>
      <c r="Z583" s="6">
        <f t="shared" si="105"/>
        <v>1855.922</v>
      </c>
      <c r="AA583">
        <f t="shared" si="106"/>
        <v>0.424175645352316</v>
      </c>
      <c r="AB583" t="str">
        <f t="shared" si="107"/>
        <v>6-2025</v>
      </c>
      <c r="AC583" t="str">
        <f t="shared" si="108"/>
        <v>Q2-2025</v>
      </c>
      <c r="AD583" t="str">
        <f t="shared" si="109"/>
        <v>Europe →Germany →Munich</v>
      </c>
      <c r="AE583" t="str">
        <f t="shared" si="99"/>
        <v>Low</v>
      </c>
      <c r="AF583" t="str">
        <f>TEXT(Table1[[#This Row],[OrderDate]],"MMM")</f>
        <v>Jun</v>
      </c>
      <c r="AG583" t="str">
        <f>TEXT(Table1[[#This Row],[OrderDate]],"YYYY")</f>
        <v>2025</v>
      </c>
      <c r="AI583" s="4">
        <f>IF(Table1[[#This Row],[RequiredDate]]&lt;Table1[[#This Row],[OrderDate]], Table1[[#This Row],[OrderDate]]+7, Table1[[#This Row],[RequiredDate]])</f>
        <v>45843</v>
      </c>
      <c r="AJ583">
        <f>IF(Dashboard!$D$3&gt;'Staging Data'!V583,'Staging Data'!V583,Dashboard!D$3)</f>
        <v>0.2</v>
      </c>
      <c r="AK583" s="19">
        <f>(100%+Dashboard!$D$4)*'Staging Data'!S583</f>
        <v>330.67650000000003</v>
      </c>
      <c r="AL583">
        <f>(100%+Dashboard!$D$5)*'Staging Data'!W583</f>
        <v>9.1999999999999993</v>
      </c>
    </row>
    <row r="584" spans="1:38" x14ac:dyDescent="0.35">
      <c r="A584" s="6" t="s">
        <v>390</v>
      </c>
      <c r="B584" s="4">
        <v>45835</v>
      </c>
      <c r="C584" s="4">
        <v>45849</v>
      </c>
      <c r="D584" s="4">
        <f>IF(Table1[[#This Row],[RequiredDate]]&lt;Table1[[#This Row],[OrderDate]],Table1[[#This Row],[RequiredDate]],Table1[[#This Row],[OrderDate]])</f>
        <v>45835</v>
      </c>
      <c r="E584" s="4">
        <f>IF(Table1[[#This Row],[RequiredDate]]&gt;Table1[[#This Row],[OrderDate]],Table1[[#This Row],[RequiredDate]],Table1[[#This Row],[OrderDate]])</f>
        <v>45849</v>
      </c>
      <c r="F584" s="21">
        <f>Table1[[#This Row],[New RD]]-Table1[[#This Row],[new   od]]</f>
        <v>14</v>
      </c>
      <c r="G584" s="4">
        <f>IF(Table1[[#This Row],[RequiredDate]]&lt;Table1[[#This Row],[OrderDate]], Table1[[#This Row],[OrderDate]]+7, Table1[[#This Row],[RequiredDate]])</f>
        <v>45849</v>
      </c>
      <c r="H584" s="21">
        <f t="shared" si="100"/>
        <v>14</v>
      </c>
      <c r="I584" s="6" t="str">
        <f>IF(Table1[[#This Row],[New LTD]]&lt;=7,"Yes","No")</f>
        <v>No</v>
      </c>
      <c r="J584" s="6" t="str">
        <f t="shared" si="101"/>
        <v>No</v>
      </c>
      <c r="K584" t="s">
        <v>647</v>
      </c>
      <c r="L584" t="s">
        <v>659</v>
      </c>
      <c r="M584" t="s">
        <v>685</v>
      </c>
      <c r="N584" t="s">
        <v>705</v>
      </c>
      <c r="O584" t="s">
        <v>709</v>
      </c>
      <c r="P584" t="s">
        <v>716</v>
      </c>
      <c r="Q584" t="s">
        <v>729</v>
      </c>
      <c r="R584" t="s">
        <v>1110</v>
      </c>
      <c r="S584" s="6">
        <v>1227.7</v>
      </c>
      <c r="T584" s="6">
        <v>2197.23</v>
      </c>
      <c r="U584" s="6">
        <f t="shared" si="102"/>
        <v>2197.23</v>
      </c>
      <c r="V584" s="8">
        <v>9.9000000000000005E-2</v>
      </c>
      <c r="W584" s="6">
        <v>22</v>
      </c>
      <c r="X584" s="6">
        <f t="shared" si="103"/>
        <v>43553.493060000001</v>
      </c>
      <c r="Y584">
        <f t="shared" si="104"/>
        <v>27009.4</v>
      </c>
      <c r="Z584" s="6">
        <f t="shared" si="105"/>
        <v>16544.093059999999</v>
      </c>
      <c r="AA584">
        <f t="shared" si="106"/>
        <v>0.37985685871873898</v>
      </c>
      <c r="AB584" t="str">
        <f t="shared" si="107"/>
        <v>6-2025</v>
      </c>
      <c r="AC584" t="str">
        <f t="shared" si="108"/>
        <v>Q2-2025</v>
      </c>
      <c r="AD584" t="str">
        <f t="shared" si="109"/>
        <v>Asia →China →Shanghai</v>
      </c>
      <c r="AE584" t="str">
        <f t="shared" si="99"/>
        <v>High</v>
      </c>
      <c r="AF584" t="str">
        <f>TEXT(Table1[[#This Row],[OrderDate]],"MMM")</f>
        <v>Jun</v>
      </c>
      <c r="AG584" t="str">
        <f>TEXT(Table1[[#This Row],[OrderDate]],"YYYY")</f>
        <v>2025</v>
      </c>
      <c r="AI584" s="4">
        <f>IF(Table1[[#This Row],[RequiredDate]]&lt;Table1[[#This Row],[OrderDate]], Table1[[#This Row],[OrderDate]]+7, Table1[[#This Row],[RequiredDate]])</f>
        <v>45849</v>
      </c>
      <c r="AJ584">
        <f>IF(Dashboard!$D$3&gt;'Staging Data'!V584,'Staging Data'!V584,Dashboard!D$3)</f>
        <v>9.9000000000000005E-2</v>
      </c>
      <c r="AK584" s="19">
        <f>(100%+Dashboard!$D$4)*'Staging Data'!S584</f>
        <v>1289.085</v>
      </c>
      <c r="AL584">
        <f>(100%+Dashboard!$D$5)*'Staging Data'!W584</f>
        <v>25.299999999999997</v>
      </c>
    </row>
    <row r="585" spans="1:38" x14ac:dyDescent="0.35">
      <c r="A585" s="6" t="s">
        <v>436</v>
      </c>
      <c r="B585" s="4">
        <v>45841</v>
      </c>
      <c r="C585" s="4">
        <v>45844</v>
      </c>
      <c r="D585" s="4">
        <f>IF(Table1[[#This Row],[RequiredDate]]&lt;Table1[[#This Row],[OrderDate]],Table1[[#This Row],[RequiredDate]],Table1[[#This Row],[OrderDate]])</f>
        <v>45841</v>
      </c>
      <c r="E585" s="4">
        <f>IF(Table1[[#This Row],[RequiredDate]]&gt;Table1[[#This Row],[OrderDate]],Table1[[#This Row],[RequiredDate]],Table1[[#This Row],[OrderDate]])</f>
        <v>45844</v>
      </c>
      <c r="F585" s="21">
        <f>Table1[[#This Row],[New RD]]-Table1[[#This Row],[new   od]]</f>
        <v>3</v>
      </c>
      <c r="G585" s="4">
        <f>IF(Table1[[#This Row],[RequiredDate]]&lt;Table1[[#This Row],[OrderDate]], Table1[[#This Row],[OrderDate]]+7, Table1[[#This Row],[RequiredDate]])</f>
        <v>45844</v>
      </c>
      <c r="H585" s="21">
        <f t="shared" si="100"/>
        <v>3</v>
      </c>
      <c r="I585" s="6" t="str">
        <f>IF(Table1[[#This Row],[New LTD]]&lt;=7,"Yes","No")</f>
        <v>Yes</v>
      </c>
      <c r="J585" s="6" t="str">
        <f t="shared" si="101"/>
        <v>No</v>
      </c>
      <c r="K585" t="s">
        <v>646</v>
      </c>
      <c r="L585" t="s">
        <v>651</v>
      </c>
      <c r="M585" t="s">
        <v>665</v>
      </c>
      <c r="N585" t="s">
        <v>704</v>
      </c>
      <c r="O585" t="s">
        <v>708</v>
      </c>
      <c r="P585" t="s">
        <v>1423</v>
      </c>
      <c r="Q585" t="s">
        <v>731</v>
      </c>
      <c r="R585" t="s">
        <v>1155</v>
      </c>
      <c r="S585" s="6">
        <v>1313.3</v>
      </c>
      <c r="T585" s="6">
        <v>2884.34</v>
      </c>
      <c r="U585" s="6">
        <f t="shared" si="102"/>
        <v>2884.34</v>
      </c>
      <c r="V585" s="8">
        <v>0.157</v>
      </c>
      <c r="W585" s="6">
        <v>42</v>
      </c>
      <c r="X585" s="6">
        <f t="shared" si="103"/>
        <v>102122.94203999999</v>
      </c>
      <c r="Y585">
        <f t="shared" si="104"/>
        <v>55158.6</v>
      </c>
      <c r="Z585" s="6">
        <f t="shared" si="105"/>
        <v>46964.342039999996</v>
      </c>
      <c r="AA585">
        <f t="shared" si="106"/>
        <v>0.45988042551305253</v>
      </c>
      <c r="AB585" t="str">
        <f t="shared" si="107"/>
        <v>7-2025</v>
      </c>
      <c r="AC585" t="str">
        <f t="shared" si="108"/>
        <v>Q3-2025</v>
      </c>
      <c r="AD585" t="str">
        <f t="shared" si="109"/>
        <v>Africa →Nigeria →Lagos</v>
      </c>
      <c r="AE585" t="str">
        <f t="shared" si="99"/>
        <v>High</v>
      </c>
      <c r="AF585" t="str">
        <f>TEXT(Table1[[#This Row],[OrderDate]],"MMM")</f>
        <v>Jul</v>
      </c>
      <c r="AG585" t="str">
        <f>TEXT(Table1[[#This Row],[OrderDate]],"YYYY")</f>
        <v>2025</v>
      </c>
      <c r="AI585" s="4">
        <f>IF(Table1[[#This Row],[RequiredDate]]&lt;Table1[[#This Row],[OrderDate]], Table1[[#This Row],[OrderDate]]+7, Table1[[#This Row],[RequiredDate]])</f>
        <v>45844</v>
      </c>
      <c r="AJ585">
        <f>IF(Dashboard!$D$3&gt;'Staging Data'!V585,'Staging Data'!V585,Dashboard!D$3)</f>
        <v>0.157</v>
      </c>
      <c r="AK585" s="19">
        <f>(100%+Dashboard!$D$4)*'Staging Data'!S585</f>
        <v>1378.9649999999999</v>
      </c>
      <c r="AL585">
        <f>(100%+Dashboard!$D$5)*'Staging Data'!W585</f>
        <v>48.3</v>
      </c>
    </row>
    <row r="586" spans="1:38" x14ac:dyDescent="0.35">
      <c r="A586" s="6" t="s">
        <v>486</v>
      </c>
      <c r="B586" s="4">
        <v>45841</v>
      </c>
      <c r="C586" s="4">
        <v>45861</v>
      </c>
      <c r="D586" s="4">
        <f>IF(Table1[[#This Row],[RequiredDate]]&lt;Table1[[#This Row],[OrderDate]],Table1[[#This Row],[RequiredDate]],Table1[[#This Row],[OrderDate]])</f>
        <v>45841</v>
      </c>
      <c r="E586" s="4">
        <f>IF(Table1[[#This Row],[RequiredDate]]&gt;Table1[[#This Row],[OrderDate]],Table1[[#This Row],[RequiredDate]],Table1[[#This Row],[OrderDate]])</f>
        <v>45861</v>
      </c>
      <c r="F586" s="21">
        <f>Table1[[#This Row],[New RD]]-Table1[[#This Row],[new   od]]</f>
        <v>20</v>
      </c>
      <c r="G586" s="4">
        <f>IF(Table1[[#This Row],[RequiredDate]]&lt;Table1[[#This Row],[OrderDate]], Table1[[#This Row],[OrderDate]]+7, Table1[[#This Row],[RequiredDate]])</f>
        <v>45861</v>
      </c>
      <c r="H586" s="21">
        <f t="shared" si="100"/>
        <v>20</v>
      </c>
      <c r="I586" s="6" t="str">
        <f>IF(Table1[[#This Row],[New LTD]]&lt;=7,"Yes","No")</f>
        <v>No</v>
      </c>
      <c r="J586" s="6" t="str">
        <f t="shared" si="101"/>
        <v>No</v>
      </c>
      <c r="K586" t="s">
        <v>647</v>
      </c>
      <c r="L586" t="s">
        <v>659</v>
      </c>
      <c r="M586" t="s">
        <v>699</v>
      </c>
      <c r="N586" t="s">
        <v>705</v>
      </c>
      <c r="O586" t="s">
        <v>708</v>
      </c>
      <c r="P586" t="s">
        <v>724</v>
      </c>
      <c r="Q586" t="s">
        <v>727</v>
      </c>
      <c r="R586" t="s">
        <v>1205</v>
      </c>
      <c r="S586" s="6">
        <v>647.36</v>
      </c>
      <c r="T586" s="6">
        <v>1383.6</v>
      </c>
      <c r="U586" s="6">
        <f t="shared" si="102"/>
        <v>1383.6</v>
      </c>
      <c r="V586" s="8">
        <v>7.3999999999999996E-2</v>
      </c>
      <c r="W586" s="6">
        <v>12</v>
      </c>
      <c r="X586" s="6">
        <f t="shared" si="103"/>
        <v>15374.563199999999</v>
      </c>
      <c r="Y586">
        <f t="shared" si="104"/>
        <v>7768.32</v>
      </c>
      <c r="Z586" s="6">
        <f t="shared" si="105"/>
        <v>7606.243199999999</v>
      </c>
      <c r="AA586">
        <f t="shared" si="106"/>
        <v>0.49472906000997802</v>
      </c>
      <c r="AB586" t="str">
        <f t="shared" si="107"/>
        <v>7-2025</v>
      </c>
      <c r="AC586" t="str">
        <f t="shared" si="108"/>
        <v>Q3-2025</v>
      </c>
      <c r="AD586" t="str">
        <f t="shared" si="109"/>
        <v>Asia →China →Beijing</v>
      </c>
      <c r="AE586" t="str">
        <f t="shared" si="99"/>
        <v>Medium</v>
      </c>
      <c r="AF586" t="str">
        <f>TEXT(Table1[[#This Row],[OrderDate]],"MMM")</f>
        <v>Jul</v>
      </c>
      <c r="AG586" t="str">
        <f>TEXT(Table1[[#This Row],[OrderDate]],"YYYY")</f>
        <v>2025</v>
      </c>
      <c r="AI586" s="4">
        <f>IF(Table1[[#This Row],[RequiredDate]]&lt;Table1[[#This Row],[OrderDate]], Table1[[#This Row],[OrderDate]]+7, Table1[[#This Row],[RequiredDate]])</f>
        <v>45861</v>
      </c>
      <c r="AJ586">
        <f>IF(Dashboard!$D$3&gt;'Staging Data'!V586,'Staging Data'!V586,Dashboard!D$3)</f>
        <v>7.3999999999999996E-2</v>
      </c>
      <c r="AK586" s="19">
        <f>(100%+Dashboard!$D$4)*'Staging Data'!S586</f>
        <v>679.72800000000007</v>
      </c>
      <c r="AL586">
        <f>(100%+Dashboard!$D$5)*'Staging Data'!W586</f>
        <v>13.799999999999999</v>
      </c>
    </row>
    <row r="587" spans="1:38" x14ac:dyDescent="0.35">
      <c r="A587" s="6" t="s">
        <v>134</v>
      </c>
      <c r="B587" s="4">
        <v>45847</v>
      </c>
      <c r="C587" s="4">
        <v>45856</v>
      </c>
      <c r="D587" s="4">
        <f>IF(Table1[[#This Row],[RequiredDate]]&lt;Table1[[#This Row],[OrderDate]],Table1[[#This Row],[RequiredDate]],Table1[[#This Row],[OrderDate]])</f>
        <v>45847</v>
      </c>
      <c r="E587" s="4">
        <f>IF(Table1[[#This Row],[RequiredDate]]&gt;Table1[[#This Row],[OrderDate]],Table1[[#This Row],[RequiredDate]],Table1[[#This Row],[OrderDate]])</f>
        <v>45856</v>
      </c>
      <c r="F587" s="21">
        <f>Table1[[#This Row],[New RD]]-Table1[[#This Row],[new   od]]</f>
        <v>9</v>
      </c>
      <c r="G587" s="4">
        <f>IF(Table1[[#This Row],[RequiredDate]]&lt;Table1[[#This Row],[OrderDate]], Table1[[#This Row],[OrderDate]]+7, Table1[[#This Row],[RequiredDate]])</f>
        <v>45856</v>
      </c>
      <c r="H587" s="21">
        <f t="shared" si="100"/>
        <v>9</v>
      </c>
      <c r="I587" s="6" t="str">
        <f>IF(Table1[[#This Row],[New LTD]]&lt;=7,"Yes","No")</f>
        <v>No</v>
      </c>
      <c r="J587" s="6" t="str">
        <f t="shared" si="101"/>
        <v>No</v>
      </c>
      <c r="K587" t="s">
        <v>648</v>
      </c>
      <c r="L587" t="s">
        <v>653</v>
      </c>
      <c r="M587" t="s">
        <v>688</v>
      </c>
      <c r="N587" t="s">
        <v>702</v>
      </c>
      <c r="O587" t="s">
        <v>710</v>
      </c>
      <c r="P587" t="s">
        <v>714</v>
      </c>
      <c r="Q587" t="s">
        <v>731</v>
      </c>
      <c r="R587" t="s">
        <v>853</v>
      </c>
      <c r="S587" s="6">
        <v>57.96</v>
      </c>
      <c r="T587" s="6">
        <v>88.51</v>
      </c>
      <c r="U587" s="6">
        <f t="shared" si="102"/>
        <v>88.51</v>
      </c>
      <c r="V587" s="8">
        <v>4.2999999999999997E-2</v>
      </c>
      <c r="W587" s="6">
        <v>7</v>
      </c>
      <c r="X587" s="6">
        <f t="shared" si="103"/>
        <v>592.92849000000001</v>
      </c>
      <c r="Y587">
        <f t="shared" si="104"/>
        <v>405.72</v>
      </c>
      <c r="Z587" s="6">
        <f t="shared" si="105"/>
        <v>187.20848999999998</v>
      </c>
      <c r="AA587">
        <f t="shared" si="106"/>
        <v>0.3157353595877978</v>
      </c>
      <c r="AB587" t="str">
        <f t="shared" si="107"/>
        <v>7-2025</v>
      </c>
      <c r="AC587" t="str">
        <f t="shared" si="108"/>
        <v>Q3-2025</v>
      </c>
      <c r="AD587" t="str">
        <f t="shared" si="109"/>
        <v>Americas →Canada →Vancouver</v>
      </c>
      <c r="AE587" t="str">
        <f t="shared" si="99"/>
        <v>Low</v>
      </c>
      <c r="AF587" t="str">
        <f>TEXT(Table1[[#This Row],[OrderDate]],"MMM")</f>
        <v>Jul</v>
      </c>
      <c r="AG587" t="str">
        <f>TEXT(Table1[[#This Row],[OrderDate]],"YYYY")</f>
        <v>2025</v>
      </c>
      <c r="AI587" s="4">
        <f>IF(Table1[[#This Row],[RequiredDate]]&lt;Table1[[#This Row],[OrderDate]], Table1[[#This Row],[OrderDate]]+7, Table1[[#This Row],[RequiredDate]])</f>
        <v>45856</v>
      </c>
      <c r="AJ587">
        <f>IF(Dashboard!$D$3&gt;'Staging Data'!V587,'Staging Data'!V587,Dashboard!D$3)</f>
        <v>4.2999999999999997E-2</v>
      </c>
      <c r="AK587" s="19">
        <f>(100%+Dashboard!$D$4)*'Staging Data'!S587</f>
        <v>60.858000000000004</v>
      </c>
      <c r="AL587">
        <f>(100%+Dashboard!$D$5)*'Staging Data'!W587</f>
        <v>8.0499999999999989</v>
      </c>
    </row>
    <row r="588" spans="1:38" x14ac:dyDescent="0.35">
      <c r="A588" s="6" t="s">
        <v>594</v>
      </c>
      <c r="B588" s="4">
        <v>45849</v>
      </c>
      <c r="C588" s="4">
        <v>45872</v>
      </c>
      <c r="D588" s="4">
        <f>IF(Table1[[#This Row],[RequiredDate]]&lt;Table1[[#This Row],[OrderDate]],Table1[[#This Row],[RequiredDate]],Table1[[#This Row],[OrderDate]])</f>
        <v>45849</v>
      </c>
      <c r="E588" s="4">
        <f>IF(Table1[[#This Row],[RequiredDate]]&gt;Table1[[#This Row],[OrderDate]],Table1[[#This Row],[RequiredDate]],Table1[[#This Row],[OrderDate]])</f>
        <v>45872</v>
      </c>
      <c r="F588" s="21">
        <f>Table1[[#This Row],[New RD]]-Table1[[#This Row],[new   od]]</f>
        <v>23</v>
      </c>
      <c r="G588" s="4">
        <f>IF(Table1[[#This Row],[RequiredDate]]&lt;Table1[[#This Row],[OrderDate]], Table1[[#This Row],[OrderDate]]+7, Table1[[#This Row],[RequiredDate]])</f>
        <v>45872</v>
      </c>
      <c r="H588" s="21">
        <f t="shared" si="100"/>
        <v>23</v>
      </c>
      <c r="I588" s="6" t="str">
        <f>IF(Table1[[#This Row],[New LTD]]&lt;=7,"Yes","No")</f>
        <v>No</v>
      </c>
      <c r="J588" s="6" t="str">
        <f t="shared" si="101"/>
        <v>No</v>
      </c>
      <c r="K588" t="s">
        <v>646</v>
      </c>
      <c r="L588" t="s">
        <v>650</v>
      </c>
      <c r="M588" t="s">
        <v>678</v>
      </c>
      <c r="N588" t="s">
        <v>705</v>
      </c>
      <c r="O588" t="s">
        <v>707</v>
      </c>
      <c r="P588" t="s">
        <v>712</v>
      </c>
      <c r="Q588" t="s">
        <v>730</v>
      </c>
      <c r="R588" t="s">
        <v>1312</v>
      </c>
      <c r="S588" s="6">
        <v>389.93</v>
      </c>
      <c r="T588" s="6">
        <v>486.13</v>
      </c>
      <c r="U588" s="6">
        <f t="shared" si="102"/>
        <v>486.13</v>
      </c>
      <c r="V588" s="8">
        <v>0.13200000000000001</v>
      </c>
      <c r="W588" s="6">
        <v>17</v>
      </c>
      <c r="X588" s="6">
        <f t="shared" si="103"/>
        <v>7173.3342799999991</v>
      </c>
      <c r="Y588">
        <f t="shared" si="104"/>
        <v>6628.81</v>
      </c>
      <c r="Z588" s="6">
        <f t="shared" si="105"/>
        <v>544.52427999999873</v>
      </c>
      <c r="AA588">
        <f t="shared" si="106"/>
        <v>7.5909508569562828E-2</v>
      </c>
      <c r="AB588" t="str">
        <f t="shared" si="107"/>
        <v>7-2025</v>
      </c>
      <c r="AC588" t="str">
        <f t="shared" si="108"/>
        <v>Q3-2025</v>
      </c>
      <c r="AD588" t="str">
        <f t="shared" si="109"/>
        <v>Africa →Kenya →Nakuru</v>
      </c>
      <c r="AE588" t="str">
        <f t="shared" si="99"/>
        <v>Low</v>
      </c>
      <c r="AF588" t="str">
        <f>TEXT(Table1[[#This Row],[OrderDate]],"MMM")</f>
        <v>Jul</v>
      </c>
      <c r="AG588" t="str">
        <f>TEXT(Table1[[#This Row],[OrderDate]],"YYYY")</f>
        <v>2025</v>
      </c>
      <c r="AI588" s="4">
        <f>IF(Table1[[#This Row],[RequiredDate]]&lt;Table1[[#This Row],[OrderDate]], Table1[[#This Row],[OrderDate]]+7, Table1[[#This Row],[RequiredDate]])</f>
        <v>45872</v>
      </c>
      <c r="AJ588">
        <f>IF(Dashboard!$D$3&gt;'Staging Data'!V588,'Staging Data'!V588,Dashboard!D$3)</f>
        <v>0.13200000000000001</v>
      </c>
      <c r="AK588" s="19">
        <f>(100%+Dashboard!$D$4)*'Staging Data'!S588</f>
        <v>409.42650000000003</v>
      </c>
      <c r="AL588">
        <f>(100%+Dashboard!$D$5)*'Staging Data'!W588</f>
        <v>19.549999999999997</v>
      </c>
    </row>
    <row r="589" spans="1:38" x14ac:dyDescent="0.35">
      <c r="A589" s="6" t="s">
        <v>632</v>
      </c>
      <c r="B589" s="4">
        <v>45849</v>
      </c>
      <c r="C589" s="4">
        <v>45854</v>
      </c>
      <c r="D589" s="4">
        <f>IF(Table1[[#This Row],[RequiredDate]]&lt;Table1[[#This Row],[OrderDate]],Table1[[#This Row],[RequiredDate]],Table1[[#This Row],[OrderDate]])</f>
        <v>45849</v>
      </c>
      <c r="E589" s="4">
        <f>IF(Table1[[#This Row],[RequiredDate]]&gt;Table1[[#This Row],[OrderDate]],Table1[[#This Row],[RequiredDate]],Table1[[#This Row],[OrderDate]])</f>
        <v>45854</v>
      </c>
      <c r="F589" s="21">
        <f>Table1[[#This Row],[New RD]]-Table1[[#This Row],[new   od]]</f>
        <v>5</v>
      </c>
      <c r="G589" s="4">
        <f>IF(Table1[[#This Row],[RequiredDate]]&lt;Table1[[#This Row],[OrderDate]], Table1[[#This Row],[OrderDate]]+7, Table1[[#This Row],[RequiredDate]])</f>
        <v>45854</v>
      </c>
      <c r="H589" s="21">
        <f t="shared" si="100"/>
        <v>5</v>
      </c>
      <c r="I589" s="6" t="str">
        <f>IF(Table1[[#This Row],[New LTD]]&lt;=7,"Yes","No")</f>
        <v>Yes</v>
      </c>
      <c r="J589" s="6" t="str">
        <f t="shared" si="101"/>
        <v>No</v>
      </c>
      <c r="K589" t="s">
        <v>649</v>
      </c>
      <c r="L589" t="s">
        <v>658</v>
      </c>
      <c r="M589" t="s">
        <v>683</v>
      </c>
      <c r="N589" t="s">
        <v>706</v>
      </c>
      <c r="O589" t="s">
        <v>708</v>
      </c>
      <c r="P589" t="s">
        <v>723</v>
      </c>
      <c r="Q589" t="s">
        <v>728</v>
      </c>
      <c r="R589" t="s">
        <v>1350</v>
      </c>
      <c r="S589" s="6">
        <v>930.03</v>
      </c>
      <c r="T589" s="6">
        <v>1086.68</v>
      </c>
      <c r="U589" s="6">
        <f t="shared" si="102"/>
        <v>1086.68</v>
      </c>
      <c r="V589" s="8">
        <v>0.109</v>
      </c>
      <c r="W589" s="6">
        <v>26</v>
      </c>
      <c r="X589" s="6">
        <f t="shared" si="103"/>
        <v>25174.028880000002</v>
      </c>
      <c r="Y589">
        <f t="shared" si="104"/>
        <v>24180.78</v>
      </c>
      <c r="Z589" s="6">
        <f t="shared" si="105"/>
        <v>993.24888000000283</v>
      </c>
      <c r="AA589">
        <f t="shared" si="106"/>
        <v>3.9455300728168656E-2</v>
      </c>
      <c r="AB589" t="str">
        <f t="shared" si="107"/>
        <v>7-2025</v>
      </c>
      <c r="AC589" t="str">
        <f t="shared" si="108"/>
        <v>Q3-2025</v>
      </c>
      <c r="AD589" t="str">
        <f t="shared" si="109"/>
        <v>Europe →United Kingdom →London</v>
      </c>
      <c r="AE589" t="str">
        <f t="shared" si="99"/>
        <v>Medium</v>
      </c>
      <c r="AF589" t="str">
        <f>TEXT(Table1[[#This Row],[OrderDate]],"MMM")</f>
        <v>Jul</v>
      </c>
      <c r="AG589" t="str">
        <f>TEXT(Table1[[#This Row],[OrderDate]],"YYYY")</f>
        <v>2025</v>
      </c>
      <c r="AI589" s="4">
        <f>IF(Table1[[#This Row],[RequiredDate]]&lt;Table1[[#This Row],[OrderDate]], Table1[[#This Row],[OrderDate]]+7, Table1[[#This Row],[RequiredDate]])</f>
        <v>45854</v>
      </c>
      <c r="AJ589">
        <f>IF(Dashboard!$D$3&gt;'Staging Data'!V589,'Staging Data'!V589,Dashboard!D$3)</f>
        <v>0.109</v>
      </c>
      <c r="AK589" s="19">
        <f>(100%+Dashboard!$D$4)*'Staging Data'!S589</f>
        <v>976.53150000000005</v>
      </c>
      <c r="AL589">
        <f>(100%+Dashboard!$D$5)*'Staging Data'!W589</f>
        <v>29.9</v>
      </c>
    </row>
    <row r="590" spans="1:38" x14ac:dyDescent="0.35">
      <c r="A590" s="6" t="s">
        <v>225</v>
      </c>
      <c r="B590" s="4">
        <v>45852</v>
      </c>
      <c r="C590" s="4">
        <v>45873</v>
      </c>
      <c r="D590" s="4">
        <f>IF(Table1[[#This Row],[RequiredDate]]&lt;Table1[[#This Row],[OrderDate]],Table1[[#This Row],[RequiredDate]],Table1[[#This Row],[OrderDate]])</f>
        <v>45852</v>
      </c>
      <c r="E590" s="4">
        <f>IF(Table1[[#This Row],[RequiredDate]]&gt;Table1[[#This Row],[OrderDate]],Table1[[#This Row],[RequiredDate]],Table1[[#This Row],[OrderDate]])</f>
        <v>45873</v>
      </c>
      <c r="F590" s="21">
        <f>Table1[[#This Row],[New RD]]-Table1[[#This Row],[new   od]]</f>
        <v>21</v>
      </c>
      <c r="G590" s="4">
        <f>IF(Table1[[#This Row],[RequiredDate]]&lt;Table1[[#This Row],[OrderDate]], Table1[[#This Row],[OrderDate]]+7, Table1[[#This Row],[RequiredDate]])</f>
        <v>45873</v>
      </c>
      <c r="H590" s="21">
        <f t="shared" si="100"/>
        <v>21</v>
      </c>
      <c r="I590" s="6" t="str">
        <f>IF(Table1[[#This Row],[New LTD]]&lt;=7,"Yes","No")</f>
        <v>No</v>
      </c>
      <c r="J590" s="6" t="str">
        <f t="shared" si="101"/>
        <v>No</v>
      </c>
      <c r="K590" t="s">
        <v>648</v>
      </c>
      <c r="L590" t="s">
        <v>653</v>
      </c>
      <c r="M590" t="s">
        <v>681</v>
      </c>
      <c r="N590" t="s">
        <v>704</v>
      </c>
      <c r="O590" t="s">
        <v>708</v>
      </c>
      <c r="P590" t="s">
        <v>722</v>
      </c>
      <c r="Q590" t="s">
        <v>732</v>
      </c>
      <c r="R590" t="s">
        <v>945</v>
      </c>
      <c r="S590" s="6">
        <v>90.3</v>
      </c>
      <c r="T590" s="6">
        <v>131.76</v>
      </c>
      <c r="U590" s="6">
        <f t="shared" si="102"/>
        <v>131.76</v>
      </c>
      <c r="V590" s="8">
        <v>0.10199999999999999</v>
      </c>
      <c r="W590" s="6">
        <v>15</v>
      </c>
      <c r="X590" s="6">
        <f t="shared" si="103"/>
        <v>1774.8072</v>
      </c>
      <c r="Y590">
        <f t="shared" si="104"/>
        <v>1354.5</v>
      </c>
      <c r="Z590" s="6">
        <f t="shared" si="105"/>
        <v>420.30719999999997</v>
      </c>
      <c r="AA590">
        <f t="shared" si="106"/>
        <v>0.23681851189244668</v>
      </c>
      <c r="AB590" t="str">
        <f t="shared" si="107"/>
        <v>7-2025</v>
      </c>
      <c r="AC590" t="str">
        <f t="shared" si="108"/>
        <v>Q3-2025</v>
      </c>
      <c r="AD590" t="str">
        <f t="shared" si="109"/>
        <v>Americas →Canada →Montreal</v>
      </c>
      <c r="AE590" t="str">
        <f t="shared" si="99"/>
        <v>Low</v>
      </c>
      <c r="AF590" t="str">
        <f>TEXT(Table1[[#This Row],[OrderDate]],"MMM")</f>
        <v>Jul</v>
      </c>
      <c r="AG590" t="str">
        <f>TEXT(Table1[[#This Row],[OrderDate]],"YYYY")</f>
        <v>2025</v>
      </c>
      <c r="AI590" s="4">
        <f>IF(Table1[[#This Row],[RequiredDate]]&lt;Table1[[#This Row],[OrderDate]], Table1[[#This Row],[OrderDate]]+7, Table1[[#This Row],[RequiredDate]])</f>
        <v>45873</v>
      </c>
      <c r="AJ590">
        <f>IF(Dashboard!$D$3&gt;'Staging Data'!V590,'Staging Data'!V590,Dashboard!D$3)</f>
        <v>0.10199999999999999</v>
      </c>
      <c r="AK590" s="19">
        <f>(100%+Dashboard!$D$4)*'Staging Data'!S590</f>
        <v>94.814999999999998</v>
      </c>
      <c r="AL590">
        <f>(100%+Dashboard!$D$5)*'Staging Data'!W590</f>
        <v>17.25</v>
      </c>
    </row>
    <row r="591" spans="1:38" x14ac:dyDescent="0.35">
      <c r="A591" s="6" t="s">
        <v>237</v>
      </c>
      <c r="B591" s="4">
        <v>45854</v>
      </c>
      <c r="C591" s="4">
        <v>45855</v>
      </c>
      <c r="D591" s="4">
        <f>IF(Table1[[#This Row],[RequiredDate]]&lt;Table1[[#This Row],[OrderDate]],Table1[[#This Row],[RequiredDate]],Table1[[#This Row],[OrderDate]])</f>
        <v>45854</v>
      </c>
      <c r="E591" s="4">
        <f>IF(Table1[[#This Row],[RequiredDate]]&gt;Table1[[#This Row],[OrderDate]],Table1[[#This Row],[RequiredDate]],Table1[[#This Row],[OrderDate]])</f>
        <v>45855</v>
      </c>
      <c r="F591" s="21">
        <f>Table1[[#This Row],[New RD]]-Table1[[#This Row],[new   od]]</f>
        <v>1</v>
      </c>
      <c r="G591" s="4">
        <f>IF(Table1[[#This Row],[RequiredDate]]&lt;Table1[[#This Row],[OrderDate]], Table1[[#This Row],[OrderDate]]+7, Table1[[#This Row],[RequiredDate]])</f>
        <v>45855</v>
      </c>
      <c r="H591" s="21">
        <f t="shared" si="100"/>
        <v>1</v>
      </c>
      <c r="I591" s="6" t="str">
        <f>IF(Table1[[#This Row],[New LTD]]&lt;=7,"Yes","No")</f>
        <v>Yes</v>
      </c>
      <c r="J591" s="6" t="str">
        <f t="shared" si="101"/>
        <v>No</v>
      </c>
      <c r="K591" t="s">
        <v>646</v>
      </c>
      <c r="L591" t="s">
        <v>661</v>
      </c>
      <c r="M591" t="s">
        <v>687</v>
      </c>
      <c r="N591" t="s">
        <v>705</v>
      </c>
      <c r="O591" t="s">
        <v>710</v>
      </c>
      <c r="P591" t="s">
        <v>717</v>
      </c>
      <c r="Q591" t="s">
        <v>729</v>
      </c>
      <c r="R591" t="s">
        <v>957</v>
      </c>
      <c r="S591" s="6">
        <v>1198.9000000000001</v>
      </c>
      <c r="T591" s="6">
        <v>2941.2</v>
      </c>
      <c r="U591" s="6">
        <f t="shared" si="102"/>
        <v>2941.2</v>
      </c>
      <c r="V591" s="8">
        <v>5.0999999999999997E-2</v>
      </c>
      <c r="W591" s="6">
        <v>24</v>
      </c>
      <c r="X591" s="6">
        <f t="shared" si="103"/>
        <v>66988.771199999988</v>
      </c>
      <c r="Y591">
        <f t="shared" si="104"/>
        <v>28773.600000000002</v>
      </c>
      <c r="Z591" s="6">
        <f t="shared" si="105"/>
        <v>38215.171199999982</v>
      </c>
      <c r="AA591">
        <f t="shared" si="106"/>
        <v>0.57047129713583977</v>
      </c>
      <c r="AB591" t="str">
        <f t="shared" si="107"/>
        <v>7-2025</v>
      </c>
      <c r="AC591" t="str">
        <f t="shared" si="108"/>
        <v>Q3-2025</v>
      </c>
      <c r="AD591" t="str">
        <f t="shared" si="109"/>
        <v>Africa →South Africa →Durban</v>
      </c>
      <c r="AE591" t="str">
        <f t="shared" si="99"/>
        <v>High</v>
      </c>
      <c r="AF591" t="str">
        <f>TEXT(Table1[[#This Row],[OrderDate]],"MMM")</f>
        <v>Jul</v>
      </c>
      <c r="AG591" t="str">
        <f>TEXT(Table1[[#This Row],[OrderDate]],"YYYY")</f>
        <v>2025</v>
      </c>
      <c r="AI591" s="4">
        <f>IF(Table1[[#This Row],[RequiredDate]]&lt;Table1[[#This Row],[OrderDate]], Table1[[#This Row],[OrderDate]]+7, Table1[[#This Row],[RequiredDate]])</f>
        <v>45855</v>
      </c>
      <c r="AJ591">
        <f>IF(Dashboard!$D$3&gt;'Staging Data'!V591,'Staging Data'!V591,Dashboard!D$3)</f>
        <v>5.0999999999999997E-2</v>
      </c>
      <c r="AK591" s="19">
        <f>(100%+Dashboard!$D$4)*'Staging Data'!S591</f>
        <v>1258.8450000000003</v>
      </c>
      <c r="AL591">
        <f>(100%+Dashboard!$D$5)*'Staging Data'!W591</f>
        <v>27.599999999999998</v>
      </c>
    </row>
    <row r="592" spans="1:38" x14ac:dyDescent="0.35">
      <c r="A592" s="6" t="s">
        <v>251</v>
      </c>
      <c r="B592" s="4">
        <v>45855</v>
      </c>
      <c r="C592" s="4">
        <v>45861</v>
      </c>
      <c r="D592" s="4">
        <f>IF(Table1[[#This Row],[RequiredDate]]&lt;Table1[[#This Row],[OrderDate]],Table1[[#This Row],[RequiredDate]],Table1[[#This Row],[OrderDate]])</f>
        <v>45855</v>
      </c>
      <c r="E592" s="4">
        <f>IF(Table1[[#This Row],[RequiredDate]]&gt;Table1[[#This Row],[OrderDate]],Table1[[#This Row],[RequiredDate]],Table1[[#This Row],[OrderDate]])</f>
        <v>45861</v>
      </c>
      <c r="F592" s="21">
        <f>Table1[[#This Row],[New RD]]-Table1[[#This Row],[new   od]]</f>
        <v>6</v>
      </c>
      <c r="G592" s="4">
        <f>IF(Table1[[#This Row],[RequiredDate]]&lt;Table1[[#This Row],[OrderDate]], Table1[[#This Row],[OrderDate]]+7, Table1[[#This Row],[RequiredDate]])</f>
        <v>45861</v>
      </c>
      <c r="H592" s="21">
        <f t="shared" si="100"/>
        <v>6</v>
      </c>
      <c r="I592" s="6" t="str">
        <f>IF(Table1[[#This Row],[New LTD]]&lt;=7,"Yes","No")</f>
        <v>Yes</v>
      </c>
      <c r="J592" s="6" t="str">
        <f t="shared" si="101"/>
        <v>No</v>
      </c>
      <c r="K592" t="s">
        <v>648</v>
      </c>
      <c r="L592" t="s">
        <v>653</v>
      </c>
      <c r="M592" t="s">
        <v>688</v>
      </c>
      <c r="N592" t="s">
        <v>704</v>
      </c>
      <c r="O592" t="s">
        <v>708</v>
      </c>
      <c r="P592" t="s">
        <v>722</v>
      </c>
      <c r="Q592" t="s">
        <v>727</v>
      </c>
      <c r="R592" t="s">
        <v>971</v>
      </c>
      <c r="S592" s="6">
        <v>1364.89</v>
      </c>
      <c r="T592" s="6">
        <v>2757.54</v>
      </c>
      <c r="U592" s="6">
        <f t="shared" si="102"/>
        <v>2757.54</v>
      </c>
      <c r="V592" s="8">
        <v>0.17199999999999999</v>
      </c>
      <c r="W592" s="6">
        <v>61</v>
      </c>
      <c r="X592" s="6">
        <f t="shared" si="103"/>
        <v>139277.83032000001</v>
      </c>
      <c r="Y592">
        <f t="shared" si="104"/>
        <v>83258.290000000008</v>
      </c>
      <c r="Z592" s="6">
        <f t="shared" si="105"/>
        <v>56019.54032</v>
      </c>
      <c r="AA592">
        <f t="shared" si="106"/>
        <v>0.4022143379983118</v>
      </c>
      <c r="AB592" t="str">
        <f t="shared" si="107"/>
        <v>7-2025</v>
      </c>
      <c r="AC592" t="str">
        <f t="shared" si="108"/>
        <v>Q3-2025</v>
      </c>
      <c r="AD592" t="str">
        <f t="shared" si="109"/>
        <v>Americas →Canada →Vancouver</v>
      </c>
      <c r="AE592" t="str">
        <f t="shared" si="99"/>
        <v>High</v>
      </c>
      <c r="AF592" t="str">
        <f>TEXT(Table1[[#This Row],[OrderDate]],"MMM")</f>
        <v>Jul</v>
      </c>
      <c r="AG592" t="str">
        <f>TEXT(Table1[[#This Row],[OrderDate]],"YYYY")</f>
        <v>2025</v>
      </c>
      <c r="AI592" s="4">
        <f>IF(Table1[[#This Row],[RequiredDate]]&lt;Table1[[#This Row],[OrderDate]], Table1[[#This Row],[OrderDate]]+7, Table1[[#This Row],[RequiredDate]])</f>
        <v>45861</v>
      </c>
      <c r="AJ592">
        <f>IF(Dashboard!$D$3&gt;'Staging Data'!V592,'Staging Data'!V592,Dashboard!D$3)</f>
        <v>0.17199999999999999</v>
      </c>
      <c r="AK592" s="19">
        <f>(100%+Dashboard!$D$4)*'Staging Data'!S592</f>
        <v>1433.1345000000001</v>
      </c>
      <c r="AL592">
        <f>(100%+Dashboard!$D$5)*'Staging Data'!W592</f>
        <v>70.149999999999991</v>
      </c>
    </row>
    <row r="593" spans="1:38" x14ac:dyDescent="0.35">
      <c r="A593" s="6" t="s">
        <v>637</v>
      </c>
      <c r="B593" s="4">
        <v>45857</v>
      </c>
      <c r="C593" s="4">
        <v>45869</v>
      </c>
      <c r="D593" s="4">
        <f>IF(Table1[[#This Row],[RequiredDate]]&lt;Table1[[#This Row],[OrderDate]],Table1[[#This Row],[RequiredDate]],Table1[[#This Row],[OrderDate]])</f>
        <v>45857</v>
      </c>
      <c r="E593" s="4">
        <f>IF(Table1[[#This Row],[RequiredDate]]&gt;Table1[[#This Row],[OrderDate]],Table1[[#This Row],[RequiredDate]],Table1[[#This Row],[OrderDate]])</f>
        <v>45869</v>
      </c>
      <c r="F593" s="21">
        <f>Table1[[#This Row],[New RD]]-Table1[[#This Row],[new   od]]</f>
        <v>12</v>
      </c>
      <c r="G593" s="4">
        <f>IF(Table1[[#This Row],[RequiredDate]]&lt;Table1[[#This Row],[OrderDate]], Table1[[#This Row],[OrderDate]]+7, Table1[[#This Row],[RequiredDate]])</f>
        <v>45869</v>
      </c>
      <c r="H593" s="21">
        <f t="shared" si="100"/>
        <v>12</v>
      </c>
      <c r="I593" s="6" t="str">
        <f>IF(Table1[[#This Row],[New LTD]]&lt;=7,"Yes","No")</f>
        <v>No</v>
      </c>
      <c r="J593" s="6" t="str">
        <f t="shared" si="101"/>
        <v>No</v>
      </c>
      <c r="K593" t="s">
        <v>646</v>
      </c>
      <c r="L593" t="s">
        <v>650</v>
      </c>
      <c r="M593" t="s">
        <v>664</v>
      </c>
      <c r="N593" t="s">
        <v>705</v>
      </c>
      <c r="O593" t="s">
        <v>709</v>
      </c>
      <c r="P593" t="s">
        <v>719</v>
      </c>
      <c r="Q593" t="s">
        <v>733</v>
      </c>
      <c r="R593" t="s">
        <v>1355</v>
      </c>
      <c r="S593" s="6">
        <v>619.64</v>
      </c>
      <c r="T593" s="6">
        <v>861.16</v>
      </c>
      <c r="U593" s="6">
        <f t="shared" si="102"/>
        <v>861.16</v>
      </c>
      <c r="V593" s="8">
        <v>0.113</v>
      </c>
      <c r="W593" s="6">
        <v>14</v>
      </c>
      <c r="X593" s="6">
        <f t="shared" si="103"/>
        <v>10693.88488</v>
      </c>
      <c r="Y593">
        <f t="shared" si="104"/>
        <v>8674.9599999999991</v>
      </c>
      <c r="Z593" s="6">
        <f t="shared" si="105"/>
        <v>2018.9248800000005</v>
      </c>
      <c r="AA593">
        <f t="shared" si="106"/>
        <v>0.18879246435276761</v>
      </c>
      <c r="AB593" t="str">
        <f t="shared" si="107"/>
        <v>7-2025</v>
      </c>
      <c r="AC593" t="str">
        <f t="shared" si="108"/>
        <v>Q3-2025</v>
      </c>
      <c r="AD593" t="str">
        <f t="shared" si="109"/>
        <v>Africa →Kenya →Nairobi</v>
      </c>
      <c r="AE593" t="str">
        <f t="shared" si="99"/>
        <v>Medium</v>
      </c>
      <c r="AF593" t="str">
        <f>TEXT(Table1[[#This Row],[OrderDate]],"MMM")</f>
        <v>Jul</v>
      </c>
      <c r="AG593" t="str">
        <f>TEXT(Table1[[#This Row],[OrderDate]],"YYYY")</f>
        <v>2025</v>
      </c>
      <c r="AI593" s="4">
        <f>IF(Table1[[#This Row],[RequiredDate]]&lt;Table1[[#This Row],[OrderDate]], Table1[[#This Row],[OrderDate]]+7, Table1[[#This Row],[RequiredDate]])</f>
        <v>45869</v>
      </c>
      <c r="AJ593">
        <f>IF(Dashboard!$D$3&gt;'Staging Data'!V593,'Staging Data'!V593,Dashboard!D$3)</f>
        <v>0.113</v>
      </c>
      <c r="AK593" s="19">
        <f>(100%+Dashboard!$D$4)*'Staging Data'!S593</f>
        <v>650.62199999999996</v>
      </c>
      <c r="AL593">
        <f>(100%+Dashboard!$D$5)*'Staging Data'!W593</f>
        <v>16.099999999999998</v>
      </c>
    </row>
    <row r="594" spans="1:38" x14ac:dyDescent="0.35">
      <c r="A594" s="6" t="s">
        <v>33</v>
      </c>
      <c r="B594" s="4">
        <v>45858</v>
      </c>
      <c r="C594" s="4">
        <v>45874</v>
      </c>
      <c r="D594" s="4">
        <f>IF(Table1[[#This Row],[RequiredDate]]&lt;Table1[[#This Row],[OrderDate]],Table1[[#This Row],[RequiredDate]],Table1[[#This Row],[OrderDate]])</f>
        <v>45858</v>
      </c>
      <c r="E594" s="4">
        <f>IF(Table1[[#This Row],[RequiredDate]]&gt;Table1[[#This Row],[OrderDate]],Table1[[#This Row],[RequiredDate]],Table1[[#This Row],[OrderDate]])</f>
        <v>45874</v>
      </c>
      <c r="F594" s="21">
        <f>Table1[[#This Row],[New RD]]-Table1[[#This Row],[new   od]]</f>
        <v>16</v>
      </c>
      <c r="G594" s="4">
        <f>IF(Table1[[#This Row],[RequiredDate]]&lt;Table1[[#This Row],[OrderDate]], Table1[[#This Row],[OrderDate]]+7, Table1[[#This Row],[RequiredDate]])</f>
        <v>45874</v>
      </c>
      <c r="H594" s="21">
        <f t="shared" si="100"/>
        <v>16</v>
      </c>
      <c r="I594" s="6" t="str">
        <f>IF(Table1[[#This Row],[New LTD]]&lt;=7,"Yes","No")</f>
        <v>No</v>
      </c>
      <c r="J594" s="6" t="str">
        <f t="shared" si="101"/>
        <v>No</v>
      </c>
      <c r="K594" t="s">
        <v>648</v>
      </c>
      <c r="L594" t="s">
        <v>655</v>
      </c>
      <c r="M594" t="s">
        <v>672</v>
      </c>
      <c r="N594" t="s">
        <v>706</v>
      </c>
      <c r="O594" t="s">
        <v>709</v>
      </c>
      <c r="P594" t="s">
        <v>715</v>
      </c>
      <c r="Q594" t="s">
        <v>733</v>
      </c>
      <c r="R594" t="s">
        <v>752</v>
      </c>
      <c r="S594" s="6">
        <v>1068.17</v>
      </c>
      <c r="T594" s="6">
        <v>2375.37</v>
      </c>
      <c r="U594" s="6">
        <f t="shared" si="102"/>
        <v>2375.37</v>
      </c>
      <c r="V594" s="8">
        <v>0.109</v>
      </c>
      <c r="W594" s="6">
        <v>18</v>
      </c>
      <c r="X594" s="6">
        <f t="shared" si="103"/>
        <v>38096.18406</v>
      </c>
      <c r="Y594">
        <f t="shared" si="104"/>
        <v>19227.060000000001</v>
      </c>
      <c r="Z594" s="6">
        <f t="shared" si="105"/>
        <v>18869.124059999998</v>
      </c>
      <c r="AA594">
        <f t="shared" si="106"/>
        <v>0.49530220744108822</v>
      </c>
      <c r="AB594" t="str">
        <f t="shared" si="107"/>
        <v>7-2025</v>
      </c>
      <c r="AC594" t="str">
        <f t="shared" si="108"/>
        <v>Q3-2025</v>
      </c>
      <c r="AD594" t="str">
        <f t="shared" si="109"/>
        <v>Americas →Brazil →Brasília</v>
      </c>
      <c r="AE594" t="str">
        <f t="shared" si="99"/>
        <v>High</v>
      </c>
      <c r="AF594" t="str">
        <f>TEXT(Table1[[#This Row],[OrderDate]],"MMM")</f>
        <v>Jul</v>
      </c>
      <c r="AG594" t="str">
        <f>TEXT(Table1[[#This Row],[OrderDate]],"YYYY")</f>
        <v>2025</v>
      </c>
      <c r="AI594" s="4">
        <f>IF(Table1[[#This Row],[RequiredDate]]&lt;Table1[[#This Row],[OrderDate]], Table1[[#This Row],[OrderDate]]+7, Table1[[#This Row],[RequiredDate]])</f>
        <v>45874</v>
      </c>
      <c r="AJ594">
        <f>IF(Dashboard!$D$3&gt;'Staging Data'!V594,'Staging Data'!V594,Dashboard!D$3)</f>
        <v>0.109</v>
      </c>
      <c r="AK594" s="19">
        <f>(100%+Dashboard!$D$4)*'Staging Data'!S594</f>
        <v>1121.5785000000001</v>
      </c>
      <c r="AL594">
        <f>(100%+Dashboard!$D$5)*'Staging Data'!W594</f>
        <v>20.7</v>
      </c>
    </row>
    <row r="595" spans="1:38" x14ac:dyDescent="0.35">
      <c r="A595" s="6" t="s">
        <v>223</v>
      </c>
      <c r="B595" s="4">
        <v>45859</v>
      </c>
      <c r="C595" s="4">
        <v>45876</v>
      </c>
      <c r="D595" s="4">
        <f>IF(Table1[[#This Row],[RequiredDate]]&lt;Table1[[#This Row],[OrderDate]],Table1[[#This Row],[RequiredDate]],Table1[[#This Row],[OrderDate]])</f>
        <v>45859</v>
      </c>
      <c r="E595" s="4">
        <f>IF(Table1[[#This Row],[RequiredDate]]&gt;Table1[[#This Row],[OrderDate]],Table1[[#This Row],[RequiredDate]],Table1[[#This Row],[OrderDate]])</f>
        <v>45876</v>
      </c>
      <c r="F595" s="21">
        <f>Table1[[#This Row],[New RD]]-Table1[[#This Row],[new   od]]</f>
        <v>17</v>
      </c>
      <c r="G595" s="4">
        <f>IF(Table1[[#This Row],[RequiredDate]]&lt;Table1[[#This Row],[OrderDate]], Table1[[#This Row],[OrderDate]]+7, Table1[[#This Row],[RequiredDate]])</f>
        <v>45876</v>
      </c>
      <c r="H595" s="21">
        <f t="shared" si="100"/>
        <v>17</v>
      </c>
      <c r="I595" s="6" t="str">
        <f>IF(Table1[[#This Row],[New LTD]]&lt;=7,"Yes","No")</f>
        <v>No</v>
      </c>
      <c r="J595" s="6" t="str">
        <f t="shared" si="101"/>
        <v>No</v>
      </c>
      <c r="K595" t="s">
        <v>646</v>
      </c>
      <c r="L595" t="s">
        <v>651</v>
      </c>
      <c r="M595" t="s">
        <v>665</v>
      </c>
      <c r="N595" t="s">
        <v>706</v>
      </c>
      <c r="O595" t="s">
        <v>711</v>
      </c>
      <c r="P595" t="s">
        <v>724</v>
      </c>
      <c r="Q595" t="s">
        <v>733</v>
      </c>
      <c r="R595" t="s">
        <v>943</v>
      </c>
      <c r="S595" s="6">
        <v>1204.95</v>
      </c>
      <c r="T595" s="6">
        <v>2065.73</v>
      </c>
      <c r="U595" s="6">
        <f t="shared" si="102"/>
        <v>2065.73</v>
      </c>
      <c r="V595" s="8">
        <v>0.13600000000000001</v>
      </c>
      <c r="W595" s="6">
        <v>10</v>
      </c>
      <c r="X595" s="6">
        <f t="shared" si="103"/>
        <v>17847.907199999998</v>
      </c>
      <c r="Y595">
        <f t="shared" si="104"/>
        <v>12049.5</v>
      </c>
      <c r="Z595" s="6">
        <f t="shared" si="105"/>
        <v>5798.4071999999978</v>
      </c>
      <c r="AA595">
        <f t="shared" si="106"/>
        <v>0.32487882949100039</v>
      </c>
      <c r="AB595" t="str">
        <f t="shared" si="107"/>
        <v>7-2025</v>
      </c>
      <c r="AC595" t="str">
        <f t="shared" si="108"/>
        <v>Q3-2025</v>
      </c>
      <c r="AD595" t="str">
        <f t="shared" si="109"/>
        <v>Africa →Nigeria →Lagos</v>
      </c>
      <c r="AE595" t="str">
        <f t="shared" si="99"/>
        <v>High</v>
      </c>
      <c r="AF595" t="str">
        <f>TEXT(Table1[[#This Row],[OrderDate]],"MMM")</f>
        <v>Jul</v>
      </c>
      <c r="AG595" t="str">
        <f>TEXT(Table1[[#This Row],[OrderDate]],"YYYY")</f>
        <v>2025</v>
      </c>
      <c r="AI595" s="4">
        <f>IF(Table1[[#This Row],[RequiredDate]]&lt;Table1[[#This Row],[OrderDate]], Table1[[#This Row],[OrderDate]]+7, Table1[[#This Row],[RequiredDate]])</f>
        <v>45876</v>
      </c>
      <c r="AJ595">
        <f>IF(Dashboard!$D$3&gt;'Staging Data'!V595,'Staging Data'!V595,Dashboard!D$3)</f>
        <v>0.13600000000000001</v>
      </c>
      <c r="AK595" s="19">
        <f>(100%+Dashboard!$D$4)*'Staging Data'!S595</f>
        <v>1265.1975</v>
      </c>
      <c r="AL595">
        <f>(100%+Dashboard!$D$5)*'Staging Data'!W595</f>
        <v>11.5</v>
      </c>
    </row>
    <row r="596" spans="1:38" x14ac:dyDescent="0.35">
      <c r="A596" s="6" t="s">
        <v>113</v>
      </c>
      <c r="B596" s="4">
        <v>45860</v>
      </c>
      <c r="C596" s="4">
        <v>45887</v>
      </c>
      <c r="D596" s="4">
        <f>IF(Table1[[#This Row],[RequiredDate]]&lt;Table1[[#This Row],[OrderDate]],Table1[[#This Row],[RequiredDate]],Table1[[#This Row],[OrderDate]])</f>
        <v>45860</v>
      </c>
      <c r="E596" s="4">
        <f>IF(Table1[[#This Row],[RequiredDate]]&gt;Table1[[#This Row],[OrderDate]],Table1[[#This Row],[RequiredDate]],Table1[[#This Row],[OrderDate]])</f>
        <v>45887</v>
      </c>
      <c r="F596" s="21">
        <f>Table1[[#This Row],[New RD]]-Table1[[#This Row],[new   od]]</f>
        <v>27</v>
      </c>
      <c r="G596" s="4">
        <f>IF(Table1[[#This Row],[RequiredDate]]&lt;Table1[[#This Row],[OrderDate]], Table1[[#This Row],[OrderDate]]+7, Table1[[#This Row],[RequiredDate]])</f>
        <v>45887</v>
      </c>
      <c r="H596" s="21">
        <f t="shared" si="100"/>
        <v>27</v>
      </c>
      <c r="I596" s="6" t="str">
        <f>IF(Table1[[#This Row],[New LTD]]&lt;=7,"Yes","No")</f>
        <v>No</v>
      </c>
      <c r="J596" s="6" t="str">
        <f t="shared" si="101"/>
        <v>No</v>
      </c>
      <c r="K596" t="s">
        <v>647</v>
      </c>
      <c r="L596" t="s">
        <v>659</v>
      </c>
      <c r="M596" t="s">
        <v>676</v>
      </c>
      <c r="N596" t="s">
        <v>703</v>
      </c>
      <c r="O596" t="s">
        <v>709</v>
      </c>
      <c r="P596" t="s">
        <v>724</v>
      </c>
      <c r="Q596" t="s">
        <v>729</v>
      </c>
      <c r="R596" t="s">
        <v>832</v>
      </c>
      <c r="S596" s="6">
        <v>547.32000000000005</v>
      </c>
      <c r="T596" s="6">
        <v>419.17</v>
      </c>
      <c r="U596" s="6">
        <f t="shared" si="102"/>
        <v>419.17</v>
      </c>
      <c r="V596" s="8">
        <v>9.1999999999999998E-2</v>
      </c>
      <c r="W596" s="6">
        <v>14</v>
      </c>
      <c r="X596" s="6">
        <f t="shared" si="103"/>
        <v>5328.4890400000004</v>
      </c>
      <c r="Y596">
        <f t="shared" si="104"/>
        <v>7662.4800000000005</v>
      </c>
      <c r="Z596" s="6">
        <f t="shared" si="105"/>
        <v>-2333.9909600000001</v>
      </c>
      <c r="AA596">
        <f t="shared" si="106"/>
        <v>-0.43802116181137907</v>
      </c>
      <c r="AB596" t="str">
        <f t="shared" si="107"/>
        <v>7-2025</v>
      </c>
      <c r="AC596" t="str">
        <f t="shared" si="108"/>
        <v>Q3-2025</v>
      </c>
      <c r="AD596" t="str">
        <f t="shared" si="109"/>
        <v>Asia →China →Shenzhen</v>
      </c>
      <c r="AE596" t="str">
        <f t="shared" si="99"/>
        <v>Low</v>
      </c>
      <c r="AF596" t="str">
        <f>TEXT(Table1[[#This Row],[OrderDate]],"MMM")</f>
        <v>Jul</v>
      </c>
      <c r="AG596" t="str">
        <f>TEXT(Table1[[#This Row],[OrderDate]],"YYYY")</f>
        <v>2025</v>
      </c>
      <c r="AI596" s="4">
        <f>IF(Table1[[#This Row],[RequiredDate]]&lt;Table1[[#This Row],[OrderDate]], Table1[[#This Row],[OrderDate]]+7, Table1[[#This Row],[RequiredDate]])</f>
        <v>45887</v>
      </c>
      <c r="AJ596">
        <f>IF(Dashboard!$D$3&gt;'Staging Data'!V596,'Staging Data'!V596,Dashboard!D$3)</f>
        <v>9.1999999999999998E-2</v>
      </c>
      <c r="AK596" s="19">
        <f>(100%+Dashboard!$D$4)*'Staging Data'!S596</f>
        <v>574.68600000000004</v>
      </c>
      <c r="AL596">
        <f>(100%+Dashboard!$D$5)*'Staging Data'!W596</f>
        <v>16.099999999999998</v>
      </c>
    </row>
    <row r="597" spans="1:38" x14ac:dyDescent="0.35">
      <c r="A597" s="6" t="s">
        <v>396</v>
      </c>
      <c r="B597" s="4">
        <v>45861</v>
      </c>
      <c r="C597" s="4">
        <v>45886</v>
      </c>
      <c r="D597" s="4">
        <f>IF(Table1[[#This Row],[RequiredDate]]&lt;Table1[[#This Row],[OrderDate]],Table1[[#This Row],[RequiredDate]],Table1[[#This Row],[OrderDate]])</f>
        <v>45861</v>
      </c>
      <c r="E597" s="4">
        <f>IF(Table1[[#This Row],[RequiredDate]]&gt;Table1[[#This Row],[OrderDate]],Table1[[#This Row],[RequiredDate]],Table1[[#This Row],[OrderDate]])</f>
        <v>45886</v>
      </c>
      <c r="F597" s="21">
        <f>Table1[[#This Row],[New RD]]-Table1[[#This Row],[new   od]]</f>
        <v>25</v>
      </c>
      <c r="G597" s="4">
        <f>IF(Table1[[#This Row],[RequiredDate]]&lt;Table1[[#This Row],[OrderDate]], Table1[[#This Row],[OrderDate]]+7, Table1[[#This Row],[RequiredDate]])</f>
        <v>45886</v>
      </c>
      <c r="H597" s="21">
        <f t="shared" si="100"/>
        <v>25</v>
      </c>
      <c r="I597" s="6" t="str">
        <f>IF(Table1[[#This Row],[New LTD]]&lt;=7,"Yes","No")</f>
        <v>No</v>
      </c>
      <c r="J597" s="6" t="str">
        <f t="shared" si="101"/>
        <v>No</v>
      </c>
      <c r="K597" t="s">
        <v>649</v>
      </c>
      <c r="L597" t="s">
        <v>658</v>
      </c>
      <c r="M597" t="s">
        <v>674</v>
      </c>
      <c r="N597" t="s">
        <v>702</v>
      </c>
      <c r="O597" t="s">
        <v>708</v>
      </c>
      <c r="P597" t="s">
        <v>714</v>
      </c>
      <c r="Q597" t="s">
        <v>728</v>
      </c>
      <c r="R597" t="s">
        <v>1115</v>
      </c>
      <c r="S597" s="6">
        <v>1142.06</v>
      </c>
      <c r="T597" s="6">
        <v>1455</v>
      </c>
      <c r="U597" s="6">
        <f t="shared" si="102"/>
        <v>1455</v>
      </c>
      <c r="V597" s="8">
        <v>7.8E-2</v>
      </c>
      <c r="W597" s="6">
        <v>28</v>
      </c>
      <c r="X597" s="6">
        <f t="shared" si="103"/>
        <v>37562.28</v>
      </c>
      <c r="Y597">
        <f t="shared" si="104"/>
        <v>31977.68</v>
      </c>
      <c r="Z597" s="6">
        <f t="shared" si="105"/>
        <v>5584.5999999999985</v>
      </c>
      <c r="AA597">
        <f t="shared" si="106"/>
        <v>0.1486757459877302</v>
      </c>
      <c r="AB597" t="str">
        <f t="shared" si="107"/>
        <v>7-2025</v>
      </c>
      <c r="AC597" t="str">
        <f t="shared" si="108"/>
        <v>Q3-2025</v>
      </c>
      <c r="AD597" t="str">
        <f t="shared" si="109"/>
        <v>Europe →United Kingdom →Birmingham</v>
      </c>
      <c r="AE597" t="str">
        <f t="shared" si="99"/>
        <v>Medium</v>
      </c>
      <c r="AF597" t="str">
        <f>TEXT(Table1[[#This Row],[OrderDate]],"MMM")</f>
        <v>Jul</v>
      </c>
      <c r="AG597" t="str">
        <f>TEXT(Table1[[#This Row],[OrderDate]],"YYYY")</f>
        <v>2025</v>
      </c>
      <c r="AI597" s="4">
        <f>IF(Table1[[#This Row],[RequiredDate]]&lt;Table1[[#This Row],[OrderDate]], Table1[[#This Row],[OrderDate]]+7, Table1[[#This Row],[RequiredDate]])</f>
        <v>45886</v>
      </c>
      <c r="AJ597">
        <f>IF(Dashboard!$D$3&gt;'Staging Data'!V597,'Staging Data'!V597,Dashboard!D$3)</f>
        <v>7.8E-2</v>
      </c>
      <c r="AK597" s="19">
        <f>(100%+Dashboard!$D$4)*'Staging Data'!S597</f>
        <v>1199.163</v>
      </c>
      <c r="AL597">
        <f>(100%+Dashboard!$D$5)*'Staging Data'!W597</f>
        <v>32.199999999999996</v>
      </c>
    </row>
    <row r="598" spans="1:38" x14ac:dyDescent="0.35">
      <c r="A598" s="6" t="s">
        <v>506</v>
      </c>
      <c r="B598" s="4">
        <v>45861</v>
      </c>
      <c r="C598" s="4">
        <v>45888</v>
      </c>
      <c r="D598" s="4">
        <f>IF(Table1[[#This Row],[RequiredDate]]&lt;Table1[[#This Row],[OrderDate]],Table1[[#This Row],[RequiredDate]],Table1[[#This Row],[OrderDate]])</f>
        <v>45861</v>
      </c>
      <c r="E598" s="4">
        <f>IF(Table1[[#This Row],[RequiredDate]]&gt;Table1[[#This Row],[OrderDate]],Table1[[#This Row],[RequiredDate]],Table1[[#This Row],[OrderDate]])</f>
        <v>45888</v>
      </c>
      <c r="F598" s="21">
        <f>Table1[[#This Row],[New RD]]-Table1[[#This Row],[new   od]]</f>
        <v>27</v>
      </c>
      <c r="G598" s="4">
        <f>IF(Table1[[#This Row],[RequiredDate]]&lt;Table1[[#This Row],[OrderDate]], Table1[[#This Row],[OrderDate]]+7, Table1[[#This Row],[RequiredDate]])</f>
        <v>45888</v>
      </c>
      <c r="H598" s="21">
        <f t="shared" si="100"/>
        <v>27</v>
      </c>
      <c r="I598" s="6" t="str">
        <f>IF(Table1[[#This Row],[New LTD]]&lt;=7,"Yes","No")</f>
        <v>No</v>
      </c>
      <c r="J598" s="6" t="str">
        <f t="shared" si="101"/>
        <v>No</v>
      </c>
      <c r="K598" t="s">
        <v>647</v>
      </c>
      <c r="L598" t="s">
        <v>652</v>
      </c>
      <c r="M598" t="s">
        <v>694</v>
      </c>
      <c r="N598" t="s">
        <v>704</v>
      </c>
      <c r="O598" t="s">
        <v>709</v>
      </c>
      <c r="P598" t="s">
        <v>717</v>
      </c>
      <c r="Q598" t="s">
        <v>733</v>
      </c>
      <c r="R598" t="s">
        <v>1225</v>
      </c>
      <c r="S598" s="6">
        <v>896.09</v>
      </c>
      <c r="T598" s="6">
        <v>744.27</v>
      </c>
      <c r="U598" s="6">
        <f t="shared" si="102"/>
        <v>744.27</v>
      </c>
      <c r="V598" s="8">
        <v>8.3000000000000004E-2</v>
      </c>
      <c r="W598" s="6">
        <v>11</v>
      </c>
      <c r="X598" s="6">
        <f t="shared" si="103"/>
        <v>7507.4514899999995</v>
      </c>
      <c r="Y598">
        <f t="shared" si="104"/>
        <v>9856.99</v>
      </c>
      <c r="Z598" s="6">
        <f t="shared" si="105"/>
        <v>-2349.5385100000003</v>
      </c>
      <c r="AA598">
        <f t="shared" si="106"/>
        <v>-0.31296086469950679</v>
      </c>
      <c r="AB598" t="str">
        <f t="shared" si="107"/>
        <v>7-2025</v>
      </c>
      <c r="AC598" t="str">
        <f t="shared" si="108"/>
        <v>Q3-2025</v>
      </c>
      <c r="AD598" t="str">
        <f t="shared" si="109"/>
        <v>Asia →Japan →Nagoya</v>
      </c>
      <c r="AE598" t="str">
        <f t="shared" si="99"/>
        <v>Low</v>
      </c>
      <c r="AF598" t="str">
        <f>TEXT(Table1[[#This Row],[OrderDate]],"MMM")</f>
        <v>Jul</v>
      </c>
      <c r="AG598" t="str">
        <f>TEXT(Table1[[#This Row],[OrderDate]],"YYYY")</f>
        <v>2025</v>
      </c>
      <c r="AI598" s="4">
        <f>IF(Table1[[#This Row],[RequiredDate]]&lt;Table1[[#This Row],[OrderDate]], Table1[[#This Row],[OrderDate]]+7, Table1[[#This Row],[RequiredDate]])</f>
        <v>45888</v>
      </c>
      <c r="AJ598">
        <f>IF(Dashboard!$D$3&gt;'Staging Data'!V598,'Staging Data'!V598,Dashboard!D$3)</f>
        <v>8.3000000000000004E-2</v>
      </c>
      <c r="AK598" s="19">
        <f>(100%+Dashboard!$D$4)*'Staging Data'!S598</f>
        <v>940.89450000000011</v>
      </c>
      <c r="AL598">
        <f>(100%+Dashboard!$D$5)*'Staging Data'!W598</f>
        <v>12.649999999999999</v>
      </c>
    </row>
    <row r="599" spans="1:38" x14ac:dyDescent="0.35">
      <c r="A599" s="6" t="s">
        <v>47</v>
      </c>
      <c r="B599" s="4">
        <v>45862</v>
      </c>
      <c r="C599" s="4">
        <v>45875</v>
      </c>
      <c r="D599" s="4">
        <f>IF(Table1[[#This Row],[RequiredDate]]&lt;Table1[[#This Row],[OrderDate]],Table1[[#This Row],[RequiredDate]],Table1[[#This Row],[OrderDate]])</f>
        <v>45862</v>
      </c>
      <c r="E599" s="4">
        <f>IF(Table1[[#This Row],[RequiredDate]]&gt;Table1[[#This Row],[OrderDate]],Table1[[#This Row],[RequiredDate]],Table1[[#This Row],[OrderDate]])</f>
        <v>45875</v>
      </c>
      <c r="F599" s="21">
        <f>Table1[[#This Row],[New RD]]-Table1[[#This Row],[new   od]]</f>
        <v>13</v>
      </c>
      <c r="G599" s="4">
        <f>IF(Table1[[#This Row],[RequiredDate]]&lt;Table1[[#This Row],[OrderDate]], Table1[[#This Row],[OrderDate]]+7, Table1[[#This Row],[RequiredDate]])</f>
        <v>45875</v>
      </c>
      <c r="H599" s="21">
        <f t="shared" si="100"/>
        <v>13</v>
      </c>
      <c r="I599" s="6" t="str">
        <f>IF(Table1[[#This Row],[New LTD]]&lt;=7,"Yes","No")</f>
        <v>No</v>
      </c>
      <c r="J599" s="6" t="str">
        <f t="shared" si="101"/>
        <v>No</v>
      </c>
      <c r="K599" t="s">
        <v>646</v>
      </c>
      <c r="L599" t="s">
        <v>661</v>
      </c>
      <c r="M599" t="s">
        <v>682</v>
      </c>
      <c r="N599" t="s">
        <v>702</v>
      </c>
      <c r="O599" t="s">
        <v>709</v>
      </c>
      <c r="P599" t="s">
        <v>726</v>
      </c>
      <c r="Q599" t="s">
        <v>729</v>
      </c>
      <c r="R599" t="s">
        <v>766</v>
      </c>
      <c r="S599" s="6">
        <v>1463.9</v>
      </c>
      <c r="T599" s="6">
        <v>2633.02</v>
      </c>
      <c r="U599" s="6">
        <f t="shared" si="102"/>
        <v>2633.02</v>
      </c>
      <c r="V599" s="8">
        <v>8.4000000000000005E-2</v>
      </c>
      <c r="W599" s="6">
        <v>4</v>
      </c>
      <c r="X599" s="6">
        <f t="shared" si="103"/>
        <v>9647.3852800000004</v>
      </c>
      <c r="Y599">
        <f t="shared" si="104"/>
        <v>5855.6</v>
      </c>
      <c r="Z599" s="6">
        <f t="shared" si="105"/>
        <v>3791.7852800000001</v>
      </c>
      <c r="AA599">
        <f t="shared" si="106"/>
        <v>0.39303761277791527</v>
      </c>
      <c r="AB599" t="str">
        <f t="shared" si="107"/>
        <v>7-2025</v>
      </c>
      <c r="AC599" t="str">
        <f t="shared" si="108"/>
        <v>Q3-2025</v>
      </c>
      <c r="AD599" t="str">
        <f t="shared" si="109"/>
        <v>Africa →South Africa →Johannesburg</v>
      </c>
      <c r="AE599" t="str">
        <f t="shared" si="99"/>
        <v>High</v>
      </c>
      <c r="AF599" t="str">
        <f>TEXT(Table1[[#This Row],[OrderDate]],"MMM")</f>
        <v>Jul</v>
      </c>
      <c r="AG599" t="str">
        <f>TEXT(Table1[[#This Row],[OrderDate]],"YYYY")</f>
        <v>2025</v>
      </c>
      <c r="AI599" s="4">
        <f>IF(Table1[[#This Row],[RequiredDate]]&lt;Table1[[#This Row],[OrderDate]], Table1[[#This Row],[OrderDate]]+7, Table1[[#This Row],[RequiredDate]])</f>
        <v>45875</v>
      </c>
      <c r="AJ599">
        <f>IF(Dashboard!$D$3&gt;'Staging Data'!V599,'Staging Data'!V599,Dashboard!D$3)</f>
        <v>8.4000000000000005E-2</v>
      </c>
      <c r="AK599" s="19">
        <f>(100%+Dashboard!$D$4)*'Staging Data'!S599</f>
        <v>1537.0950000000003</v>
      </c>
      <c r="AL599">
        <f>(100%+Dashboard!$D$5)*'Staging Data'!W599</f>
        <v>4.5999999999999996</v>
      </c>
    </row>
    <row r="600" spans="1:38" x14ac:dyDescent="0.35">
      <c r="A600" s="6" t="s">
        <v>478</v>
      </c>
      <c r="B600" s="4">
        <v>45865</v>
      </c>
      <c r="C600" s="4">
        <v>45884</v>
      </c>
      <c r="D600" s="4">
        <f>IF(Table1[[#This Row],[RequiredDate]]&lt;Table1[[#This Row],[OrderDate]],Table1[[#This Row],[RequiredDate]],Table1[[#This Row],[OrderDate]])</f>
        <v>45865</v>
      </c>
      <c r="E600" s="4">
        <f>IF(Table1[[#This Row],[RequiredDate]]&gt;Table1[[#This Row],[OrderDate]],Table1[[#This Row],[RequiredDate]],Table1[[#This Row],[OrderDate]])</f>
        <v>45884</v>
      </c>
      <c r="F600" s="21">
        <f>Table1[[#This Row],[New RD]]-Table1[[#This Row],[new   od]]</f>
        <v>19</v>
      </c>
      <c r="G600" s="4">
        <f>IF(Table1[[#This Row],[RequiredDate]]&lt;Table1[[#This Row],[OrderDate]], Table1[[#This Row],[OrderDate]]+7, Table1[[#This Row],[RequiredDate]])</f>
        <v>45884</v>
      </c>
      <c r="H600" s="21">
        <f t="shared" si="100"/>
        <v>19</v>
      </c>
      <c r="I600" s="6" t="str">
        <f>IF(Table1[[#This Row],[New LTD]]&lt;=7,"Yes","No")</f>
        <v>No</v>
      </c>
      <c r="J600" s="6" t="str">
        <f t="shared" si="101"/>
        <v>Yes</v>
      </c>
      <c r="K600" t="s">
        <v>647</v>
      </c>
      <c r="L600" t="s">
        <v>652</v>
      </c>
      <c r="M600" t="s">
        <v>689</v>
      </c>
      <c r="N600" t="s">
        <v>705</v>
      </c>
      <c r="O600" t="s">
        <v>709</v>
      </c>
      <c r="P600" t="s">
        <v>713</v>
      </c>
      <c r="Q600" t="s">
        <v>727</v>
      </c>
      <c r="R600" t="s">
        <v>1197</v>
      </c>
      <c r="S600" s="6">
        <v>275.43</v>
      </c>
      <c r="T600" s="6">
        <v>608.36</v>
      </c>
      <c r="U600" s="6">
        <f t="shared" si="102"/>
        <v>608.36</v>
      </c>
      <c r="V600" s="8">
        <v>0.25700000000000001</v>
      </c>
      <c r="W600" s="6">
        <v>4</v>
      </c>
      <c r="X600" s="6">
        <f t="shared" si="103"/>
        <v>1808.04592</v>
      </c>
      <c r="Y600">
        <f t="shared" si="104"/>
        <v>1101.72</v>
      </c>
      <c r="Z600" s="6">
        <f t="shared" si="105"/>
        <v>706.32592</v>
      </c>
      <c r="AA600">
        <f t="shared" si="106"/>
        <v>0.39065706915231446</v>
      </c>
      <c r="AB600" t="str">
        <f t="shared" si="107"/>
        <v>7-2025</v>
      </c>
      <c r="AC600" t="str">
        <f t="shared" si="108"/>
        <v>Q3-2025</v>
      </c>
      <c r="AD600" t="str">
        <f t="shared" si="109"/>
        <v>Asia →Japan →Tokyo</v>
      </c>
      <c r="AE600" t="str">
        <f t="shared" si="99"/>
        <v>Low</v>
      </c>
      <c r="AF600" t="str">
        <f>TEXT(Table1[[#This Row],[OrderDate]],"MMM")</f>
        <v>Jul</v>
      </c>
      <c r="AG600" t="str">
        <f>TEXT(Table1[[#This Row],[OrderDate]],"YYYY")</f>
        <v>2025</v>
      </c>
      <c r="AI600" s="4">
        <f>IF(Table1[[#This Row],[RequiredDate]]&lt;Table1[[#This Row],[OrderDate]], Table1[[#This Row],[OrderDate]]+7, Table1[[#This Row],[RequiredDate]])</f>
        <v>45884</v>
      </c>
      <c r="AJ600">
        <f>IF(Dashboard!$D$3&gt;'Staging Data'!V600,'Staging Data'!V600,Dashboard!D$3)</f>
        <v>0.2</v>
      </c>
      <c r="AK600" s="19">
        <f>(100%+Dashboard!$D$4)*'Staging Data'!S600</f>
        <v>289.20150000000001</v>
      </c>
      <c r="AL600">
        <f>(100%+Dashboard!$D$5)*'Staging Data'!W600</f>
        <v>4.5999999999999996</v>
      </c>
    </row>
    <row r="601" spans="1:38" x14ac:dyDescent="0.35">
      <c r="A601" s="6" t="s">
        <v>111</v>
      </c>
      <c r="B601" s="4">
        <v>45870</v>
      </c>
      <c r="C601" s="4">
        <v>45885</v>
      </c>
      <c r="D601" s="4">
        <f>IF(Table1[[#This Row],[RequiredDate]]&lt;Table1[[#This Row],[OrderDate]],Table1[[#This Row],[RequiredDate]],Table1[[#This Row],[OrderDate]])</f>
        <v>45870</v>
      </c>
      <c r="E601" s="4">
        <f>IF(Table1[[#This Row],[RequiredDate]]&gt;Table1[[#This Row],[OrderDate]],Table1[[#This Row],[RequiredDate]],Table1[[#This Row],[OrderDate]])</f>
        <v>45885</v>
      </c>
      <c r="F601" s="21">
        <f>Table1[[#This Row],[New RD]]-Table1[[#This Row],[new   od]]</f>
        <v>15</v>
      </c>
      <c r="G601" s="4">
        <f>IF(Table1[[#This Row],[RequiredDate]]&lt;Table1[[#This Row],[OrderDate]], Table1[[#This Row],[OrderDate]]+7, Table1[[#This Row],[RequiredDate]])</f>
        <v>45885</v>
      </c>
      <c r="H601" s="21">
        <f t="shared" si="100"/>
        <v>15</v>
      </c>
      <c r="I601" s="6" t="str">
        <f>IF(Table1[[#This Row],[New LTD]]&lt;=7,"Yes","No")</f>
        <v>No</v>
      </c>
      <c r="J601" s="6" t="str">
        <f t="shared" si="101"/>
        <v>No</v>
      </c>
      <c r="K601" t="s">
        <v>647</v>
      </c>
      <c r="L601" t="s">
        <v>654</v>
      </c>
      <c r="M601" t="s">
        <v>1423</v>
      </c>
      <c r="N601" t="s">
        <v>706</v>
      </c>
      <c r="O601" t="s">
        <v>711</v>
      </c>
      <c r="P601" t="s">
        <v>719</v>
      </c>
      <c r="Q601" t="s">
        <v>732</v>
      </c>
      <c r="R601" t="s">
        <v>830</v>
      </c>
      <c r="S601" s="6">
        <v>24.44</v>
      </c>
      <c r="T601" s="6">
        <v>28.69</v>
      </c>
      <c r="U601" s="6">
        <f t="shared" si="102"/>
        <v>28.69</v>
      </c>
      <c r="V601" s="8">
        <v>0.14599999999999999</v>
      </c>
      <c r="W601" s="6">
        <v>6</v>
      </c>
      <c r="X601" s="6">
        <f t="shared" si="103"/>
        <v>147.00756000000001</v>
      </c>
      <c r="Y601">
        <f t="shared" si="104"/>
        <v>146.64000000000001</v>
      </c>
      <c r="Z601" s="6">
        <f t="shared" si="105"/>
        <v>0.36755999999999744</v>
      </c>
      <c r="AA601">
        <f t="shared" si="106"/>
        <v>2.5002795774584476E-3</v>
      </c>
      <c r="AB601" t="str">
        <f t="shared" si="107"/>
        <v>8-2025</v>
      </c>
      <c r="AC601" t="str">
        <f t="shared" si="108"/>
        <v>Q3-2025</v>
      </c>
      <c r="AD601" t="str">
        <f t="shared" si="109"/>
        <v>Asia →India →N/A</v>
      </c>
      <c r="AE601" t="str">
        <f t="shared" si="99"/>
        <v>Low</v>
      </c>
      <c r="AF601" t="str">
        <f>TEXT(Table1[[#This Row],[OrderDate]],"MMM")</f>
        <v>Aug</v>
      </c>
      <c r="AG601" t="str">
        <f>TEXT(Table1[[#This Row],[OrderDate]],"YYYY")</f>
        <v>2025</v>
      </c>
      <c r="AI601" s="4">
        <f>IF(Table1[[#This Row],[RequiredDate]]&lt;Table1[[#This Row],[OrderDate]], Table1[[#This Row],[OrderDate]]+7, Table1[[#This Row],[RequiredDate]])</f>
        <v>45885</v>
      </c>
      <c r="AJ601">
        <f>IF(Dashboard!$D$3&gt;'Staging Data'!V601,'Staging Data'!V601,Dashboard!D$3)</f>
        <v>0.14599999999999999</v>
      </c>
      <c r="AK601" s="19">
        <f>(100%+Dashboard!$D$4)*'Staging Data'!S601</f>
        <v>25.662000000000003</v>
      </c>
      <c r="AL601">
        <f>(100%+Dashboard!$D$5)*'Staging Data'!W601</f>
        <v>6.8999999999999995</v>
      </c>
    </row>
    <row r="602" spans="1:38" x14ac:dyDescent="0.35">
      <c r="A602" s="6" t="s">
        <v>174</v>
      </c>
      <c r="B602" s="4">
        <v>45870</v>
      </c>
      <c r="C602" s="4">
        <v>45890</v>
      </c>
      <c r="D602" s="4">
        <f>IF(Table1[[#This Row],[RequiredDate]]&lt;Table1[[#This Row],[OrderDate]],Table1[[#This Row],[RequiredDate]],Table1[[#This Row],[OrderDate]])</f>
        <v>45870</v>
      </c>
      <c r="E602" s="4">
        <f>IF(Table1[[#This Row],[RequiredDate]]&gt;Table1[[#This Row],[OrderDate]],Table1[[#This Row],[RequiredDate]],Table1[[#This Row],[OrderDate]])</f>
        <v>45890</v>
      </c>
      <c r="F602" s="21">
        <f>Table1[[#This Row],[New RD]]-Table1[[#This Row],[new   od]]</f>
        <v>20</v>
      </c>
      <c r="G602" s="4">
        <f>IF(Table1[[#This Row],[RequiredDate]]&lt;Table1[[#This Row],[OrderDate]], Table1[[#This Row],[OrderDate]]+7, Table1[[#This Row],[RequiredDate]])</f>
        <v>45890</v>
      </c>
      <c r="H602" s="21">
        <f t="shared" si="100"/>
        <v>20</v>
      </c>
      <c r="I602" s="6" t="str">
        <f>IF(Table1[[#This Row],[New LTD]]&lt;=7,"Yes","No")</f>
        <v>No</v>
      </c>
      <c r="J602" s="6" t="str">
        <f t="shared" si="101"/>
        <v>No</v>
      </c>
      <c r="K602" t="s">
        <v>647</v>
      </c>
      <c r="L602" t="s">
        <v>659</v>
      </c>
      <c r="M602" t="s">
        <v>685</v>
      </c>
      <c r="N602" t="s">
        <v>701</v>
      </c>
      <c r="O602" t="s">
        <v>711</v>
      </c>
      <c r="P602" t="s">
        <v>714</v>
      </c>
      <c r="Q602" t="s">
        <v>730</v>
      </c>
      <c r="R602" t="s">
        <v>893</v>
      </c>
      <c r="S602" s="6">
        <v>1220.4100000000001</v>
      </c>
      <c r="T602" s="6">
        <v>2552.2199999999998</v>
      </c>
      <c r="U602" s="6">
        <f t="shared" si="102"/>
        <v>2552.2199999999998</v>
      </c>
      <c r="V602" s="8">
        <v>0.18099999999999999</v>
      </c>
      <c r="W602" s="6">
        <v>14</v>
      </c>
      <c r="X602" s="6">
        <f t="shared" si="103"/>
        <v>29263.754519999995</v>
      </c>
      <c r="Y602">
        <f t="shared" si="104"/>
        <v>17085.740000000002</v>
      </c>
      <c r="Z602" s="6">
        <f t="shared" si="105"/>
        <v>12178.014519999993</v>
      </c>
      <c r="AA602">
        <f t="shared" si="106"/>
        <v>0.41614668793360271</v>
      </c>
      <c r="AB602" t="str">
        <f t="shared" si="107"/>
        <v>8-2025</v>
      </c>
      <c r="AC602" t="str">
        <f t="shared" si="108"/>
        <v>Q3-2025</v>
      </c>
      <c r="AD602" t="str">
        <f t="shared" si="109"/>
        <v>Asia →China →Shanghai</v>
      </c>
      <c r="AE602" t="str">
        <f t="shared" ref="AE602:AE633" si="110">IF(T602&lt;=LowerCutOff,"Low", IF(T602&lt;=HigherCutOff,"Medium","High"))</f>
        <v>High</v>
      </c>
      <c r="AF602" t="str">
        <f>TEXT(Table1[[#This Row],[OrderDate]],"MMM")</f>
        <v>Aug</v>
      </c>
      <c r="AG602" t="str">
        <f>TEXT(Table1[[#This Row],[OrderDate]],"YYYY")</f>
        <v>2025</v>
      </c>
      <c r="AI602" s="4">
        <f>IF(Table1[[#This Row],[RequiredDate]]&lt;Table1[[#This Row],[OrderDate]], Table1[[#This Row],[OrderDate]]+7, Table1[[#This Row],[RequiredDate]])</f>
        <v>45890</v>
      </c>
      <c r="AJ602">
        <f>IF(Dashboard!$D$3&gt;'Staging Data'!V602,'Staging Data'!V602,Dashboard!D$3)</f>
        <v>0.18099999999999999</v>
      </c>
      <c r="AK602" s="19">
        <f>(100%+Dashboard!$D$4)*'Staging Data'!S602</f>
        <v>1281.4305000000002</v>
      </c>
      <c r="AL602">
        <f>(100%+Dashboard!$D$5)*'Staging Data'!W602</f>
        <v>16.099999999999998</v>
      </c>
    </row>
    <row r="603" spans="1:38" x14ac:dyDescent="0.35">
      <c r="A603" s="6" t="s">
        <v>256</v>
      </c>
      <c r="B603" s="4">
        <v>45871</v>
      </c>
      <c r="C603" s="4">
        <v>45877</v>
      </c>
      <c r="D603" s="4">
        <f>IF(Table1[[#This Row],[RequiredDate]]&lt;Table1[[#This Row],[OrderDate]],Table1[[#This Row],[RequiredDate]],Table1[[#This Row],[OrderDate]])</f>
        <v>45871</v>
      </c>
      <c r="E603" s="4">
        <f>IF(Table1[[#This Row],[RequiredDate]]&gt;Table1[[#This Row],[OrderDate]],Table1[[#This Row],[RequiredDate]],Table1[[#This Row],[OrderDate]])</f>
        <v>45877</v>
      </c>
      <c r="F603" s="21">
        <f>Table1[[#This Row],[New RD]]-Table1[[#This Row],[new   od]]</f>
        <v>6</v>
      </c>
      <c r="G603" s="4">
        <f>IF(Table1[[#This Row],[RequiredDate]]&lt;Table1[[#This Row],[OrderDate]], Table1[[#This Row],[OrderDate]]+7, Table1[[#This Row],[RequiredDate]])</f>
        <v>45877</v>
      </c>
      <c r="H603" s="21">
        <f t="shared" si="100"/>
        <v>6</v>
      </c>
      <c r="I603" s="6" t="str">
        <f>IF(Table1[[#This Row],[New LTD]]&lt;=7,"Yes","No")</f>
        <v>Yes</v>
      </c>
      <c r="J603" s="6" t="str">
        <f t="shared" si="101"/>
        <v>No</v>
      </c>
      <c r="K603" t="s">
        <v>647</v>
      </c>
      <c r="L603" t="s">
        <v>652</v>
      </c>
      <c r="M603" t="s">
        <v>666</v>
      </c>
      <c r="N603" t="s">
        <v>704</v>
      </c>
      <c r="O603" t="s">
        <v>711</v>
      </c>
      <c r="P603" t="s">
        <v>725</v>
      </c>
      <c r="Q603" t="s">
        <v>731</v>
      </c>
      <c r="R603" t="s">
        <v>976</v>
      </c>
      <c r="S603" s="6">
        <v>1225.94</v>
      </c>
      <c r="T603" s="6">
        <v>1793.08</v>
      </c>
      <c r="U603" s="6">
        <f t="shared" si="102"/>
        <v>1793.08</v>
      </c>
      <c r="V603" s="8">
        <v>0.13600000000000001</v>
      </c>
      <c r="W603" s="6">
        <v>22</v>
      </c>
      <c r="X603" s="6">
        <f t="shared" si="103"/>
        <v>34082.864639999993</v>
      </c>
      <c r="Y603">
        <f t="shared" si="104"/>
        <v>26970.68</v>
      </c>
      <c r="Z603" s="6">
        <f t="shared" si="105"/>
        <v>7112.1846399999922</v>
      </c>
      <c r="AA603">
        <f t="shared" si="106"/>
        <v>0.20867332353434462</v>
      </c>
      <c r="AB603" t="str">
        <f t="shared" si="107"/>
        <v>8-2025</v>
      </c>
      <c r="AC603" t="str">
        <f t="shared" si="108"/>
        <v>Q3-2025</v>
      </c>
      <c r="AD603" t="str">
        <f t="shared" si="109"/>
        <v>Asia →Japan →Osaka</v>
      </c>
      <c r="AE603" t="str">
        <f t="shared" si="110"/>
        <v>High</v>
      </c>
      <c r="AF603" t="str">
        <f>TEXT(Table1[[#This Row],[OrderDate]],"MMM")</f>
        <v>Aug</v>
      </c>
      <c r="AG603" t="str">
        <f>TEXT(Table1[[#This Row],[OrderDate]],"YYYY")</f>
        <v>2025</v>
      </c>
      <c r="AI603" s="4">
        <f>IF(Table1[[#This Row],[RequiredDate]]&lt;Table1[[#This Row],[OrderDate]], Table1[[#This Row],[OrderDate]]+7, Table1[[#This Row],[RequiredDate]])</f>
        <v>45877</v>
      </c>
      <c r="AJ603">
        <f>IF(Dashboard!$D$3&gt;'Staging Data'!V603,'Staging Data'!V603,Dashboard!D$3)</f>
        <v>0.13600000000000001</v>
      </c>
      <c r="AK603" s="19">
        <f>(100%+Dashboard!$D$4)*'Staging Data'!S603</f>
        <v>1287.2370000000001</v>
      </c>
      <c r="AL603">
        <f>(100%+Dashboard!$D$5)*'Staging Data'!W603</f>
        <v>25.299999999999997</v>
      </c>
    </row>
    <row r="604" spans="1:38" x14ac:dyDescent="0.35">
      <c r="A604" s="6" t="s">
        <v>590</v>
      </c>
      <c r="B604" s="4">
        <v>45872</v>
      </c>
      <c r="C604" s="4">
        <v>45885</v>
      </c>
      <c r="D604" s="4">
        <f>IF(Table1[[#This Row],[RequiredDate]]&lt;Table1[[#This Row],[OrderDate]],Table1[[#This Row],[RequiredDate]],Table1[[#This Row],[OrderDate]])</f>
        <v>45872</v>
      </c>
      <c r="E604" s="4">
        <f>IF(Table1[[#This Row],[RequiredDate]]&gt;Table1[[#This Row],[OrderDate]],Table1[[#This Row],[RequiredDate]],Table1[[#This Row],[OrderDate]])</f>
        <v>45885</v>
      </c>
      <c r="F604" s="21">
        <f>Table1[[#This Row],[New RD]]-Table1[[#This Row],[new   od]]</f>
        <v>13</v>
      </c>
      <c r="G604" s="4">
        <f>IF(Table1[[#This Row],[RequiredDate]]&lt;Table1[[#This Row],[OrderDate]], Table1[[#This Row],[OrderDate]]+7, Table1[[#This Row],[RequiredDate]])</f>
        <v>45885</v>
      </c>
      <c r="H604" s="21">
        <f t="shared" si="100"/>
        <v>13</v>
      </c>
      <c r="I604" s="6" t="str">
        <f>IF(Table1[[#This Row],[New LTD]]&lt;=7,"Yes","No")</f>
        <v>No</v>
      </c>
      <c r="J604" s="6" t="str">
        <f t="shared" si="101"/>
        <v>No</v>
      </c>
      <c r="K604" t="s">
        <v>648</v>
      </c>
      <c r="L604" t="s">
        <v>653</v>
      </c>
      <c r="M604" t="s">
        <v>681</v>
      </c>
      <c r="N604" t="s">
        <v>706</v>
      </c>
      <c r="O604" t="s">
        <v>710</v>
      </c>
      <c r="P604" t="s">
        <v>719</v>
      </c>
      <c r="Q604" t="s">
        <v>729</v>
      </c>
      <c r="R604" t="s">
        <v>1308</v>
      </c>
      <c r="S604" s="6">
        <v>698.66</v>
      </c>
      <c r="T604" s="6">
        <v>868.62</v>
      </c>
      <c r="U604" s="6">
        <f t="shared" si="102"/>
        <v>868.62</v>
      </c>
      <c r="V604" s="8">
        <v>7.1999999999999995E-2</v>
      </c>
      <c r="W604" s="6">
        <v>15</v>
      </c>
      <c r="X604" s="6">
        <f t="shared" si="103"/>
        <v>12091.190399999999</v>
      </c>
      <c r="Y604">
        <f t="shared" si="104"/>
        <v>10479.9</v>
      </c>
      <c r="Z604" s="6">
        <f t="shared" si="105"/>
        <v>1611.2903999999999</v>
      </c>
      <c r="AA604">
        <f t="shared" si="106"/>
        <v>0.13326151906432637</v>
      </c>
      <c r="AB604" t="str">
        <f t="shared" si="107"/>
        <v>8-2025</v>
      </c>
      <c r="AC604" t="str">
        <f t="shared" si="108"/>
        <v>Q3-2025</v>
      </c>
      <c r="AD604" t="str">
        <f t="shared" si="109"/>
        <v>Americas →Canada →Montreal</v>
      </c>
      <c r="AE604" t="str">
        <f t="shared" si="110"/>
        <v>Medium</v>
      </c>
      <c r="AF604" t="str">
        <f>TEXT(Table1[[#This Row],[OrderDate]],"MMM")</f>
        <v>Aug</v>
      </c>
      <c r="AG604" t="str">
        <f>TEXT(Table1[[#This Row],[OrderDate]],"YYYY")</f>
        <v>2025</v>
      </c>
      <c r="AI604" s="4">
        <f>IF(Table1[[#This Row],[RequiredDate]]&lt;Table1[[#This Row],[OrderDate]], Table1[[#This Row],[OrderDate]]+7, Table1[[#This Row],[RequiredDate]])</f>
        <v>45885</v>
      </c>
      <c r="AJ604">
        <f>IF(Dashboard!$D$3&gt;'Staging Data'!V604,'Staging Data'!V604,Dashboard!D$3)</f>
        <v>7.1999999999999995E-2</v>
      </c>
      <c r="AK604" s="19">
        <f>(100%+Dashboard!$D$4)*'Staging Data'!S604</f>
        <v>733.59299999999996</v>
      </c>
      <c r="AL604">
        <f>(100%+Dashboard!$D$5)*'Staging Data'!W604</f>
        <v>17.25</v>
      </c>
    </row>
    <row r="605" spans="1:38" x14ac:dyDescent="0.35">
      <c r="A605" s="6" t="s">
        <v>142</v>
      </c>
      <c r="B605" s="4">
        <v>45874</v>
      </c>
      <c r="C605" s="4">
        <v>45883</v>
      </c>
      <c r="D605" s="4">
        <f>IF(Table1[[#This Row],[RequiredDate]]&lt;Table1[[#This Row],[OrderDate]],Table1[[#This Row],[RequiredDate]],Table1[[#This Row],[OrderDate]])</f>
        <v>45874</v>
      </c>
      <c r="E605" s="4">
        <f>IF(Table1[[#This Row],[RequiredDate]]&gt;Table1[[#This Row],[OrderDate]],Table1[[#This Row],[RequiredDate]],Table1[[#This Row],[OrderDate]])</f>
        <v>45883</v>
      </c>
      <c r="F605" s="21">
        <f>Table1[[#This Row],[New RD]]-Table1[[#This Row],[new   od]]</f>
        <v>9</v>
      </c>
      <c r="G605" s="4">
        <f>IF(Table1[[#This Row],[RequiredDate]]&lt;Table1[[#This Row],[OrderDate]], Table1[[#This Row],[OrderDate]]+7, Table1[[#This Row],[RequiredDate]])</f>
        <v>45883</v>
      </c>
      <c r="H605" s="21">
        <f t="shared" si="100"/>
        <v>9</v>
      </c>
      <c r="I605" s="6" t="str">
        <f>IF(Table1[[#This Row],[New LTD]]&lt;=7,"Yes","No")</f>
        <v>No</v>
      </c>
      <c r="J605" s="6" t="str">
        <f t="shared" si="101"/>
        <v>No</v>
      </c>
      <c r="K605" t="s">
        <v>649</v>
      </c>
      <c r="L605" t="s">
        <v>658</v>
      </c>
      <c r="M605" t="s">
        <v>683</v>
      </c>
      <c r="N605" t="s">
        <v>703</v>
      </c>
      <c r="O605" t="s">
        <v>711</v>
      </c>
      <c r="P605" t="s">
        <v>718</v>
      </c>
      <c r="Q605" t="s">
        <v>727</v>
      </c>
      <c r="R605" t="s">
        <v>861</v>
      </c>
      <c r="S605" s="6">
        <v>41.76</v>
      </c>
      <c r="T605" s="6">
        <v>45.19</v>
      </c>
      <c r="U605" s="6">
        <f t="shared" si="102"/>
        <v>45.19</v>
      </c>
      <c r="V605" s="8">
        <v>0.17899999999999999</v>
      </c>
      <c r="W605" s="6">
        <v>23</v>
      </c>
      <c r="X605" s="6">
        <f t="shared" si="103"/>
        <v>853.32276999999988</v>
      </c>
      <c r="Y605">
        <f t="shared" si="104"/>
        <v>960.4799999999999</v>
      </c>
      <c r="Z605" s="6">
        <f t="shared" si="105"/>
        <v>-107.15723000000003</v>
      </c>
      <c r="AA605">
        <f t="shared" si="106"/>
        <v>-0.12557643340514638</v>
      </c>
      <c r="AB605" t="str">
        <f t="shared" si="107"/>
        <v>8-2025</v>
      </c>
      <c r="AC605" t="str">
        <f t="shared" si="108"/>
        <v>Q3-2025</v>
      </c>
      <c r="AD605" t="str">
        <f t="shared" si="109"/>
        <v>Europe →United Kingdom →London</v>
      </c>
      <c r="AE605" t="str">
        <f t="shared" si="110"/>
        <v>Low</v>
      </c>
      <c r="AF605" t="str">
        <f>TEXT(Table1[[#This Row],[OrderDate]],"MMM")</f>
        <v>Aug</v>
      </c>
      <c r="AG605" t="str">
        <f>TEXT(Table1[[#This Row],[OrderDate]],"YYYY")</f>
        <v>2025</v>
      </c>
      <c r="AI605" s="4">
        <f>IF(Table1[[#This Row],[RequiredDate]]&lt;Table1[[#This Row],[OrderDate]], Table1[[#This Row],[OrderDate]]+7, Table1[[#This Row],[RequiredDate]])</f>
        <v>45883</v>
      </c>
      <c r="AJ605">
        <f>IF(Dashboard!$D$3&gt;'Staging Data'!V605,'Staging Data'!V605,Dashboard!D$3)</f>
        <v>0.17899999999999999</v>
      </c>
      <c r="AK605" s="19">
        <f>(100%+Dashboard!$D$4)*'Staging Data'!S605</f>
        <v>43.847999999999999</v>
      </c>
      <c r="AL605">
        <f>(100%+Dashboard!$D$5)*'Staging Data'!W605</f>
        <v>26.45</v>
      </c>
    </row>
    <row r="606" spans="1:38" x14ac:dyDescent="0.35">
      <c r="A606" s="6" t="s">
        <v>529</v>
      </c>
      <c r="B606" s="4">
        <v>45874</v>
      </c>
      <c r="C606" s="4">
        <v>45897</v>
      </c>
      <c r="D606" s="4">
        <f>IF(Table1[[#This Row],[RequiredDate]]&lt;Table1[[#This Row],[OrderDate]],Table1[[#This Row],[RequiredDate]],Table1[[#This Row],[OrderDate]])</f>
        <v>45874</v>
      </c>
      <c r="E606" s="4">
        <f>IF(Table1[[#This Row],[RequiredDate]]&gt;Table1[[#This Row],[OrderDate]],Table1[[#This Row],[RequiredDate]],Table1[[#This Row],[OrderDate]])</f>
        <v>45897</v>
      </c>
      <c r="F606" s="21">
        <f>Table1[[#This Row],[New RD]]-Table1[[#This Row],[new   od]]</f>
        <v>23</v>
      </c>
      <c r="G606" s="4">
        <f>IF(Table1[[#This Row],[RequiredDate]]&lt;Table1[[#This Row],[OrderDate]], Table1[[#This Row],[OrderDate]]+7, Table1[[#This Row],[RequiredDate]])</f>
        <v>45897</v>
      </c>
      <c r="H606" s="21">
        <f t="shared" si="100"/>
        <v>23</v>
      </c>
      <c r="I606" s="6" t="str">
        <f>IF(Table1[[#This Row],[New LTD]]&lt;=7,"Yes","No")</f>
        <v>No</v>
      </c>
      <c r="J606" s="6" t="str">
        <f t="shared" si="101"/>
        <v>No</v>
      </c>
      <c r="K606" t="s">
        <v>647</v>
      </c>
      <c r="L606" t="s">
        <v>654</v>
      </c>
      <c r="M606" t="s">
        <v>691</v>
      </c>
      <c r="N606" t="s">
        <v>703</v>
      </c>
      <c r="O606" t="s">
        <v>710</v>
      </c>
      <c r="P606" t="s">
        <v>725</v>
      </c>
      <c r="Q606" t="s">
        <v>731</v>
      </c>
      <c r="R606" t="s">
        <v>1248</v>
      </c>
      <c r="S606" s="6">
        <v>638.54</v>
      </c>
      <c r="T606" s="6">
        <v>987.24</v>
      </c>
      <c r="U606" s="6">
        <f t="shared" si="102"/>
        <v>987.24</v>
      </c>
      <c r="V606" s="8">
        <v>0</v>
      </c>
      <c r="W606" s="6">
        <v>11</v>
      </c>
      <c r="X606" s="6">
        <f t="shared" si="103"/>
        <v>10859.64</v>
      </c>
      <c r="Y606">
        <f t="shared" si="104"/>
        <v>7023.94</v>
      </c>
      <c r="Z606" s="6">
        <f t="shared" si="105"/>
        <v>3835.7</v>
      </c>
      <c r="AA606">
        <f t="shared" si="106"/>
        <v>0.35320692030306716</v>
      </c>
      <c r="AB606" t="str">
        <f t="shared" si="107"/>
        <v>8-2025</v>
      </c>
      <c r="AC606" t="str">
        <f t="shared" si="108"/>
        <v>Q3-2025</v>
      </c>
      <c r="AD606" t="str">
        <f t="shared" si="109"/>
        <v>Asia →India →Mumbai</v>
      </c>
      <c r="AE606" t="str">
        <f t="shared" si="110"/>
        <v>Medium</v>
      </c>
      <c r="AF606" t="str">
        <f>TEXT(Table1[[#This Row],[OrderDate]],"MMM")</f>
        <v>Aug</v>
      </c>
      <c r="AG606" t="str">
        <f>TEXT(Table1[[#This Row],[OrderDate]],"YYYY")</f>
        <v>2025</v>
      </c>
      <c r="AI606" s="4">
        <f>IF(Table1[[#This Row],[RequiredDate]]&lt;Table1[[#This Row],[OrderDate]], Table1[[#This Row],[OrderDate]]+7, Table1[[#This Row],[RequiredDate]])</f>
        <v>45897</v>
      </c>
      <c r="AJ606">
        <f>IF(Dashboard!$D$3&gt;'Staging Data'!V606,'Staging Data'!V606,Dashboard!D$3)</f>
        <v>0</v>
      </c>
      <c r="AK606" s="19">
        <f>(100%+Dashboard!$D$4)*'Staging Data'!S606</f>
        <v>670.46699999999998</v>
      </c>
      <c r="AL606">
        <f>(100%+Dashboard!$D$5)*'Staging Data'!W606</f>
        <v>12.649999999999999</v>
      </c>
    </row>
    <row r="607" spans="1:38" x14ac:dyDescent="0.35">
      <c r="A607" s="6" t="s">
        <v>565</v>
      </c>
      <c r="B607" s="4">
        <v>45875</v>
      </c>
      <c r="C607" s="4">
        <v>45892</v>
      </c>
      <c r="D607" s="4">
        <f>IF(Table1[[#This Row],[RequiredDate]]&lt;Table1[[#This Row],[OrderDate]],Table1[[#This Row],[RequiredDate]],Table1[[#This Row],[OrderDate]])</f>
        <v>45875</v>
      </c>
      <c r="E607" s="4">
        <f>IF(Table1[[#This Row],[RequiredDate]]&gt;Table1[[#This Row],[OrderDate]],Table1[[#This Row],[RequiredDate]],Table1[[#This Row],[OrderDate]])</f>
        <v>45892</v>
      </c>
      <c r="F607" s="21">
        <f>Table1[[#This Row],[New RD]]-Table1[[#This Row],[new   od]]</f>
        <v>17</v>
      </c>
      <c r="G607" s="4">
        <f>IF(Table1[[#This Row],[RequiredDate]]&lt;Table1[[#This Row],[OrderDate]], Table1[[#This Row],[OrderDate]]+7, Table1[[#This Row],[RequiredDate]])</f>
        <v>45892</v>
      </c>
      <c r="H607" s="21">
        <f t="shared" si="100"/>
        <v>17</v>
      </c>
      <c r="I607" s="6" t="str">
        <f>IF(Table1[[#This Row],[New LTD]]&lt;=7,"Yes","No")</f>
        <v>No</v>
      </c>
      <c r="J607" s="6" t="str">
        <f t="shared" si="101"/>
        <v>Yes</v>
      </c>
      <c r="K607" t="s">
        <v>648</v>
      </c>
      <c r="L607" t="s">
        <v>655</v>
      </c>
      <c r="M607" t="s">
        <v>672</v>
      </c>
      <c r="N607" t="s">
        <v>704</v>
      </c>
      <c r="O607" t="s">
        <v>710</v>
      </c>
      <c r="P607" t="s">
        <v>720</v>
      </c>
      <c r="Q607" t="s">
        <v>732</v>
      </c>
      <c r="R607" t="s">
        <v>1283</v>
      </c>
      <c r="S607" s="6">
        <v>86.64</v>
      </c>
      <c r="T607" s="6">
        <v>213.06</v>
      </c>
      <c r="U607" s="6">
        <f t="shared" si="102"/>
        <v>213.06</v>
      </c>
      <c r="V607" s="8">
        <v>0.21199999999999999</v>
      </c>
      <c r="W607" s="6">
        <v>11</v>
      </c>
      <c r="X607" s="6">
        <f t="shared" si="103"/>
        <v>1846.8040799999999</v>
      </c>
      <c r="Y607">
        <f t="shared" si="104"/>
        <v>953.04</v>
      </c>
      <c r="Z607" s="6">
        <f t="shared" si="105"/>
        <v>893.76407999999992</v>
      </c>
      <c r="AA607">
        <f t="shared" si="106"/>
        <v>0.48395175735154322</v>
      </c>
      <c r="AB607" t="str">
        <f t="shared" si="107"/>
        <v>8-2025</v>
      </c>
      <c r="AC607" t="str">
        <f t="shared" si="108"/>
        <v>Q3-2025</v>
      </c>
      <c r="AD607" t="str">
        <f t="shared" si="109"/>
        <v>Americas →Brazil →Brasília</v>
      </c>
      <c r="AE607" t="str">
        <f t="shared" si="110"/>
        <v>Low</v>
      </c>
      <c r="AF607" t="str">
        <f>TEXT(Table1[[#This Row],[OrderDate]],"MMM")</f>
        <v>Aug</v>
      </c>
      <c r="AG607" t="str">
        <f>TEXT(Table1[[#This Row],[OrderDate]],"YYYY")</f>
        <v>2025</v>
      </c>
      <c r="AI607" s="4">
        <f>IF(Table1[[#This Row],[RequiredDate]]&lt;Table1[[#This Row],[OrderDate]], Table1[[#This Row],[OrderDate]]+7, Table1[[#This Row],[RequiredDate]])</f>
        <v>45892</v>
      </c>
      <c r="AJ607">
        <f>IF(Dashboard!$D$3&gt;'Staging Data'!V607,'Staging Data'!V607,Dashboard!D$3)</f>
        <v>0.2</v>
      </c>
      <c r="AK607" s="19">
        <f>(100%+Dashboard!$D$4)*'Staging Data'!S607</f>
        <v>90.972000000000008</v>
      </c>
      <c r="AL607">
        <f>(100%+Dashboard!$D$5)*'Staging Data'!W607</f>
        <v>12.649999999999999</v>
      </c>
    </row>
    <row r="608" spans="1:38" x14ac:dyDescent="0.35">
      <c r="A608" s="6" t="s">
        <v>102</v>
      </c>
      <c r="B608" s="4">
        <v>45876</v>
      </c>
      <c r="C608" s="4">
        <v>45888</v>
      </c>
      <c r="D608" s="4">
        <f>IF(Table1[[#This Row],[RequiredDate]]&lt;Table1[[#This Row],[OrderDate]],Table1[[#This Row],[RequiredDate]],Table1[[#This Row],[OrderDate]])</f>
        <v>45876</v>
      </c>
      <c r="E608" s="4">
        <f>IF(Table1[[#This Row],[RequiredDate]]&gt;Table1[[#This Row],[OrderDate]],Table1[[#This Row],[RequiredDate]],Table1[[#This Row],[OrderDate]])</f>
        <v>45888</v>
      </c>
      <c r="F608" s="21">
        <f>Table1[[#This Row],[New RD]]-Table1[[#This Row],[new   od]]</f>
        <v>12</v>
      </c>
      <c r="G608" s="4">
        <f>IF(Table1[[#This Row],[RequiredDate]]&lt;Table1[[#This Row],[OrderDate]], Table1[[#This Row],[OrderDate]]+7, Table1[[#This Row],[RequiredDate]])</f>
        <v>45888</v>
      </c>
      <c r="H608" s="21">
        <f t="shared" si="100"/>
        <v>12</v>
      </c>
      <c r="I608" s="6" t="str">
        <f>IF(Table1[[#This Row],[New LTD]]&lt;=7,"Yes","No")</f>
        <v>No</v>
      </c>
      <c r="J608" s="6" t="str">
        <f t="shared" si="101"/>
        <v>No</v>
      </c>
      <c r="K608" t="s">
        <v>646</v>
      </c>
      <c r="L608" t="s">
        <v>650</v>
      </c>
      <c r="M608" t="s">
        <v>678</v>
      </c>
      <c r="N608" t="s">
        <v>701</v>
      </c>
      <c r="O608" t="s">
        <v>1423</v>
      </c>
      <c r="P608" t="s">
        <v>724</v>
      </c>
      <c r="Q608" t="s">
        <v>727</v>
      </c>
      <c r="R608" t="s">
        <v>821</v>
      </c>
      <c r="S608" s="6">
        <v>601.51</v>
      </c>
      <c r="T608" s="6">
        <v>679.35</v>
      </c>
      <c r="U608" s="6">
        <f t="shared" si="102"/>
        <v>679.35</v>
      </c>
      <c r="V608" s="8">
        <v>0.188</v>
      </c>
      <c r="W608" s="6">
        <v>3</v>
      </c>
      <c r="X608" s="6">
        <f t="shared" si="103"/>
        <v>1654.8966000000003</v>
      </c>
      <c r="Y608">
        <f t="shared" si="104"/>
        <v>1804.53</v>
      </c>
      <c r="Z608" s="6">
        <f t="shared" si="105"/>
        <v>-149.63339999999971</v>
      </c>
      <c r="AA608">
        <f t="shared" si="106"/>
        <v>-9.0418579626062243E-2</v>
      </c>
      <c r="AB608" t="str">
        <f t="shared" si="107"/>
        <v>8-2025</v>
      </c>
      <c r="AC608" t="str">
        <f t="shared" si="108"/>
        <v>Q3-2025</v>
      </c>
      <c r="AD608" t="str">
        <f t="shared" si="109"/>
        <v>Africa →Kenya →Nakuru</v>
      </c>
      <c r="AE608" t="str">
        <f t="shared" si="110"/>
        <v>Low</v>
      </c>
      <c r="AF608" t="str">
        <f>TEXT(Table1[[#This Row],[OrderDate]],"MMM")</f>
        <v>Aug</v>
      </c>
      <c r="AG608" t="str">
        <f>TEXT(Table1[[#This Row],[OrderDate]],"YYYY")</f>
        <v>2025</v>
      </c>
      <c r="AI608" s="4">
        <f>IF(Table1[[#This Row],[RequiredDate]]&lt;Table1[[#This Row],[OrderDate]], Table1[[#This Row],[OrderDate]]+7, Table1[[#This Row],[RequiredDate]])</f>
        <v>45888</v>
      </c>
      <c r="AJ608">
        <f>IF(Dashboard!$D$3&gt;'Staging Data'!V608,'Staging Data'!V608,Dashboard!D$3)</f>
        <v>0.188</v>
      </c>
      <c r="AK608" s="19">
        <f>(100%+Dashboard!$D$4)*'Staging Data'!S608</f>
        <v>631.58550000000002</v>
      </c>
      <c r="AL608">
        <f>(100%+Dashboard!$D$5)*'Staging Data'!W608</f>
        <v>3.4499999999999997</v>
      </c>
    </row>
    <row r="609" spans="1:38" x14ac:dyDescent="0.35">
      <c r="A609" s="6" t="s">
        <v>395</v>
      </c>
      <c r="B609" s="4">
        <v>45876</v>
      </c>
      <c r="C609" s="4">
        <v>45906</v>
      </c>
      <c r="D609" s="4">
        <f>IF(Table1[[#This Row],[RequiredDate]]&lt;Table1[[#This Row],[OrderDate]],Table1[[#This Row],[RequiredDate]],Table1[[#This Row],[OrderDate]])</f>
        <v>45876</v>
      </c>
      <c r="E609" s="4">
        <f>IF(Table1[[#This Row],[RequiredDate]]&gt;Table1[[#This Row],[OrderDate]],Table1[[#This Row],[RequiredDate]],Table1[[#This Row],[OrderDate]])</f>
        <v>45906</v>
      </c>
      <c r="F609" s="21">
        <f>Table1[[#This Row],[New RD]]-Table1[[#This Row],[new   od]]</f>
        <v>30</v>
      </c>
      <c r="G609" s="4">
        <f>IF(Table1[[#This Row],[RequiredDate]]&lt;Table1[[#This Row],[OrderDate]], Table1[[#This Row],[OrderDate]]+7, Table1[[#This Row],[RequiredDate]])</f>
        <v>45906</v>
      </c>
      <c r="H609" s="21">
        <f t="shared" si="100"/>
        <v>30</v>
      </c>
      <c r="I609" s="6" t="str">
        <f>IF(Table1[[#This Row],[New LTD]]&lt;=7,"Yes","No")</f>
        <v>No</v>
      </c>
      <c r="J609" s="6" t="str">
        <f t="shared" si="101"/>
        <v>No</v>
      </c>
      <c r="K609" t="s">
        <v>648</v>
      </c>
      <c r="L609" t="s">
        <v>653</v>
      </c>
      <c r="M609" t="s">
        <v>681</v>
      </c>
      <c r="N609" t="s">
        <v>702</v>
      </c>
      <c r="O609" t="s">
        <v>711</v>
      </c>
      <c r="P609" t="s">
        <v>724</v>
      </c>
      <c r="Q609" t="s">
        <v>729</v>
      </c>
      <c r="R609" t="s">
        <v>1114</v>
      </c>
      <c r="S609" s="6">
        <v>833.73</v>
      </c>
      <c r="T609" s="6">
        <v>1116.5999999999999</v>
      </c>
      <c r="U609" s="6">
        <f t="shared" si="102"/>
        <v>1116.5999999999999</v>
      </c>
      <c r="V609" s="8">
        <v>0.17599999999999999</v>
      </c>
      <c r="W609" s="6">
        <v>14</v>
      </c>
      <c r="X609" s="6">
        <f t="shared" si="103"/>
        <v>12881.097599999999</v>
      </c>
      <c r="Y609">
        <f t="shared" si="104"/>
        <v>11672.220000000001</v>
      </c>
      <c r="Z609" s="6">
        <f t="shared" si="105"/>
        <v>1208.877599999998</v>
      </c>
      <c r="AA609">
        <f t="shared" si="106"/>
        <v>9.3848958958279924E-2</v>
      </c>
      <c r="AB609" t="str">
        <f t="shared" si="107"/>
        <v>8-2025</v>
      </c>
      <c r="AC609" t="str">
        <f t="shared" si="108"/>
        <v>Q3-2025</v>
      </c>
      <c r="AD609" t="str">
        <f t="shared" si="109"/>
        <v>Americas →Canada →Montreal</v>
      </c>
      <c r="AE609" t="str">
        <f t="shared" si="110"/>
        <v>Medium</v>
      </c>
      <c r="AF609" t="str">
        <f>TEXT(Table1[[#This Row],[OrderDate]],"MMM")</f>
        <v>Aug</v>
      </c>
      <c r="AG609" t="str">
        <f>TEXT(Table1[[#This Row],[OrderDate]],"YYYY")</f>
        <v>2025</v>
      </c>
      <c r="AI609" s="4">
        <f>IF(Table1[[#This Row],[RequiredDate]]&lt;Table1[[#This Row],[OrderDate]], Table1[[#This Row],[OrderDate]]+7, Table1[[#This Row],[RequiredDate]])</f>
        <v>45906</v>
      </c>
      <c r="AJ609">
        <f>IF(Dashboard!$D$3&gt;'Staging Data'!V609,'Staging Data'!V609,Dashboard!D$3)</f>
        <v>0.17599999999999999</v>
      </c>
      <c r="AK609" s="19">
        <f>(100%+Dashboard!$D$4)*'Staging Data'!S609</f>
        <v>875.41650000000004</v>
      </c>
      <c r="AL609">
        <f>(100%+Dashboard!$D$5)*'Staging Data'!W609</f>
        <v>16.099999999999998</v>
      </c>
    </row>
    <row r="610" spans="1:38" x14ac:dyDescent="0.35">
      <c r="A610" s="6" t="s">
        <v>242</v>
      </c>
      <c r="B610" s="4">
        <v>45879</v>
      </c>
      <c r="C610" s="4">
        <v>45899</v>
      </c>
      <c r="D610" s="4">
        <f>IF(Table1[[#This Row],[RequiredDate]]&lt;Table1[[#This Row],[OrderDate]],Table1[[#This Row],[RequiredDate]],Table1[[#This Row],[OrderDate]])</f>
        <v>45879</v>
      </c>
      <c r="E610" s="4">
        <f>IF(Table1[[#This Row],[RequiredDate]]&gt;Table1[[#This Row],[OrderDate]],Table1[[#This Row],[RequiredDate]],Table1[[#This Row],[OrderDate]])</f>
        <v>45899</v>
      </c>
      <c r="F610" s="21">
        <f>Table1[[#This Row],[New RD]]-Table1[[#This Row],[new   od]]</f>
        <v>20</v>
      </c>
      <c r="G610" s="4">
        <f>IF(Table1[[#This Row],[RequiredDate]]&lt;Table1[[#This Row],[OrderDate]], Table1[[#This Row],[OrderDate]]+7, Table1[[#This Row],[RequiredDate]])</f>
        <v>45899</v>
      </c>
      <c r="H610" s="21">
        <f t="shared" si="100"/>
        <v>20</v>
      </c>
      <c r="I610" s="6" t="str">
        <f>IF(Table1[[#This Row],[New LTD]]&lt;=7,"Yes","No")</f>
        <v>No</v>
      </c>
      <c r="J610" s="6" t="str">
        <f t="shared" si="101"/>
        <v>No</v>
      </c>
      <c r="K610" t="s">
        <v>648</v>
      </c>
      <c r="L610" t="s">
        <v>660</v>
      </c>
      <c r="M610" t="s">
        <v>686</v>
      </c>
      <c r="N610" t="s">
        <v>701</v>
      </c>
      <c r="O610" t="s">
        <v>709</v>
      </c>
      <c r="P610" t="s">
        <v>723</v>
      </c>
      <c r="Q610" t="s">
        <v>728</v>
      </c>
      <c r="R610" t="s">
        <v>962</v>
      </c>
      <c r="S610" s="6">
        <v>933.29</v>
      </c>
      <c r="T610" s="6">
        <v>1456.81</v>
      </c>
      <c r="U610" s="6">
        <f t="shared" si="102"/>
        <v>1456.81</v>
      </c>
      <c r="V610" s="8">
        <v>0.123</v>
      </c>
      <c r="W610" s="6">
        <v>13</v>
      </c>
      <c r="X610" s="6">
        <f t="shared" si="103"/>
        <v>16609.090809999998</v>
      </c>
      <c r="Y610">
        <f t="shared" si="104"/>
        <v>12132.77</v>
      </c>
      <c r="Z610" s="6">
        <f t="shared" si="105"/>
        <v>4476.3208099999974</v>
      </c>
      <c r="AA610">
        <f t="shared" si="106"/>
        <v>0.26951028573489977</v>
      </c>
      <c r="AB610" t="str">
        <f t="shared" si="107"/>
        <v>8-2025</v>
      </c>
      <c r="AC610" t="str">
        <f t="shared" si="108"/>
        <v>Q3-2025</v>
      </c>
      <c r="AD610" t="str">
        <f t="shared" si="109"/>
        <v>Americas →USA →San Francisco</v>
      </c>
      <c r="AE610" t="str">
        <f t="shared" si="110"/>
        <v>Medium</v>
      </c>
      <c r="AF610" t="str">
        <f>TEXT(Table1[[#This Row],[OrderDate]],"MMM")</f>
        <v>Aug</v>
      </c>
      <c r="AG610" t="str">
        <f>TEXT(Table1[[#This Row],[OrderDate]],"YYYY")</f>
        <v>2025</v>
      </c>
      <c r="AI610" s="4">
        <f>IF(Table1[[#This Row],[RequiredDate]]&lt;Table1[[#This Row],[OrderDate]], Table1[[#This Row],[OrderDate]]+7, Table1[[#This Row],[RequiredDate]])</f>
        <v>45899</v>
      </c>
      <c r="AJ610">
        <f>IF(Dashboard!$D$3&gt;'Staging Data'!V610,'Staging Data'!V610,Dashboard!D$3)</f>
        <v>0.123</v>
      </c>
      <c r="AK610" s="19">
        <f>(100%+Dashboard!$D$4)*'Staging Data'!S610</f>
        <v>979.95450000000005</v>
      </c>
      <c r="AL610">
        <f>(100%+Dashboard!$D$5)*'Staging Data'!W610</f>
        <v>14.95</v>
      </c>
    </row>
    <row r="611" spans="1:38" x14ac:dyDescent="0.35">
      <c r="A611" s="6" t="s">
        <v>616</v>
      </c>
      <c r="B611" s="4">
        <v>45880</v>
      </c>
      <c r="C611" s="4">
        <v>45897</v>
      </c>
      <c r="D611" s="4">
        <f>IF(Table1[[#This Row],[RequiredDate]]&lt;Table1[[#This Row],[OrderDate]],Table1[[#This Row],[RequiredDate]],Table1[[#This Row],[OrderDate]])</f>
        <v>45880</v>
      </c>
      <c r="E611" s="4">
        <f>IF(Table1[[#This Row],[RequiredDate]]&gt;Table1[[#This Row],[OrderDate]],Table1[[#This Row],[RequiredDate]],Table1[[#This Row],[OrderDate]])</f>
        <v>45897</v>
      </c>
      <c r="F611" s="21">
        <f>Table1[[#This Row],[New RD]]-Table1[[#This Row],[new   od]]</f>
        <v>17</v>
      </c>
      <c r="G611" s="4">
        <f>IF(Table1[[#This Row],[RequiredDate]]&lt;Table1[[#This Row],[OrderDate]], Table1[[#This Row],[OrderDate]]+7, Table1[[#This Row],[RequiredDate]])</f>
        <v>45897</v>
      </c>
      <c r="H611" s="21">
        <f t="shared" si="100"/>
        <v>17</v>
      </c>
      <c r="I611" s="6" t="str">
        <f>IF(Table1[[#This Row],[New LTD]]&lt;=7,"Yes","No")</f>
        <v>No</v>
      </c>
      <c r="J611" s="6" t="str">
        <f t="shared" si="101"/>
        <v>No</v>
      </c>
      <c r="K611" t="s">
        <v>649</v>
      </c>
      <c r="L611" t="s">
        <v>657</v>
      </c>
      <c r="M611" t="s">
        <v>690</v>
      </c>
      <c r="N611" t="s">
        <v>702</v>
      </c>
      <c r="O611" t="s">
        <v>708</v>
      </c>
      <c r="P611" t="s">
        <v>721</v>
      </c>
      <c r="Q611" t="s">
        <v>729</v>
      </c>
      <c r="R611" t="s">
        <v>1334</v>
      </c>
      <c r="S611" s="6">
        <v>416.16</v>
      </c>
      <c r="T611" s="6">
        <v>571.9</v>
      </c>
      <c r="U611" s="6">
        <f t="shared" si="102"/>
        <v>571.9</v>
      </c>
      <c r="V611" s="8">
        <v>7.0999999999999994E-2</v>
      </c>
      <c r="W611" s="6">
        <v>2</v>
      </c>
      <c r="X611" s="6">
        <f t="shared" si="103"/>
        <v>1062.5902000000001</v>
      </c>
      <c r="Y611">
        <f t="shared" si="104"/>
        <v>832.32</v>
      </c>
      <c r="Z611" s="6">
        <f t="shared" si="105"/>
        <v>230.27020000000005</v>
      </c>
      <c r="AA611">
        <f t="shared" si="106"/>
        <v>0.21670649701079497</v>
      </c>
      <c r="AB611" t="str">
        <f t="shared" si="107"/>
        <v>8-2025</v>
      </c>
      <c r="AC611" t="str">
        <f t="shared" si="108"/>
        <v>Q3-2025</v>
      </c>
      <c r="AD611" t="str">
        <f t="shared" si="109"/>
        <v>Europe →France →Paris</v>
      </c>
      <c r="AE611" t="str">
        <f t="shared" si="110"/>
        <v>Low</v>
      </c>
      <c r="AF611" t="str">
        <f>TEXT(Table1[[#This Row],[OrderDate]],"MMM")</f>
        <v>Aug</v>
      </c>
      <c r="AG611" t="str">
        <f>TEXT(Table1[[#This Row],[OrderDate]],"YYYY")</f>
        <v>2025</v>
      </c>
      <c r="AI611" s="4">
        <f>IF(Table1[[#This Row],[RequiredDate]]&lt;Table1[[#This Row],[OrderDate]], Table1[[#This Row],[OrderDate]]+7, Table1[[#This Row],[RequiredDate]])</f>
        <v>45897</v>
      </c>
      <c r="AJ611">
        <f>IF(Dashboard!$D$3&gt;'Staging Data'!V611,'Staging Data'!V611,Dashboard!D$3)</f>
        <v>7.0999999999999994E-2</v>
      </c>
      <c r="AK611" s="19">
        <f>(100%+Dashboard!$D$4)*'Staging Data'!S611</f>
        <v>436.96800000000002</v>
      </c>
      <c r="AL611">
        <f>(100%+Dashboard!$D$5)*'Staging Data'!W611</f>
        <v>2.2999999999999998</v>
      </c>
    </row>
    <row r="612" spans="1:38" x14ac:dyDescent="0.35">
      <c r="A612" s="6" t="s">
        <v>488</v>
      </c>
      <c r="B612" s="4">
        <v>45882</v>
      </c>
      <c r="C612" s="4">
        <v>45903</v>
      </c>
      <c r="D612" s="4">
        <f>IF(Table1[[#This Row],[RequiredDate]]&lt;Table1[[#This Row],[OrderDate]],Table1[[#This Row],[RequiredDate]],Table1[[#This Row],[OrderDate]])</f>
        <v>45882</v>
      </c>
      <c r="E612" s="4">
        <f>IF(Table1[[#This Row],[RequiredDate]]&gt;Table1[[#This Row],[OrderDate]],Table1[[#This Row],[RequiredDate]],Table1[[#This Row],[OrderDate]])</f>
        <v>45903</v>
      </c>
      <c r="F612" s="21">
        <f>Table1[[#This Row],[New RD]]-Table1[[#This Row],[new   od]]</f>
        <v>21</v>
      </c>
      <c r="G612" s="4">
        <f>IF(Table1[[#This Row],[RequiredDate]]&lt;Table1[[#This Row],[OrderDate]], Table1[[#This Row],[OrderDate]]+7, Table1[[#This Row],[RequiredDate]])</f>
        <v>45903</v>
      </c>
      <c r="H612" s="21">
        <f t="shared" si="100"/>
        <v>21</v>
      </c>
      <c r="I612" s="6" t="str">
        <f>IF(Table1[[#This Row],[New LTD]]&lt;=7,"Yes","No")</f>
        <v>No</v>
      </c>
      <c r="J612" s="6" t="str">
        <f t="shared" si="101"/>
        <v>Yes</v>
      </c>
      <c r="K612" t="s">
        <v>649</v>
      </c>
      <c r="L612" t="s">
        <v>657</v>
      </c>
      <c r="M612" t="s">
        <v>690</v>
      </c>
      <c r="N612" t="s">
        <v>702</v>
      </c>
      <c r="O612" t="s">
        <v>707</v>
      </c>
      <c r="P612" t="s">
        <v>714</v>
      </c>
      <c r="Q612" t="s">
        <v>730</v>
      </c>
      <c r="R612" t="s">
        <v>1207</v>
      </c>
      <c r="S612" s="6">
        <v>603.47</v>
      </c>
      <c r="T612" s="6">
        <v>1344.05</v>
      </c>
      <c r="U612" s="6">
        <f t="shared" si="102"/>
        <v>1344.05</v>
      </c>
      <c r="V612" s="8">
        <v>0.20499999999999999</v>
      </c>
      <c r="W612" s="6">
        <v>18</v>
      </c>
      <c r="X612" s="6">
        <f t="shared" si="103"/>
        <v>19233.355499999998</v>
      </c>
      <c r="Y612">
        <f t="shared" si="104"/>
        <v>10862.460000000001</v>
      </c>
      <c r="Z612" s="6">
        <f t="shared" si="105"/>
        <v>8370.8954999999969</v>
      </c>
      <c r="AA612">
        <f t="shared" si="106"/>
        <v>0.43522803392262976</v>
      </c>
      <c r="AB612" t="str">
        <f t="shared" si="107"/>
        <v>8-2025</v>
      </c>
      <c r="AC612" t="str">
        <f t="shared" si="108"/>
        <v>Q3-2025</v>
      </c>
      <c r="AD612" t="str">
        <f t="shared" si="109"/>
        <v>Europe →France →Paris</v>
      </c>
      <c r="AE612" t="str">
        <f t="shared" si="110"/>
        <v>Medium</v>
      </c>
      <c r="AF612" t="str">
        <f>TEXT(Table1[[#This Row],[OrderDate]],"MMM")</f>
        <v>Aug</v>
      </c>
      <c r="AG612" t="str">
        <f>TEXT(Table1[[#This Row],[OrderDate]],"YYYY")</f>
        <v>2025</v>
      </c>
      <c r="AI612" s="4">
        <f>IF(Table1[[#This Row],[RequiredDate]]&lt;Table1[[#This Row],[OrderDate]], Table1[[#This Row],[OrderDate]]+7, Table1[[#This Row],[RequiredDate]])</f>
        <v>45903</v>
      </c>
      <c r="AJ612">
        <f>IF(Dashboard!$D$3&gt;'Staging Data'!V612,'Staging Data'!V612,Dashboard!D$3)</f>
        <v>0.2</v>
      </c>
      <c r="AK612" s="19">
        <f>(100%+Dashboard!$D$4)*'Staging Data'!S612</f>
        <v>633.64350000000002</v>
      </c>
      <c r="AL612">
        <f>(100%+Dashboard!$D$5)*'Staging Data'!W612</f>
        <v>20.7</v>
      </c>
    </row>
    <row r="613" spans="1:38" x14ac:dyDescent="0.35">
      <c r="A613" s="6" t="s">
        <v>370</v>
      </c>
      <c r="B613" s="4">
        <v>45883</v>
      </c>
      <c r="C613" s="4">
        <v>45911</v>
      </c>
      <c r="D613" s="4">
        <f>IF(Table1[[#This Row],[RequiredDate]]&lt;Table1[[#This Row],[OrderDate]],Table1[[#This Row],[RequiredDate]],Table1[[#This Row],[OrderDate]])</f>
        <v>45883</v>
      </c>
      <c r="E613" s="4">
        <f>IF(Table1[[#This Row],[RequiredDate]]&gt;Table1[[#This Row],[OrderDate]],Table1[[#This Row],[RequiredDate]],Table1[[#This Row],[OrderDate]])</f>
        <v>45911</v>
      </c>
      <c r="F613" s="21">
        <f>Table1[[#This Row],[New RD]]-Table1[[#This Row],[new   od]]</f>
        <v>28</v>
      </c>
      <c r="G613" s="4">
        <f>IF(Table1[[#This Row],[RequiredDate]]&lt;Table1[[#This Row],[OrderDate]], Table1[[#This Row],[OrderDate]]+7, Table1[[#This Row],[RequiredDate]])</f>
        <v>45911</v>
      </c>
      <c r="H613" s="21">
        <f t="shared" si="100"/>
        <v>28</v>
      </c>
      <c r="I613" s="6" t="str">
        <f>IF(Table1[[#This Row],[New LTD]]&lt;=7,"Yes","No")</f>
        <v>No</v>
      </c>
      <c r="J613" s="6" t="str">
        <f t="shared" si="101"/>
        <v>No</v>
      </c>
      <c r="K613" t="s">
        <v>648</v>
      </c>
      <c r="L613" t="s">
        <v>655</v>
      </c>
      <c r="M613" t="s">
        <v>670</v>
      </c>
      <c r="N613" t="s">
        <v>703</v>
      </c>
      <c r="O613" t="s">
        <v>711</v>
      </c>
      <c r="P613" t="s">
        <v>721</v>
      </c>
      <c r="Q613" t="s">
        <v>728</v>
      </c>
      <c r="R613" t="s">
        <v>1090</v>
      </c>
      <c r="S613" s="6">
        <v>1203.02</v>
      </c>
      <c r="T613" s="6">
        <v>2439.33</v>
      </c>
      <c r="U613" s="6">
        <f t="shared" si="102"/>
        <v>2439.33</v>
      </c>
      <c r="V613" s="8">
        <v>0</v>
      </c>
      <c r="W613" s="6">
        <v>18</v>
      </c>
      <c r="X613" s="6">
        <f t="shared" si="103"/>
        <v>43907.94</v>
      </c>
      <c r="Y613">
        <f t="shared" si="104"/>
        <v>21654.36</v>
      </c>
      <c r="Z613" s="6">
        <f t="shared" si="105"/>
        <v>22253.58</v>
      </c>
      <c r="AA613">
        <f t="shared" si="106"/>
        <v>0.50682359500354612</v>
      </c>
      <c r="AB613" t="str">
        <f t="shared" si="107"/>
        <v>8-2025</v>
      </c>
      <c r="AC613" t="str">
        <f t="shared" si="108"/>
        <v>Q3-2025</v>
      </c>
      <c r="AD613" t="str">
        <f t="shared" si="109"/>
        <v>Americas →Brazil →São Paulo</v>
      </c>
      <c r="AE613" t="str">
        <f t="shared" si="110"/>
        <v>High</v>
      </c>
      <c r="AF613" t="str">
        <f>TEXT(Table1[[#This Row],[OrderDate]],"MMM")</f>
        <v>Aug</v>
      </c>
      <c r="AG613" t="str">
        <f>TEXT(Table1[[#This Row],[OrderDate]],"YYYY")</f>
        <v>2025</v>
      </c>
      <c r="AI613" s="4">
        <f>IF(Table1[[#This Row],[RequiredDate]]&lt;Table1[[#This Row],[OrderDate]], Table1[[#This Row],[OrderDate]]+7, Table1[[#This Row],[RequiredDate]])</f>
        <v>45911</v>
      </c>
      <c r="AJ613">
        <f>IF(Dashboard!$D$3&gt;'Staging Data'!V613,'Staging Data'!V613,Dashboard!D$3)</f>
        <v>0</v>
      </c>
      <c r="AK613" s="19">
        <f>(100%+Dashboard!$D$4)*'Staging Data'!S613</f>
        <v>1263.171</v>
      </c>
      <c r="AL613">
        <f>(100%+Dashboard!$D$5)*'Staging Data'!W613</f>
        <v>20.7</v>
      </c>
    </row>
    <row r="614" spans="1:38" x14ac:dyDescent="0.35">
      <c r="A614" s="6" t="s">
        <v>559</v>
      </c>
      <c r="B614" s="4">
        <v>45889</v>
      </c>
      <c r="C614" s="4">
        <v>45895</v>
      </c>
      <c r="D614" s="4">
        <f>IF(Table1[[#This Row],[RequiredDate]]&lt;Table1[[#This Row],[OrderDate]],Table1[[#This Row],[RequiredDate]],Table1[[#This Row],[OrderDate]])</f>
        <v>45889</v>
      </c>
      <c r="E614" s="4">
        <f>IF(Table1[[#This Row],[RequiredDate]]&gt;Table1[[#This Row],[OrderDate]],Table1[[#This Row],[RequiredDate]],Table1[[#This Row],[OrderDate]])</f>
        <v>45895</v>
      </c>
      <c r="F614" s="21">
        <f>Table1[[#This Row],[New RD]]-Table1[[#This Row],[new   od]]</f>
        <v>6</v>
      </c>
      <c r="G614" s="4">
        <f>IF(Table1[[#This Row],[RequiredDate]]&lt;Table1[[#This Row],[OrderDate]], Table1[[#This Row],[OrderDate]]+7, Table1[[#This Row],[RequiredDate]])</f>
        <v>45895</v>
      </c>
      <c r="H614" s="21">
        <f t="shared" si="100"/>
        <v>6</v>
      </c>
      <c r="I614" s="6" t="str">
        <f>IF(Table1[[#This Row],[New LTD]]&lt;=7,"Yes","No")</f>
        <v>Yes</v>
      </c>
      <c r="J614" s="6" t="str">
        <f t="shared" si="101"/>
        <v>Yes</v>
      </c>
      <c r="K614" t="s">
        <v>648</v>
      </c>
      <c r="L614" t="s">
        <v>660</v>
      </c>
      <c r="M614" t="s">
        <v>700</v>
      </c>
      <c r="N614" t="s">
        <v>701</v>
      </c>
      <c r="O614" t="s">
        <v>707</v>
      </c>
      <c r="P614" t="s">
        <v>724</v>
      </c>
      <c r="Q614" t="s">
        <v>729</v>
      </c>
      <c r="R614" t="s">
        <v>1277</v>
      </c>
      <c r="S614" s="6">
        <v>1304.95</v>
      </c>
      <c r="T614" s="6">
        <v>1712.03</v>
      </c>
      <c r="U614" s="6">
        <f t="shared" si="102"/>
        <v>1712.03</v>
      </c>
      <c r="V614" s="8">
        <v>0.21199999999999999</v>
      </c>
      <c r="W614" s="6">
        <v>8</v>
      </c>
      <c r="X614" s="6">
        <f t="shared" si="103"/>
        <v>10792.637119999999</v>
      </c>
      <c r="Y614">
        <f t="shared" si="104"/>
        <v>10439.6</v>
      </c>
      <c r="Z614" s="6">
        <f t="shared" si="105"/>
        <v>353.03711999999905</v>
      </c>
      <c r="AA614">
        <f t="shared" si="106"/>
        <v>3.2710922833287949E-2</v>
      </c>
      <c r="AB614" t="str">
        <f t="shared" si="107"/>
        <v>8-2025</v>
      </c>
      <c r="AC614" t="str">
        <f t="shared" si="108"/>
        <v>Q3-2025</v>
      </c>
      <c r="AD614" t="str">
        <f t="shared" si="109"/>
        <v>Americas →USA →New York</v>
      </c>
      <c r="AE614" t="str">
        <f t="shared" si="110"/>
        <v>High</v>
      </c>
      <c r="AF614" t="str">
        <f>TEXT(Table1[[#This Row],[OrderDate]],"MMM")</f>
        <v>Aug</v>
      </c>
      <c r="AG614" t="str">
        <f>TEXT(Table1[[#This Row],[OrderDate]],"YYYY")</f>
        <v>2025</v>
      </c>
      <c r="AI614" s="4">
        <f>IF(Table1[[#This Row],[RequiredDate]]&lt;Table1[[#This Row],[OrderDate]], Table1[[#This Row],[OrderDate]]+7, Table1[[#This Row],[RequiredDate]])</f>
        <v>45895</v>
      </c>
      <c r="AJ614">
        <f>IF(Dashboard!$D$3&gt;'Staging Data'!V614,'Staging Data'!V614,Dashboard!D$3)</f>
        <v>0.2</v>
      </c>
      <c r="AK614" s="19">
        <f>(100%+Dashboard!$D$4)*'Staging Data'!S614</f>
        <v>1370.1975000000002</v>
      </c>
      <c r="AL614">
        <f>(100%+Dashboard!$D$5)*'Staging Data'!W614</f>
        <v>9.1999999999999993</v>
      </c>
    </row>
    <row r="615" spans="1:38" x14ac:dyDescent="0.35">
      <c r="A615" s="6" t="s">
        <v>194</v>
      </c>
      <c r="B615" s="4">
        <v>45890</v>
      </c>
      <c r="C615" s="4">
        <v>45912</v>
      </c>
      <c r="D615" s="4">
        <f>IF(Table1[[#This Row],[RequiredDate]]&lt;Table1[[#This Row],[OrderDate]],Table1[[#This Row],[RequiredDate]],Table1[[#This Row],[OrderDate]])</f>
        <v>45890</v>
      </c>
      <c r="E615" s="4">
        <f>IF(Table1[[#This Row],[RequiredDate]]&gt;Table1[[#This Row],[OrderDate]],Table1[[#This Row],[RequiredDate]],Table1[[#This Row],[OrderDate]])</f>
        <v>45912</v>
      </c>
      <c r="F615" s="21">
        <f>Table1[[#This Row],[New RD]]-Table1[[#This Row],[new   od]]</f>
        <v>22</v>
      </c>
      <c r="G615" s="4">
        <f>IF(Table1[[#This Row],[RequiredDate]]&lt;Table1[[#This Row],[OrderDate]], Table1[[#This Row],[OrderDate]]+7, Table1[[#This Row],[RequiredDate]])</f>
        <v>45912</v>
      </c>
      <c r="H615" s="21">
        <f t="shared" si="100"/>
        <v>22</v>
      </c>
      <c r="I615" s="6" t="str">
        <f>IF(Table1[[#This Row],[New LTD]]&lt;=7,"Yes","No")</f>
        <v>No</v>
      </c>
      <c r="J615" s="6" t="str">
        <f t="shared" si="101"/>
        <v>No</v>
      </c>
      <c r="K615" t="s">
        <v>647</v>
      </c>
      <c r="L615" t="s">
        <v>659</v>
      </c>
      <c r="M615" t="s">
        <v>676</v>
      </c>
      <c r="N615" t="s">
        <v>702</v>
      </c>
      <c r="O615" t="s">
        <v>707</v>
      </c>
      <c r="P615" t="s">
        <v>717</v>
      </c>
      <c r="Q615" t="s">
        <v>728</v>
      </c>
      <c r="R615" t="s">
        <v>913</v>
      </c>
      <c r="S615" s="6">
        <v>352.66</v>
      </c>
      <c r="T615" s="6">
        <v>411.18</v>
      </c>
      <c r="U615" s="6">
        <f t="shared" si="102"/>
        <v>411.18</v>
      </c>
      <c r="V615" s="8">
        <v>0.17299999999999999</v>
      </c>
      <c r="W615" s="6">
        <v>13</v>
      </c>
      <c r="X615" s="6">
        <f t="shared" si="103"/>
        <v>4420.5961799999995</v>
      </c>
      <c r="Y615">
        <f t="shared" si="104"/>
        <v>4584.58</v>
      </c>
      <c r="Z615" s="6">
        <f t="shared" si="105"/>
        <v>-163.98382000000038</v>
      </c>
      <c r="AA615">
        <f t="shared" si="106"/>
        <v>-3.7095408248758066E-2</v>
      </c>
      <c r="AB615" t="str">
        <f t="shared" si="107"/>
        <v>8-2025</v>
      </c>
      <c r="AC615" t="str">
        <f t="shared" si="108"/>
        <v>Q3-2025</v>
      </c>
      <c r="AD615" t="str">
        <f t="shared" si="109"/>
        <v>Asia →China →Shenzhen</v>
      </c>
      <c r="AE615" t="str">
        <f t="shared" si="110"/>
        <v>Low</v>
      </c>
      <c r="AF615" t="str">
        <f>TEXT(Table1[[#This Row],[OrderDate]],"MMM")</f>
        <v>Aug</v>
      </c>
      <c r="AG615" t="str">
        <f>TEXT(Table1[[#This Row],[OrderDate]],"YYYY")</f>
        <v>2025</v>
      </c>
      <c r="AI615" s="4">
        <f>IF(Table1[[#This Row],[RequiredDate]]&lt;Table1[[#This Row],[OrderDate]], Table1[[#This Row],[OrderDate]]+7, Table1[[#This Row],[RequiredDate]])</f>
        <v>45912</v>
      </c>
      <c r="AJ615">
        <f>IF(Dashboard!$D$3&gt;'Staging Data'!V615,'Staging Data'!V615,Dashboard!D$3)</f>
        <v>0.17299999999999999</v>
      </c>
      <c r="AK615" s="19">
        <f>(100%+Dashboard!$D$4)*'Staging Data'!S615</f>
        <v>370.29300000000006</v>
      </c>
      <c r="AL615">
        <f>(100%+Dashboard!$D$5)*'Staging Data'!W615</f>
        <v>14.95</v>
      </c>
    </row>
    <row r="616" spans="1:38" x14ac:dyDescent="0.35">
      <c r="A616" s="6" t="s">
        <v>410</v>
      </c>
      <c r="B616" s="4">
        <v>45890</v>
      </c>
      <c r="C616" s="4">
        <v>45914</v>
      </c>
      <c r="D616" s="4">
        <f>IF(Table1[[#This Row],[RequiredDate]]&lt;Table1[[#This Row],[OrderDate]],Table1[[#This Row],[RequiredDate]],Table1[[#This Row],[OrderDate]])</f>
        <v>45890</v>
      </c>
      <c r="E616" s="4">
        <f>IF(Table1[[#This Row],[RequiredDate]]&gt;Table1[[#This Row],[OrderDate]],Table1[[#This Row],[RequiredDate]],Table1[[#This Row],[OrderDate]])</f>
        <v>45914</v>
      </c>
      <c r="F616" s="21">
        <f>Table1[[#This Row],[New RD]]-Table1[[#This Row],[new   od]]</f>
        <v>24</v>
      </c>
      <c r="G616" s="4">
        <f>IF(Table1[[#This Row],[RequiredDate]]&lt;Table1[[#This Row],[OrderDate]], Table1[[#This Row],[OrderDate]]+7, Table1[[#This Row],[RequiredDate]])</f>
        <v>45914</v>
      </c>
      <c r="H616" s="21">
        <f t="shared" si="100"/>
        <v>24</v>
      </c>
      <c r="I616" s="6" t="str">
        <f>IF(Table1[[#This Row],[New LTD]]&lt;=7,"Yes","No")</f>
        <v>No</v>
      </c>
      <c r="J616" s="6" t="str">
        <f t="shared" si="101"/>
        <v>No</v>
      </c>
      <c r="K616" t="s">
        <v>649</v>
      </c>
      <c r="L616" t="s">
        <v>656</v>
      </c>
      <c r="M616" t="s">
        <v>671</v>
      </c>
      <c r="N616" t="s">
        <v>703</v>
      </c>
      <c r="O616" t="s">
        <v>708</v>
      </c>
      <c r="P616" t="s">
        <v>720</v>
      </c>
      <c r="Q616" t="s">
        <v>732</v>
      </c>
      <c r="R616" t="s">
        <v>1129</v>
      </c>
      <c r="S616" s="6">
        <v>1397.67</v>
      </c>
      <c r="T616" s="6">
        <v>3131.37</v>
      </c>
      <c r="U616" s="6">
        <f t="shared" si="102"/>
        <v>3131.37</v>
      </c>
      <c r="V616" s="8">
        <v>0.10299999999999999</v>
      </c>
      <c r="W616" s="6">
        <v>20</v>
      </c>
      <c r="X616" s="6">
        <f t="shared" si="103"/>
        <v>56176.777799999996</v>
      </c>
      <c r="Y616">
        <f t="shared" si="104"/>
        <v>27953.4</v>
      </c>
      <c r="Z616" s="6">
        <f t="shared" si="105"/>
        <v>28223.377799999995</v>
      </c>
      <c r="AA616">
        <f t="shared" si="106"/>
        <v>0.50240293062874808</v>
      </c>
      <c r="AB616" t="str">
        <f t="shared" si="107"/>
        <v>8-2025</v>
      </c>
      <c r="AC616" t="str">
        <f t="shared" si="108"/>
        <v>Q3-2025</v>
      </c>
      <c r="AD616" t="str">
        <f t="shared" si="109"/>
        <v>Europe →Germany →Berlin</v>
      </c>
      <c r="AE616" t="str">
        <f t="shared" si="110"/>
        <v>High</v>
      </c>
      <c r="AF616" t="str">
        <f>TEXT(Table1[[#This Row],[OrderDate]],"MMM")</f>
        <v>Aug</v>
      </c>
      <c r="AG616" t="str">
        <f>TEXT(Table1[[#This Row],[OrderDate]],"YYYY")</f>
        <v>2025</v>
      </c>
      <c r="AI616" s="4">
        <f>IF(Table1[[#This Row],[RequiredDate]]&lt;Table1[[#This Row],[OrderDate]], Table1[[#This Row],[OrderDate]]+7, Table1[[#This Row],[RequiredDate]])</f>
        <v>45914</v>
      </c>
      <c r="AJ616">
        <f>IF(Dashboard!$D$3&gt;'Staging Data'!V616,'Staging Data'!V616,Dashboard!D$3)</f>
        <v>0.10299999999999999</v>
      </c>
      <c r="AK616" s="19">
        <f>(100%+Dashboard!$D$4)*'Staging Data'!S616</f>
        <v>1467.5535000000002</v>
      </c>
      <c r="AL616">
        <f>(100%+Dashboard!$D$5)*'Staging Data'!W616</f>
        <v>23</v>
      </c>
    </row>
    <row r="617" spans="1:38" x14ac:dyDescent="0.35">
      <c r="A617" s="6" t="s">
        <v>234</v>
      </c>
      <c r="B617" s="4">
        <v>45894</v>
      </c>
      <c r="C617" s="4">
        <v>45924</v>
      </c>
      <c r="D617" s="4">
        <f>IF(Table1[[#This Row],[RequiredDate]]&lt;Table1[[#This Row],[OrderDate]],Table1[[#This Row],[RequiredDate]],Table1[[#This Row],[OrderDate]])</f>
        <v>45894</v>
      </c>
      <c r="E617" s="4">
        <f>IF(Table1[[#This Row],[RequiredDate]]&gt;Table1[[#This Row],[OrderDate]],Table1[[#This Row],[RequiredDate]],Table1[[#This Row],[OrderDate]])</f>
        <v>45924</v>
      </c>
      <c r="F617" s="21">
        <f>Table1[[#This Row],[New RD]]-Table1[[#This Row],[new   od]]</f>
        <v>30</v>
      </c>
      <c r="G617" s="4">
        <f>IF(Table1[[#This Row],[RequiredDate]]&lt;Table1[[#This Row],[OrderDate]], Table1[[#This Row],[OrderDate]]+7, Table1[[#This Row],[RequiredDate]])</f>
        <v>45924</v>
      </c>
      <c r="H617" s="21">
        <f t="shared" si="100"/>
        <v>30</v>
      </c>
      <c r="I617" s="6" t="str">
        <f>IF(Table1[[#This Row],[New LTD]]&lt;=7,"Yes","No")</f>
        <v>No</v>
      </c>
      <c r="J617" s="6" t="str">
        <f t="shared" si="101"/>
        <v>No</v>
      </c>
      <c r="K617" t="s">
        <v>646</v>
      </c>
      <c r="L617" t="s">
        <v>650</v>
      </c>
      <c r="M617" t="s">
        <v>664</v>
      </c>
      <c r="N617" t="s">
        <v>704</v>
      </c>
      <c r="O617" t="s">
        <v>711</v>
      </c>
      <c r="P617" t="s">
        <v>717</v>
      </c>
      <c r="Q617" t="s">
        <v>727</v>
      </c>
      <c r="R617" t="s">
        <v>954</v>
      </c>
      <c r="S617" s="6">
        <v>589.14</v>
      </c>
      <c r="T617" s="6">
        <v>1300.58</v>
      </c>
      <c r="U617" s="6">
        <f t="shared" si="102"/>
        <v>1300.58</v>
      </c>
      <c r="V617" s="8">
        <v>5.5E-2</v>
      </c>
      <c r="W617" s="6">
        <v>11</v>
      </c>
      <c r="X617" s="6">
        <f t="shared" si="103"/>
        <v>13519.529099999998</v>
      </c>
      <c r="Y617">
        <f t="shared" si="104"/>
        <v>6480.54</v>
      </c>
      <c r="Z617" s="6">
        <f t="shared" si="105"/>
        <v>7038.989099999998</v>
      </c>
      <c r="AA617">
        <f t="shared" si="106"/>
        <v>0.52065342275863724</v>
      </c>
      <c r="AB617" t="str">
        <f t="shared" si="107"/>
        <v>8-2025</v>
      </c>
      <c r="AC617" t="str">
        <f t="shared" si="108"/>
        <v>Q3-2025</v>
      </c>
      <c r="AD617" t="str">
        <f t="shared" si="109"/>
        <v>Africa →Kenya →Nairobi</v>
      </c>
      <c r="AE617" t="str">
        <f t="shared" si="110"/>
        <v>Medium</v>
      </c>
      <c r="AF617" t="str">
        <f>TEXT(Table1[[#This Row],[OrderDate]],"MMM")</f>
        <v>Aug</v>
      </c>
      <c r="AG617" t="str">
        <f>TEXT(Table1[[#This Row],[OrderDate]],"YYYY")</f>
        <v>2025</v>
      </c>
      <c r="AI617" s="4">
        <f>IF(Table1[[#This Row],[RequiredDate]]&lt;Table1[[#This Row],[OrderDate]], Table1[[#This Row],[OrderDate]]+7, Table1[[#This Row],[RequiredDate]])</f>
        <v>45924</v>
      </c>
      <c r="AJ617">
        <f>IF(Dashboard!$D$3&gt;'Staging Data'!V617,'Staging Data'!V617,Dashboard!D$3)</f>
        <v>5.5E-2</v>
      </c>
      <c r="AK617" s="19">
        <f>(100%+Dashboard!$D$4)*'Staging Data'!S617</f>
        <v>618.59699999999998</v>
      </c>
      <c r="AL617">
        <f>(100%+Dashboard!$D$5)*'Staging Data'!W617</f>
        <v>12.649999999999999</v>
      </c>
    </row>
    <row r="618" spans="1:38" x14ac:dyDescent="0.35">
      <c r="A618" s="6" t="s">
        <v>304</v>
      </c>
      <c r="B618" s="4">
        <v>45897</v>
      </c>
      <c r="C618" s="4">
        <v>45895</v>
      </c>
      <c r="D618" s="4">
        <f>IF(Table1[[#This Row],[RequiredDate]]&lt;Table1[[#This Row],[OrderDate]],Table1[[#This Row],[RequiredDate]],Table1[[#This Row],[OrderDate]])</f>
        <v>45895</v>
      </c>
      <c r="E618" s="4">
        <f>IF(Table1[[#This Row],[RequiredDate]]&gt;Table1[[#This Row],[OrderDate]],Table1[[#This Row],[RequiredDate]],Table1[[#This Row],[OrderDate]])</f>
        <v>45897</v>
      </c>
      <c r="F618" s="21">
        <f>Table1[[#This Row],[New RD]]-Table1[[#This Row],[new   od]]</f>
        <v>2</v>
      </c>
      <c r="G618" s="4">
        <f>IF(Table1[[#This Row],[RequiredDate]]&lt;Table1[[#This Row],[OrderDate]], Table1[[#This Row],[OrderDate]]+7, Table1[[#This Row],[RequiredDate]])</f>
        <v>45904</v>
      </c>
      <c r="H618" s="21">
        <f t="shared" si="100"/>
        <v>7</v>
      </c>
      <c r="I618" s="6" t="str">
        <f>IF(Table1[[#This Row],[New LTD]]&lt;=7,"Yes","No")</f>
        <v>Yes</v>
      </c>
      <c r="J618" s="6" t="str">
        <f t="shared" si="101"/>
        <v>No</v>
      </c>
      <c r="K618" t="s">
        <v>646</v>
      </c>
      <c r="L618" t="s">
        <v>651</v>
      </c>
      <c r="M618" t="s">
        <v>663</v>
      </c>
      <c r="N618" t="s">
        <v>705</v>
      </c>
      <c r="O618" t="s">
        <v>707</v>
      </c>
      <c r="P618" t="s">
        <v>720</v>
      </c>
      <c r="Q618" t="s">
        <v>733</v>
      </c>
      <c r="R618" t="s">
        <v>1024</v>
      </c>
      <c r="S618" s="6">
        <v>521.05999999999995</v>
      </c>
      <c r="T618" s="6">
        <v>1240.31</v>
      </c>
      <c r="U618" s="6">
        <f t="shared" si="102"/>
        <v>1240.31</v>
      </c>
      <c r="V618" s="8">
        <v>0.14599999999999999</v>
      </c>
      <c r="W618" s="6">
        <v>18</v>
      </c>
      <c r="X618" s="6">
        <f t="shared" si="103"/>
        <v>19066.045319999997</v>
      </c>
      <c r="Y618">
        <f t="shared" si="104"/>
        <v>9379.0799999999981</v>
      </c>
      <c r="Z618" s="6">
        <f t="shared" si="105"/>
        <v>9686.9653199999993</v>
      </c>
      <c r="AA618">
        <f t="shared" si="106"/>
        <v>0.50807417885650974</v>
      </c>
      <c r="AB618" t="str">
        <f t="shared" si="107"/>
        <v>8-2025</v>
      </c>
      <c r="AC618" t="str">
        <f t="shared" si="108"/>
        <v>Q3-2025</v>
      </c>
      <c r="AD618" t="str">
        <f t="shared" si="109"/>
        <v>Africa →Nigeria →Port Harcourt</v>
      </c>
      <c r="AE618" t="str">
        <f t="shared" si="110"/>
        <v>Medium</v>
      </c>
      <c r="AF618" t="str">
        <f>TEXT(Table1[[#This Row],[OrderDate]],"MMM")</f>
        <v>Aug</v>
      </c>
      <c r="AG618" t="str">
        <f>TEXT(Table1[[#This Row],[OrderDate]],"YYYY")</f>
        <v>2025</v>
      </c>
      <c r="AI618" s="4">
        <f>IF(Table1[[#This Row],[RequiredDate]]&lt;Table1[[#This Row],[OrderDate]], Table1[[#This Row],[OrderDate]]+7, Table1[[#This Row],[RequiredDate]])</f>
        <v>45904</v>
      </c>
      <c r="AJ618">
        <f>IF(Dashboard!$D$3&gt;'Staging Data'!V618,'Staging Data'!V618,Dashboard!D$3)</f>
        <v>0.14599999999999999</v>
      </c>
      <c r="AK618" s="19">
        <f>(100%+Dashboard!$D$4)*'Staging Data'!S618</f>
        <v>547.11299999999994</v>
      </c>
      <c r="AL618">
        <f>(100%+Dashboard!$D$5)*'Staging Data'!W618</f>
        <v>20.7</v>
      </c>
    </row>
    <row r="619" spans="1:38" x14ac:dyDescent="0.35">
      <c r="A619" s="6" t="s">
        <v>440</v>
      </c>
      <c r="B619" s="4">
        <v>45897</v>
      </c>
      <c r="C619" s="4">
        <v>45905</v>
      </c>
      <c r="D619" s="4">
        <f>IF(Table1[[#This Row],[RequiredDate]]&lt;Table1[[#This Row],[OrderDate]],Table1[[#This Row],[RequiredDate]],Table1[[#This Row],[OrderDate]])</f>
        <v>45897</v>
      </c>
      <c r="E619" s="4">
        <f>IF(Table1[[#This Row],[RequiredDate]]&gt;Table1[[#This Row],[OrderDate]],Table1[[#This Row],[RequiredDate]],Table1[[#This Row],[OrderDate]])</f>
        <v>45905</v>
      </c>
      <c r="F619" s="21">
        <f>Table1[[#This Row],[New RD]]-Table1[[#This Row],[new   od]]</f>
        <v>8</v>
      </c>
      <c r="G619" s="4">
        <f>IF(Table1[[#This Row],[RequiredDate]]&lt;Table1[[#This Row],[OrderDate]], Table1[[#This Row],[OrderDate]]+7, Table1[[#This Row],[RequiredDate]])</f>
        <v>45905</v>
      </c>
      <c r="H619" s="21">
        <f t="shared" si="100"/>
        <v>8</v>
      </c>
      <c r="I619" s="6" t="str">
        <f>IF(Table1[[#This Row],[New LTD]]&lt;=7,"Yes","No")</f>
        <v>No</v>
      </c>
      <c r="J619" s="6" t="str">
        <f t="shared" si="101"/>
        <v>Yes</v>
      </c>
      <c r="K619" t="s">
        <v>646</v>
      </c>
      <c r="L619" t="s">
        <v>651</v>
      </c>
      <c r="M619" t="s">
        <v>663</v>
      </c>
      <c r="N619" t="s">
        <v>705</v>
      </c>
      <c r="O619" t="s">
        <v>709</v>
      </c>
      <c r="P619" t="s">
        <v>718</v>
      </c>
      <c r="Q619" t="s">
        <v>731</v>
      </c>
      <c r="R619" t="s">
        <v>1159</v>
      </c>
      <c r="S619" s="6">
        <v>1271.0999999999999</v>
      </c>
      <c r="T619" s="6">
        <v>1932.42</v>
      </c>
      <c r="U619" s="6">
        <f t="shared" si="102"/>
        <v>1932.42</v>
      </c>
      <c r="V619" s="8">
        <v>0.25</v>
      </c>
      <c r="W619" s="6">
        <v>21</v>
      </c>
      <c r="X619" s="6">
        <f t="shared" si="103"/>
        <v>30435.614999999998</v>
      </c>
      <c r="Y619">
        <f t="shared" si="104"/>
        <v>26693.1</v>
      </c>
      <c r="Z619" s="6">
        <f t="shared" si="105"/>
        <v>3742.5149999999994</v>
      </c>
      <c r="AA619">
        <f t="shared" si="106"/>
        <v>0.12296498690760807</v>
      </c>
      <c r="AB619" t="str">
        <f t="shared" si="107"/>
        <v>8-2025</v>
      </c>
      <c r="AC619" t="str">
        <f t="shared" si="108"/>
        <v>Q3-2025</v>
      </c>
      <c r="AD619" t="str">
        <f t="shared" si="109"/>
        <v>Africa →Nigeria →Port Harcourt</v>
      </c>
      <c r="AE619" t="str">
        <f t="shared" si="110"/>
        <v>High</v>
      </c>
      <c r="AF619" t="str">
        <f>TEXT(Table1[[#This Row],[OrderDate]],"MMM")</f>
        <v>Aug</v>
      </c>
      <c r="AG619" t="str">
        <f>TEXT(Table1[[#This Row],[OrderDate]],"YYYY")</f>
        <v>2025</v>
      </c>
      <c r="AI619" s="4">
        <f>IF(Table1[[#This Row],[RequiredDate]]&lt;Table1[[#This Row],[OrderDate]], Table1[[#This Row],[OrderDate]]+7, Table1[[#This Row],[RequiredDate]])</f>
        <v>45905</v>
      </c>
      <c r="AJ619">
        <f>IF(Dashboard!$D$3&gt;'Staging Data'!V619,'Staging Data'!V619,Dashboard!D$3)</f>
        <v>0.2</v>
      </c>
      <c r="AK619" s="19">
        <f>(100%+Dashboard!$D$4)*'Staging Data'!S619</f>
        <v>1334.655</v>
      </c>
      <c r="AL619">
        <f>(100%+Dashboard!$D$5)*'Staging Data'!W619</f>
        <v>24.15</v>
      </c>
    </row>
    <row r="620" spans="1:38" x14ac:dyDescent="0.35">
      <c r="A620" s="6" t="s">
        <v>496</v>
      </c>
      <c r="B620" s="4">
        <v>45899</v>
      </c>
      <c r="C620" s="4">
        <v>45903</v>
      </c>
      <c r="D620" s="4">
        <f>IF(Table1[[#This Row],[RequiredDate]]&lt;Table1[[#This Row],[OrderDate]],Table1[[#This Row],[RequiredDate]],Table1[[#This Row],[OrderDate]])</f>
        <v>45899</v>
      </c>
      <c r="E620" s="4">
        <f>IF(Table1[[#This Row],[RequiredDate]]&gt;Table1[[#This Row],[OrderDate]],Table1[[#This Row],[RequiredDate]],Table1[[#This Row],[OrderDate]])</f>
        <v>45903</v>
      </c>
      <c r="F620" s="21">
        <f>Table1[[#This Row],[New RD]]-Table1[[#This Row],[new   od]]</f>
        <v>4</v>
      </c>
      <c r="G620" s="4">
        <f>IF(Table1[[#This Row],[RequiredDate]]&lt;Table1[[#This Row],[OrderDate]], Table1[[#This Row],[OrderDate]]+7, Table1[[#This Row],[RequiredDate]])</f>
        <v>45903</v>
      </c>
      <c r="H620" s="21">
        <f t="shared" si="100"/>
        <v>4</v>
      </c>
      <c r="I620" s="6" t="str">
        <f>IF(Table1[[#This Row],[New LTD]]&lt;=7,"Yes","No")</f>
        <v>Yes</v>
      </c>
      <c r="J620" s="6" t="str">
        <f t="shared" si="101"/>
        <v>No</v>
      </c>
      <c r="K620" t="s">
        <v>649</v>
      </c>
      <c r="L620" t="s">
        <v>657</v>
      </c>
      <c r="M620" t="s">
        <v>673</v>
      </c>
      <c r="N620" t="s">
        <v>705</v>
      </c>
      <c r="O620" t="s">
        <v>709</v>
      </c>
      <c r="P620" t="s">
        <v>713</v>
      </c>
      <c r="Q620" t="s">
        <v>731</v>
      </c>
      <c r="R620" t="s">
        <v>1215</v>
      </c>
      <c r="S620" s="6">
        <v>1286.56</v>
      </c>
      <c r="T620" s="6">
        <v>2777.35</v>
      </c>
      <c r="U620" s="6">
        <f t="shared" si="102"/>
        <v>2777.35</v>
      </c>
      <c r="V620" s="8">
        <v>0.13200000000000001</v>
      </c>
      <c r="W620" s="6">
        <v>15</v>
      </c>
      <c r="X620" s="6">
        <f t="shared" si="103"/>
        <v>36161.097000000002</v>
      </c>
      <c r="Y620">
        <f t="shared" si="104"/>
        <v>19298.399999999998</v>
      </c>
      <c r="Z620" s="6">
        <f t="shared" si="105"/>
        <v>16862.697000000004</v>
      </c>
      <c r="AA620">
        <f t="shared" si="106"/>
        <v>0.46632150014696744</v>
      </c>
      <c r="AB620" t="str">
        <f t="shared" si="107"/>
        <v>8-2025</v>
      </c>
      <c r="AC620" t="str">
        <f t="shared" si="108"/>
        <v>Q3-2025</v>
      </c>
      <c r="AD620" t="str">
        <f t="shared" si="109"/>
        <v>Europe →France →Marseille</v>
      </c>
      <c r="AE620" t="str">
        <f t="shared" si="110"/>
        <v>High</v>
      </c>
      <c r="AF620" t="str">
        <f>TEXT(Table1[[#This Row],[OrderDate]],"MMM")</f>
        <v>Aug</v>
      </c>
      <c r="AG620" t="str">
        <f>TEXT(Table1[[#This Row],[OrderDate]],"YYYY")</f>
        <v>2025</v>
      </c>
      <c r="AI620" s="4">
        <f>IF(Table1[[#This Row],[RequiredDate]]&lt;Table1[[#This Row],[OrderDate]], Table1[[#This Row],[OrderDate]]+7, Table1[[#This Row],[RequiredDate]])</f>
        <v>45903</v>
      </c>
      <c r="AJ620">
        <f>IF(Dashboard!$D$3&gt;'Staging Data'!V620,'Staging Data'!V620,Dashboard!D$3)</f>
        <v>0.13200000000000001</v>
      </c>
      <c r="AK620" s="19">
        <f>(100%+Dashboard!$D$4)*'Staging Data'!S620</f>
        <v>1350.8879999999999</v>
      </c>
      <c r="AL620">
        <f>(100%+Dashboard!$D$5)*'Staging Data'!W620</f>
        <v>17.25</v>
      </c>
    </row>
    <row r="621" spans="1:38" x14ac:dyDescent="0.35">
      <c r="A621" s="6" t="s">
        <v>605</v>
      </c>
      <c r="B621" s="4">
        <v>45899</v>
      </c>
      <c r="C621" s="4">
        <v>45922</v>
      </c>
      <c r="D621" s="4">
        <f>IF(Table1[[#This Row],[RequiredDate]]&lt;Table1[[#This Row],[OrderDate]],Table1[[#This Row],[RequiredDate]],Table1[[#This Row],[OrderDate]])</f>
        <v>45899</v>
      </c>
      <c r="E621" s="4">
        <f>IF(Table1[[#This Row],[RequiredDate]]&gt;Table1[[#This Row],[OrderDate]],Table1[[#This Row],[RequiredDate]],Table1[[#This Row],[OrderDate]])</f>
        <v>45922</v>
      </c>
      <c r="F621" s="21">
        <f>Table1[[#This Row],[New RD]]-Table1[[#This Row],[new   od]]</f>
        <v>23</v>
      </c>
      <c r="G621" s="4">
        <f>IF(Table1[[#This Row],[RequiredDate]]&lt;Table1[[#This Row],[OrderDate]], Table1[[#This Row],[OrderDate]]+7, Table1[[#This Row],[RequiredDate]])</f>
        <v>45922</v>
      </c>
      <c r="H621" s="21">
        <f t="shared" si="100"/>
        <v>23</v>
      </c>
      <c r="I621" s="6" t="str">
        <f>IF(Table1[[#This Row],[New LTD]]&lt;=7,"Yes","No")</f>
        <v>No</v>
      </c>
      <c r="J621" s="6" t="str">
        <f t="shared" si="101"/>
        <v>No</v>
      </c>
      <c r="K621" t="s">
        <v>649</v>
      </c>
      <c r="L621" t="s">
        <v>657</v>
      </c>
      <c r="M621" t="s">
        <v>673</v>
      </c>
      <c r="N621" t="s">
        <v>701</v>
      </c>
      <c r="O621" t="s">
        <v>711</v>
      </c>
      <c r="P621" t="s">
        <v>718</v>
      </c>
      <c r="Q621" t="s">
        <v>727</v>
      </c>
      <c r="R621" t="s">
        <v>1323</v>
      </c>
      <c r="S621" s="6">
        <v>663.9</v>
      </c>
      <c r="T621" s="6">
        <v>947.77</v>
      </c>
      <c r="U621" s="6">
        <f t="shared" si="102"/>
        <v>947.77</v>
      </c>
      <c r="V621" s="8">
        <v>0.17399999999999999</v>
      </c>
      <c r="W621" s="6">
        <v>15</v>
      </c>
      <c r="X621" s="6">
        <f t="shared" si="103"/>
        <v>11742.8703</v>
      </c>
      <c r="Y621">
        <f t="shared" si="104"/>
        <v>9958.5</v>
      </c>
      <c r="Z621" s="6">
        <f t="shared" si="105"/>
        <v>1784.3703000000005</v>
      </c>
      <c r="AA621">
        <f t="shared" si="106"/>
        <v>0.1519535049280073</v>
      </c>
      <c r="AB621" t="str">
        <f t="shared" si="107"/>
        <v>8-2025</v>
      </c>
      <c r="AC621" t="str">
        <f t="shared" si="108"/>
        <v>Q3-2025</v>
      </c>
      <c r="AD621" t="str">
        <f t="shared" si="109"/>
        <v>Europe →France →Marseille</v>
      </c>
      <c r="AE621" t="str">
        <f t="shared" si="110"/>
        <v>Medium</v>
      </c>
      <c r="AF621" t="str">
        <f>TEXT(Table1[[#This Row],[OrderDate]],"MMM")</f>
        <v>Aug</v>
      </c>
      <c r="AG621" t="str">
        <f>TEXT(Table1[[#This Row],[OrderDate]],"YYYY")</f>
        <v>2025</v>
      </c>
      <c r="AI621" s="4">
        <f>IF(Table1[[#This Row],[RequiredDate]]&lt;Table1[[#This Row],[OrderDate]], Table1[[#This Row],[OrderDate]]+7, Table1[[#This Row],[RequiredDate]])</f>
        <v>45922</v>
      </c>
      <c r="AJ621">
        <f>IF(Dashboard!$D$3&gt;'Staging Data'!V621,'Staging Data'!V621,Dashboard!D$3)</f>
        <v>0.17399999999999999</v>
      </c>
      <c r="AK621" s="19">
        <f>(100%+Dashboard!$D$4)*'Staging Data'!S621</f>
        <v>697.09500000000003</v>
      </c>
      <c r="AL621">
        <f>(100%+Dashboard!$D$5)*'Staging Data'!W621</f>
        <v>17.25</v>
      </c>
    </row>
    <row r="622" spans="1:38" x14ac:dyDescent="0.35">
      <c r="A622" s="6" t="s">
        <v>29</v>
      </c>
      <c r="B622" s="4">
        <v>45901</v>
      </c>
      <c r="C622" s="4">
        <v>45930</v>
      </c>
      <c r="D622" s="4">
        <f>IF(Table1[[#This Row],[RequiredDate]]&lt;Table1[[#This Row],[OrderDate]],Table1[[#This Row],[RequiredDate]],Table1[[#This Row],[OrderDate]])</f>
        <v>45901</v>
      </c>
      <c r="E622" s="4">
        <f>IF(Table1[[#This Row],[RequiredDate]]&gt;Table1[[#This Row],[OrderDate]],Table1[[#This Row],[RequiredDate]],Table1[[#This Row],[OrderDate]])</f>
        <v>45930</v>
      </c>
      <c r="F622" s="21">
        <f>Table1[[#This Row],[New RD]]-Table1[[#This Row],[new   od]]</f>
        <v>29</v>
      </c>
      <c r="G622" s="4">
        <f>IF(Table1[[#This Row],[RequiredDate]]&lt;Table1[[#This Row],[OrderDate]], Table1[[#This Row],[OrderDate]]+7, Table1[[#This Row],[RequiredDate]])</f>
        <v>45930</v>
      </c>
      <c r="H622" s="21">
        <f t="shared" si="100"/>
        <v>29</v>
      </c>
      <c r="I622" s="6" t="str">
        <f>IF(Table1[[#This Row],[New LTD]]&lt;=7,"Yes","No")</f>
        <v>No</v>
      </c>
      <c r="J622" s="6" t="str">
        <f t="shared" si="101"/>
        <v>No</v>
      </c>
      <c r="K622" t="s">
        <v>648</v>
      </c>
      <c r="L622" t="s">
        <v>655</v>
      </c>
      <c r="M622" t="s">
        <v>672</v>
      </c>
      <c r="N622" t="s">
        <v>702</v>
      </c>
      <c r="O622" t="s">
        <v>707</v>
      </c>
      <c r="P622" t="s">
        <v>723</v>
      </c>
      <c r="Q622" t="s">
        <v>733</v>
      </c>
      <c r="R622" t="s">
        <v>748</v>
      </c>
      <c r="S622" s="6">
        <v>780.59</v>
      </c>
      <c r="T622" s="6">
        <v>631.57000000000005</v>
      </c>
      <c r="U622" s="6">
        <f t="shared" si="102"/>
        <v>631.57000000000005</v>
      </c>
      <c r="V622" s="8">
        <v>0</v>
      </c>
      <c r="W622" s="6">
        <v>12</v>
      </c>
      <c r="X622" s="6">
        <f t="shared" si="103"/>
        <v>7578.84</v>
      </c>
      <c r="Y622">
        <f t="shared" si="104"/>
        <v>9367.08</v>
      </c>
      <c r="Z622" s="6">
        <f t="shared" si="105"/>
        <v>-1788.2399999999998</v>
      </c>
      <c r="AA622">
        <f t="shared" si="106"/>
        <v>-0.23595167598207639</v>
      </c>
      <c r="AB622" t="str">
        <f t="shared" si="107"/>
        <v>9-2025</v>
      </c>
      <c r="AC622" t="str">
        <f t="shared" si="108"/>
        <v>Q3-2025</v>
      </c>
      <c r="AD622" t="str">
        <f t="shared" si="109"/>
        <v>Americas →Brazil →Brasília</v>
      </c>
      <c r="AE622" t="str">
        <f t="shared" si="110"/>
        <v>Low</v>
      </c>
      <c r="AF622" t="str">
        <f>TEXT(Table1[[#This Row],[OrderDate]],"MMM")</f>
        <v>Sep</v>
      </c>
      <c r="AG622" t="str">
        <f>TEXT(Table1[[#This Row],[OrderDate]],"YYYY")</f>
        <v>2025</v>
      </c>
      <c r="AI622" s="4">
        <f>IF(Table1[[#This Row],[RequiredDate]]&lt;Table1[[#This Row],[OrderDate]], Table1[[#This Row],[OrderDate]]+7, Table1[[#This Row],[RequiredDate]])</f>
        <v>45930</v>
      </c>
      <c r="AJ622">
        <f>IF(Dashboard!$D$3&gt;'Staging Data'!V622,'Staging Data'!V622,Dashboard!D$3)</f>
        <v>0</v>
      </c>
      <c r="AK622" s="19">
        <f>(100%+Dashboard!$D$4)*'Staging Data'!S622</f>
        <v>819.61950000000002</v>
      </c>
      <c r="AL622">
        <f>(100%+Dashboard!$D$5)*'Staging Data'!W622</f>
        <v>13.799999999999999</v>
      </c>
    </row>
    <row r="623" spans="1:38" x14ac:dyDescent="0.35">
      <c r="A623" s="6" t="s">
        <v>279</v>
      </c>
      <c r="B623" s="4">
        <v>45902</v>
      </c>
      <c r="C623" s="4">
        <v>45911</v>
      </c>
      <c r="D623" s="4">
        <f>IF(Table1[[#This Row],[RequiredDate]]&lt;Table1[[#This Row],[OrderDate]],Table1[[#This Row],[RequiredDate]],Table1[[#This Row],[OrderDate]])</f>
        <v>45902</v>
      </c>
      <c r="E623" s="4">
        <f>IF(Table1[[#This Row],[RequiredDate]]&gt;Table1[[#This Row],[OrderDate]],Table1[[#This Row],[RequiredDate]],Table1[[#This Row],[OrderDate]])</f>
        <v>45911</v>
      </c>
      <c r="F623" s="21">
        <f>Table1[[#This Row],[New RD]]-Table1[[#This Row],[new   od]]</f>
        <v>9</v>
      </c>
      <c r="G623" s="4">
        <f>IF(Table1[[#This Row],[RequiredDate]]&lt;Table1[[#This Row],[OrderDate]], Table1[[#This Row],[OrderDate]]+7, Table1[[#This Row],[RequiredDate]])</f>
        <v>45911</v>
      </c>
      <c r="H623" s="21">
        <f t="shared" si="100"/>
        <v>9</v>
      </c>
      <c r="I623" s="6" t="str">
        <f>IF(Table1[[#This Row],[New LTD]]&lt;=7,"Yes","No")</f>
        <v>No</v>
      </c>
      <c r="J623" s="6" t="str">
        <f t="shared" si="101"/>
        <v>No</v>
      </c>
      <c r="K623" t="s">
        <v>648</v>
      </c>
      <c r="L623" t="s">
        <v>653</v>
      </c>
      <c r="M623" t="s">
        <v>667</v>
      </c>
      <c r="N623" t="s">
        <v>701</v>
      </c>
      <c r="O623" t="s">
        <v>710</v>
      </c>
      <c r="P623" t="s">
        <v>724</v>
      </c>
      <c r="Q623" t="s">
        <v>728</v>
      </c>
      <c r="R623" t="s">
        <v>999</v>
      </c>
      <c r="S623" s="6">
        <v>1207.6300000000001</v>
      </c>
      <c r="T623" s="6">
        <v>921.68</v>
      </c>
      <c r="U623" s="6">
        <f t="shared" si="102"/>
        <v>921.68</v>
      </c>
      <c r="V623" s="8">
        <v>0.19600000000000001</v>
      </c>
      <c r="W623" s="6">
        <v>17</v>
      </c>
      <c r="X623" s="6">
        <f t="shared" si="103"/>
        <v>12597.52224</v>
      </c>
      <c r="Y623">
        <f t="shared" si="104"/>
        <v>20529.710000000003</v>
      </c>
      <c r="Z623" s="6">
        <f t="shared" si="105"/>
        <v>-7932.1877600000025</v>
      </c>
      <c r="AA623">
        <f t="shared" si="106"/>
        <v>-0.62966253274897988</v>
      </c>
      <c r="AB623" t="str">
        <f t="shared" si="107"/>
        <v>9-2025</v>
      </c>
      <c r="AC623" t="str">
        <f t="shared" si="108"/>
        <v>Q3-2025</v>
      </c>
      <c r="AD623" t="str">
        <f t="shared" si="109"/>
        <v>Americas →Canada →Toronto</v>
      </c>
      <c r="AE623" t="str">
        <f t="shared" si="110"/>
        <v>Medium</v>
      </c>
      <c r="AF623" t="str">
        <f>TEXT(Table1[[#This Row],[OrderDate]],"MMM")</f>
        <v>Sep</v>
      </c>
      <c r="AG623" t="str">
        <f>TEXT(Table1[[#This Row],[OrderDate]],"YYYY")</f>
        <v>2025</v>
      </c>
      <c r="AI623" s="4">
        <f>IF(Table1[[#This Row],[RequiredDate]]&lt;Table1[[#This Row],[OrderDate]], Table1[[#This Row],[OrderDate]]+7, Table1[[#This Row],[RequiredDate]])</f>
        <v>45911</v>
      </c>
      <c r="AJ623">
        <f>IF(Dashboard!$D$3&gt;'Staging Data'!V623,'Staging Data'!V623,Dashboard!D$3)</f>
        <v>0.19600000000000001</v>
      </c>
      <c r="AK623" s="19">
        <f>(100%+Dashboard!$D$4)*'Staging Data'!S623</f>
        <v>1268.0115000000001</v>
      </c>
      <c r="AL623">
        <f>(100%+Dashboard!$D$5)*'Staging Data'!W623</f>
        <v>19.549999999999997</v>
      </c>
    </row>
    <row r="624" spans="1:38" x14ac:dyDescent="0.35">
      <c r="A624" s="6" t="s">
        <v>32</v>
      </c>
      <c r="B624" s="4">
        <v>45908</v>
      </c>
      <c r="C624" s="4">
        <v>45916</v>
      </c>
      <c r="D624" s="4">
        <f>IF(Table1[[#This Row],[RequiredDate]]&lt;Table1[[#This Row],[OrderDate]],Table1[[#This Row],[RequiredDate]],Table1[[#This Row],[OrderDate]])</f>
        <v>45908</v>
      </c>
      <c r="E624" s="4">
        <f>IF(Table1[[#This Row],[RequiredDate]]&gt;Table1[[#This Row],[OrderDate]],Table1[[#This Row],[RequiredDate]],Table1[[#This Row],[OrderDate]])</f>
        <v>45916</v>
      </c>
      <c r="F624" s="21">
        <f>Table1[[#This Row],[New RD]]-Table1[[#This Row],[new   od]]</f>
        <v>8</v>
      </c>
      <c r="G624" s="4">
        <f>IF(Table1[[#This Row],[RequiredDate]]&lt;Table1[[#This Row],[OrderDate]], Table1[[#This Row],[OrderDate]]+7, Table1[[#This Row],[RequiredDate]])</f>
        <v>45916</v>
      </c>
      <c r="H624" s="21">
        <f t="shared" si="100"/>
        <v>8</v>
      </c>
      <c r="I624" s="6" t="str">
        <f>IF(Table1[[#This Row],[New LTD]]&lt;=7,"Yes","No")</f>
        <v>No</v>
      </c>
      <c r="J624" s="6" t="str">
        <f t="shared" si="101"/>
        <v>No</v>
      </c>
      <c r="K624" t="s">
        <v>647</v>
      </c>
      <c r="L624" t="s">
        <v>652</v>
      </c>
      <c r="M624" t="s">
        <v>666</v>
      </c>
      <c r="N624" t="s">
        <v>701</v>
      </c>
      <c r="O624" t="s">
        <v>710</v>
      </c>
      <c r="P624" t="s">
        <v>712</v>
      </c>
      <c r="Q624" t="s">
        <v>730</v>
      </c>
      <c r="R624" t="s">
        <v>751</v>
      </c>
      <c r="S624" s="6">
        <v>1225.57</v>
      </c>
      <c r="T624" s="6">
        <v>2705.57</v>
      </c>
      <c r="U624" s="6">
        <f t="shared" si="102"/>
        <v>2705.57</v>
      </c>
      <c r="V624" s="8">
        <v>0.183</v>
      </c>
      <c r="W624" s="6">
        <v>16</v>
      </c>
      <c r="X624" s="6">
        <f t="shared" si="103"/>
        <v>35367.211040000002</v>
      </c>
      <c r="Y624">
        <f t="shared" si="104"/>
        <v>19609.12</v>
      </c>
      <c r="Z624" s="6">
        <f t="shared" si="105"/>
        <v>15758.091040000003</v>
      </c>
      <c r="AA624">
        <f t="shared" si="106"/>
        <v>0.44555650775453404</v>
      </c>
      <c r="AB624" t="str">
        <f t="shared" si="107"/>
        <v>9-2025</v>
      </c>
      <c r="AC624" t="str">
        <f t="shared" si="108"/>
        <v>Q3-2025</v>
      </c>
      <c r="AD624" t="str">
        <f t="shared" si="109"/>
        <v>Asia →Japan →Osaka</v>
      </c>
      <c r="AE624" t="str">
        <f t="shared" si="110"/>
        <v>High</v>
      </c>
      <c r="AF624" t="str">
        <f>TEXT(Table1[[#This Row],[OrderDate]],"MMM")</f>
        <v>Sep</v>
      </c>
      <c r="AG624" t="str">
        <f>TEXT(Table1[[#This Row],[OrderDate]],"YYYY")</f>
        <v>2025</v>
      </c>
      <c r="AI624" s="4">
        <f>IF(Table1[[#This Row],[RequiredDate]]&lt;Table1[[#This Row],[OrderDate]], Table1[[#This Row],[OrderDate]]+7, Table1[[#This Row],[RequiredDate]])</f>
        <v>45916</v>
      </c>
      <c r="AJ624">
        <f>IF(Dashboard!$D$3&gt;'Staging Data'!V624,'Staging Data'!V624,Dashboard!D$3)</f>
        <v>0.183</v>
      </c>
      <c r="AK624" s="19">
        <f>(100%+Dashboard!$D$4)*'Staging Data'!S624</f>
        <v>1286.8485000000001</v>
      </c>
      <c r="AL624">
        <f>(100%+Dashboard!$D$5)*'Staging Data'!W624</f>
        <v>18.399999999999999</v>
      </c>
    </row>
    <row r="625" spans="1:38" x14ac:dyDescent="0.35">
      <c r="A625" s="6" t="s">
        <v>513</v>
      </c>
      <c r="B625" s="4">
        <v>45908</v>
      </c>
      <c r="C625" s="4">
        <v>45935</v>
      </c>
      <c r="D625" s="4">
        <f>IF(Table1[[#This Row],[RequiredDate]]&lt;Table1[[#This Row],[OrderDate]],Table1[[#This Row],[RequiredDate]],Table1[[#This Row],[OrderDate]])</f>
        <v>45908</v>
      </c>
      <c r="E625" s="4">
        <f>IF(Table1[[#This Row],[RequiredDate]]&gt;Table1[[#This Row],[OrderDate]],Table1[[#This Row],[RequiredDate]],Table1[[#This Row],[OrderDate]])</f>
        <v>45935</v>
      </c>
      <c r="F625" s="21">
        <f>Table1[[#This Row],[New RD]]-Table1[[#This Row],[new   od]]</f>
        <v>27</v>
      </c>
      <c r="G625" s="4">
        <f>IF(Table1[[#This Row],[RequiredDate]]&lt;Table1[[#This Row],[OrderDate]], Table1[[#This Row],[OrderDate]]+7, Table1[[#This Row],[RequiredDate]])</f>
        <v>45935</v>
      </c>
      <c r="H625" s="21">
        <f t="shared" si="100"/>
        <v>27</v>
      </c>
      <c r="I625" s="6" t="str">
        <f>IF(Table1[[#This Row],[New LTD]]&lt;=7,"Yes","No")</f>
        <v>No</v>
      </c>
      <c r="J625" s="6" t="str">
        <f t="shared" si="101"/>
        <v>Yes</v>
      </c>
      <c r="K625" t="s">
        <v>648</v>
      </c>
      <c r="L625" t="s">
        <v>655</v>
      </c>
      <c r="M625" t="s">
        <v>692</v>
      </c>
      <c r="N625" t="s">
        <v>702</v>
      </c>
      <c r="O625" t="s">
        <v>708</v>
      </c>
      <c r="P625" t="s">
        <v>712</v>
      </c>
      <c r="Q625" t="s">
        <v>732</v>
      </c>
      <c r="R625" t="s">
        <v>1232</v>
      </c>
      <c r="S625" s="6">
        <v>660.78</v>
      </c>
      <c r="T625" s="6">
        <v>1630.39</v>
      </c>
      <c r="U625" s="6">
        <f t="shared" si="102"/>
        <v>1630.39</v>
      </c>
      <c r="V625" s="8">
        <v>0.218</v>
      </c>
      <c r="W625" s="6">
        <v>13</v>
      </c>
      <c r="X625" s="6">
        <f t="shared" si="103"/>
        <v>16574.544740000001</v>
      </c>
      <c r="Y625">
        <f t="shared" si="104"/>
        <v>8590.14</v>
      </c>
      <c r="Z625" s="6">
        <f t="shared" si="105"/>
        <v>7984.4047400000018</v>
      </c>
      <c r="AA625">
        <f t="shared" si="106"/>
        <v>0.48172694123724097</v>
      </c>
      <c r="AB625" t="str">
        <f t="shared" si="107"/>
        <v>9-2025</v>
      </c>
      <c r="AC625" t="str">
        <f t="shared" si="108"/>
        <v>Q3-2025</v>
      </c>
      <c r="AD625" t="str">
        <f t="shared" si="109"/>
        <v>Americas →Brazil →Rio de Janeiro</v>
      </c>
      <c r="AE625" t="str">
        <f t="shared" si="110"/>
        <v>High</v>
      </c>
      <c r="AF625" t="str">
        <f>TEXT(Table1[[#This Row],[OrderDate]],"MMM")</f>
        <v>Sep</v>
      </c>
      <c r="AG625" t="str">
        <f>TEXT(Table1[[#This Row],[OrderDate]],"YYYY")</f>
        <v>2025</v>
      </c>
      <c r="AI625" s="4">
        <f>IF(Table1[[#This Row],[RequiredDate]]&lt;Table1[[#This Row],[OrderDate]], Table1[[#This Row],[OrderDate]]+7, Table1[[#This Row],[RequiredDate]])</f>
        <v>45935</v>
      </c>
      <c r="AJ625">
        <f>IF(Dashboard!$D$3&gt;'Staging Data'!V625,'Staging Data'!V625,Dashboard!D$3)</f>
        <v>0.2</v>
      </c>
      <c r="AK625" s="19">
        <f>(100%+Dashboard!$D$4)*'Staging Data'!S625</f>
        <v>693.81899999999996</v>
      </c>
      <c r="AL625">
        <f>(100%+Dashboard!$D$5)*'Staging Data'!W625</f>
        <v>14.95</v>
      </c>
    </row>
    <row r="626" spans="1:38" x14ac:dyDescent="0.35">
      <c r="A626" s="6" t="s">
        <v>76</v>
      </c>
      <c r="B626" s="4">
        <v>45910</v>
      </c>
      <c r="C626" s="4">
        <v>45912</v>
      </c>
      <c r="D626" s="4">
        <f>IF(Table1[[#This Row],[RequiredDate]]&lt;Table1[[#This Row],[OrderDate]],Table1[[#This Row],[RequiredDate]],Table1[[#This Row],[OrderDate]])</f>
        <v>45910</v>
      </c>
      <c r="E626" s="4">
        <f>IF(Table1[[#This Row],[RequiredDate]]&gt;Table1[[#This Row],[OrderDate]],Table1[[#This Row],[RequiredDate]],Table1[[#This Row],[OrderDate]])</f>
        <v>45912</v>
      </c>
      <c r="F626" s="21">
        <f>Table1[[#This Row],[New RD]]-Table1[[#This Row],[new   od]]</f>
        <v>2</v>
      </c>
      <c r="G626" s="4">
        <f>IF(Table1[[#This Row],[RequiredDate]]&lt;Table1[[#This Row],[OrderDate]], Table1[[#This Row],[OrderDate]]+7, Table1[[#This Row],[RequiredDate]])</f>
        <v>45912</v>
      </c>
      <c r="H626" s="21">
        <f t="shared" si="100"/>
        <v>2</v>
      </c>
      <c r="I626" s="6" t="str">
        <f>IF(Table1[[#This Row],[New LTD]]&lt;=7,"Yes","No")</f>
        <v>Yes</v>
      </c>
      <c r="J626" s="6" t="str">
        <f t="shared" si="101"/>
        <v>No</v>
      </c>
      <c r="K626" t="s">
        <v>647</v>
      </c>
      <c r="L626" t="s">
        <v>652</v>
      </c>
      <c r="M626" t="s">
        <v>689</v>
      </c>
      <c r="N626" t="s">
        <v>704</v>
      </c>
      <c r="O626" t="s">
        <v>708</v>
      </c>
      <c r="P626" t="s">
        <v>719</v>
      </c>
      <c r="Q626" t="s">
        <v>727</v>
      </c>
      <c r="R626" t="s">
        <v>795</v>
      </c>
      <c r="S626" s="6">
        <v>1470.15</v>
      </c>
      <c r="T626" s="6">
        <v>2593.7800000000002</v>
      </c>
      <c r="U626" s="6">
        <f t="shared" si="102"/>
        <v>2593.7800000000002</v>
      </c>
      <c r="V626" s="8">
        <v>0.11</v>
      </c>
      <c r="W626" s="6">
        <v>12</v>
      </c>
      <c r="X626" s="6">
        <f t="shared" si="103"/>
        <v>27701.570400000001</v>
      </c>
      <c r="Y626">
        <f t="shared" si="104"/>
        <v>17641.800000000003</v>
      </c>
      <c r="Z626" s="6">
        <f t="shared" si="105"/>
        <v>10059.770399999998</v>
      </c>
      <c r="AA626">
        <f t="shared" si="106"/>
        <v>0.36314801849645306</v>
      </c>
      <c r="AB626" t="str">
        <f t="shared" si="107"/>
        <v>9-2025</v>
      </c>
      <c r="AC626" t="str">
        <f t="shared" si="108"/>
        <v>Q3-2025</v>
      </c>
      <c r="AD626" t="str">
        <f t="shared" si="109"/>
        <v>Asia →Japan →Tokyo</v>
      </c>
      <c r="AE626" t="str">
        <f t="shared" si="110"/>
        <v>High</v>
      </c>
      <c r="AF626" t="str">
        <f>TEXT(Table1[[#This Row],[OrderDate]],"MMM")</f>
        <v>Sep</v>
      </c>
      <c r="AG626" t="str">
        <f>TEXT(Table1[[#This Row],[OrderDate]],"YYYY")</f>
        <v>2025</v>
      </c>
      <c r="AI626" s="4">
        <f>IF(Table1[[#This Row],[RequiredDate]]&lt;Table1[[#This Row],[OrderDate]], Table1[[#This Row],[OrderDate]]+7, Table1[[#This Row],[RequiredDate]])</f>
        <v>45912</v>
      </c>
      <c r="AJ626">
        <f>IF(Dashboard!$D$3&gt;'Staging Data'!V626,'Staging Data'!V626,Dashboard!D$3)</f>
        <v>0.11</v>
      </c>
      <c r="AK626" s="19">
        <f>(100%+Dashboard!$D$4)*'Staging Data'!S626</f>
        <v>1543.6575000000003</v>
      </c>
      <c r="AL626">
        <f>(100%+Dashboard!$D$5)*'Staging Data'!W626</f>
        <v>13.799999999999999</v>
      </c>
    </row>
    <row r="627" spans="1:38" x14ac:dyDescent="0.35">
      <c r="A627" s="6" t="s">
        <v>109</v>
      </c>
      <c r="B627" s="4">
        <v>45910</v>
      </c>
      <c r="C627" s="4">
        <v>45930</v>
      </c>
      <c r="D627" s="4">
        <f>IF(Table1[[#This Row],[RequiredDate]]&lt;Table1[[#This Row],[OrderDate]],Table1[[#This Row],[RequiredDate]],Table1[[#This Row],[OrderDate]])</f>
        <v>45910</v>
      </c>
      <c r="E627" s="4">
        <f>IF(Table1[[#This Row],[RequiredDate]]&gt;Table1[[#This Row],[OrderDate]],Table1[[#This Row],[RequiredDate]],Table1[[#This Row],[OrderDate]])</f>
        <v>45930</v>
      </c>
      <c r="F627" s="21">
        <f>Table1[[#This Row],[New RD]]-Table1[[#This Row],[new   od]]</f>
        <v>20</v>
      </c>
      <c r="G627" s="4">
        <f>IF(Table1[[#This Row],[RequiredDate]]&lt;Table1[[#This Row],[OrderDate]], Table1[[#This Row],[OrderDate]]+7, Table1[[#This Row],[RequiredDate]])</f>
        <v>45930</v>
      </c>
      <c r="H627" s="21">
        <f t="shared" si="100"/>
        <v>20</v>
      </c>
      <c r="I627" s="6" t="str">
        <f>IF(Table1[[#This Row],[New LTD]]&lt;=7,"Yes","No")</f>
        <v>No</v>
      </c>
      <c r="J627" s="6" t="str">
        <f t="shared" si="101"/>
        <v>No</v>
      </c>
      <c r="K627" t="s">
        <v>646</v>
      </c>
      <c r="L627" t="s">
        <v>650</v>
      </c>
      <c r="M627" t="s">
        <v>675</v>
      </c>
      <c r="N627" t="s">
        <v>701</v>
      </c>
      <c r="O627" t="s">
        <v>711</v>
      </c>
      <c r="P627" t="s">
        <v>716</v>
      </c>
      <c r="Q627" t="s">
        <v>730</v>
      </c>
      <c r="R627" t="s">
        <v>828</v>
      </c>
      <c r="S627" s="6">
        <v>1009.48</v>
      </c>
      <c r="T627" s="6">
        <v>1088.81</v>
      </c>
      <c r="U627" s="6">
        <f t="shared" si="102"/>
        <v>1088.81</v>
      </c>
      <c r="V627" s="8">
        <v>0.16</v>
      </c>
      <c r="W627" s="6">
        <v>6</v>
      </c>
      <c r="X627" s="6">
        <f t="shared" si="103"/>
        <v>5487.6023999999998</v>
      </c>
      <c r="Y627">
        <f t="shared" si="104"/>
        <v>6056.88</v>
      </c>
      <c r="Z627" s="6">
        <f t="shared" si="105"/>
        <v>-569.27760000000035</v>
      </c>
      <c r="AA627">
        <f t="shared" si="106"/>
        <v>-0.10373885688219693</v>
      </c>
      <c r="AB627" t="str">
        <f t="shared" si="107"/>
        <v>9-2025</v>
      </c>
      <c r="AC627" t="str">
        <f t="shared" si="108"/>
        <v>Q3-2025</v>
      </c>
      <c r="AD627" t="str">
        <f t="shared" si="109"/>
        <v>Africa →Kenya →Mombasa</v>
      </c>
      <c r="AE627" t="str">
        <f t="shared" si="110"/>
        <v>Medium</v>
      </c>
      <c r="AF627" t="str">
        <f>TEXT(Table1[[#This Row],[OrderDate]],"MMM")</f>
        <v>Sep</v>
      </c>
      <c r="AG627" t="str">
        <f>TEXT(Table1[[#This Row],[OrderDate]],"YYYY")</f>
        <v>2025</v>
      </c>
      <c r="AI627" s="4">
        <f>IF(Table1[[#This Row],[RequiredDate]]&lt;Table1[[#This Row],[OrderDate]], Table1[[#This Row],[OrderDate]]+7, Table1[[#This Row],[RequiredDate]])</f>
        <v>45930</v>
      </c>
      <c r="AJ627">
        <f>IF(Dashboard!$D$3&gt;'Staging Data'!V627,'Staging Data'!V627,Dashboard!D$3)</f>
        <v>0.16</v>
      </c>
      <c r="AK627" s="19">
        <f>(100%+Dashboard!$D$4)*'Staging Data'!S627</f>
        <v>1059.954</v>
      </c>
      <c r="AL627">
        <f>(100%+Dashboard!$D$5)*'Staging Data'!W627</f>
        <v>6.8999999999999995</v>
      </c>
    </row>
    <row r="628" spans="1:38" x14ac:dyDescent="0.35">
      <c r="A628" s="6" t="s">
        <v>161</v>
      </c>
      <c r="B628" s="4">
        <v>45911</v>
      </c>
      <c r="C628" s="4">
        <v>45928</v>
      </c>
      <c r="D628" s="4">
        <f>IF(Table1[[#This Row],[RequiredDate]]&lt;Table1[[#This Row],[OrderDate]],Table1[[#This Row],[RequiredDate]],Table1[[#This Row],[OrderDate]])</f>
        <v>45911</v>
      </c>
      <c r="E628" s="4">
        <f>IF(Table1[[#This Row],[RequiredDate]]&gt;Table1[[#This Row],[OrderDate]],Table1[[#This Row],[RequiredDate]],Table1[[#This Row],[OrderDate]])</f>
        <v>45928</v>
      </c>
      <c r="F628" s="21">
        <f>Table1[[#This Row],[New RD]]-Table1[[#This Row],[new   od]]</f>
        <v>17</v>
      </c>
      <c r="G628" s="4">
        <f>IF(Table1[[#This Row],[RequiredDate]]&lt;Table1[[#This Row],[OrderDate]], Table1[[#This Row],[OrderDate]]+7, Table1[[#This Row],[RequiredDate]])</f>
        <v>45928</v>
      </c>
      <c r="H628" s="21">
        <f t="shared" si="100"/>
        <v>17</v>
      </c>
      <c r="I628" s="6" t="str">
        <f>IF(Table1[[#This Row],[New LTD]]&lt;=7,"Yes","No")</f>
        <v>No</v>
      </c>
      <c r="J628" s="6" t="str">
        <f t="shared" si="101"/>
        <v>No</v>
      </c>
      <c r="K628" t="s">
        <v>646</v>
      </c>
      <c r="L628" t="s">
        <v>650</v>
      </c>
      <c r="M628" t="s">
        <v>664</v>
      </c>
      <c r="N628" t="s">
        <v>703</v>
      </c>
      <c r="O628" t="s">
        <v>710</v>
      </c>
      <c r="P628" t="s">
        <v>713</v>
      </c>
      <c r="Q628" t="s">
        <v>731</v>
      </c>
      <c r="R628" t="s">
        <v>880</v>
      </c>
      <c r="S628" s="6">
        <v>891.46</v>
      </c>
      <c r="T628" s="6">
        <v>728.61</v>
      </c>
      <c r="U628" s="6">
        <f t="shared" si="102"/>
        <v>728.61</v>
      </c>
      <c r="V628" s="8">
        <v>0.185</v>
      </c>
      <c r="W628" s="6">
        <v>6</v>
      </c>
      <c r="X628" s="6">
        <f t="shared" si="103"/>
        <v>3562.9028999999996</v>
      </c>
      <c r="Y628">
        <f t="shared" si="104"/>
        <v>5348.76</v>
      </c>
      <c r="Z628" s="6">
        <f t="shared" si="105"/>
        <v>-1785.8571000000006</v>
      </c>
      <c r="AA628">
        <f t="shared" si="106"/>
        <v>-0.50123653383874167</v>
      </c>
      <c r="AB628" t="str">
        <f t="shared" si="107"/>
        <v>9-2025</v>
      </c>
      <c r="AC628" t="str">
        <f t="shared" si="108"/>
        <v>Q3-2025</v>
      </c>
      <c r="AD628" t="str">
        <f t="shared" si="109"/>
        <v>Africa →Kenya →Nairobi</v>
      </c>
      <c r="AE628" t="str">
        <f t="shared" si="110"/>
        <v>Low</v>
      </c>
      <c r="AF628" t="str">
        <f>TEXT(Table1[[#This Row],[OrderDate]],"MMM")</f>
        <v>Sep</v>
      </c>
      <c r="AG628" t="str">
        <f>TEXT(Table1[[#This Row],[OrderDate]],"YYYY")</f>
        <v>2025</v>
      </c>
      <c r="AI628" s="4">
        <f>IF(Table1[[#This Row],[RequiredDate]]&lt;Table1[[#This Row],[OrderDate]], Table1[[#This Row],[OrderDate]]+7, Table1[[#This Row],[RequiredDate]])</f>
        <v>45928</v>
      </c>
      <c r="AJ628">
        <f>IF(Dashboard!$D$3&gt;'Staging Data'!V628,'Staging Data'!V628,Dashboard!D$3)</f>
        <v>0.185</v>
      </c>
      <c r="AK628" s="19">
        <f>(100%+Dashboard!$D$4)*'Staging Data'!S628</f>
        <v>936.03300000000013</v>
      </c>
      <c r="AL628">
        <f>(100%+Dashboard!$D$5)*'Staging Data'!W628</f>
        <v>6.8999999999999995</v>
      </c>
    </row>
    <row r="629" spans="1:38" x14ac:dyDescent="0.35">
      <c r="A629" s="6" t="s">
        <v>263</v>
      </c>
      <c r="B629" s="4">
        <v>45912</v>
      </c>
      <c r="C629" s="4">
        <v>45930</v>
      </c>
      <c r="D629" s="4">
        <f>IF(Table1[[#This Row],[RequiredDate]]&lt;Table1[[#This Row],[OrderDate]],Table1[[#This Row],[RequiredDate]],Table1[[#This Row],[OrderDate]])</f>
        <v>45912</v>
      </c>
      <c r="E629" s="4">
        <f>IF(Table1[[#This Row],[RequiredDate]]&gt;Table1[[#This Row],[OrderDate]],Table1[[#This Row],[RequiredDate]],Table1[[#This Row],[OrderDate]])</f>
        <v>45930</v>
      </c>
      <c r="F629" s="21">
        <f>Table1[[#This Row],[New RD]]-Table1[[#This Row],[new   od]]</f>
        <v>18</v>
      </c>
      <c r="G629" s="4">
        <f>IF(Table1[[#This Row],[RequiredDate]]&lt;Table1[[#This Row],[OrderDate]], Table1[[#This Row],[OrderDate]]+7, Table1[[#This Row],[RequiredDate]])</f>
        <v>45930</v>
      </c>
      <c r="H629" s="21">
        <f t="shared" si="100"/>
        <v>18</v>
      </c>
      <c r="I629" s="6" t="str">
        <f>IF(Table1[[#This Row],[New LTD]]&lt;=7,"Yes","No")</f>
        <v>No</v>
      </c>
      <c r="J629" s="6" t="str">
        <f t="shared" si="101"/>
        <v>No</v>
      </c>
      <c r="K629" t="s">
        <v>647</v>
      </c>
      <c r="L629" t="s">
        <v>652</v>
      </c>
      <c r="M629" t="s">
        <v>694</v>
      </c>
      <c r="N629" t="s">
        <v>703</v>
      </c>
      <c r="O629" t="s">
        <v>709</v>
      </c>
      <c r="P629" t="s">
        <v>721</v>
      </c>
      <c r="Q629" t="s">
        <v>732</v>
      </c>
      <c r="R629" t="s">
        <v>983</v>
      </c>
      <c r="S629" s="6">
        <v>1212.99</v>
      </c>
      <c r="T629" s="6">
        <v>1653.64</v>
      </c>
      <c r="U629" s="6">
        <f t="shared" si="102"/>
        <v>1653.64</v>
      </c>
      <c r="V629" s="8">
        <v>0.107</v>
      </c>
      <c r="W629" s="6">
        <v>8</v>
      </c>
      <c r="X629" s="6">
        <f t="shared" si="103"/>
        <v>11813.604160000001</v>
      </c>
      <c r="Y629">
        <f t="shared" si="104"/>
        <v>9703.92</v>
      </c>
      <c r="Z629" s="6">
        <f t="shared" si="105"/>
        <v>2109.6841600000007</v>
      </c>
      <c r="AA629">
        <f t="shared" si="106"/>
        <v>0.17858090819931455</v>
      </c>
      <c r="AB629" t="str">
        <f t="shared" si="107"/>
        <v>9-2025</v>
      </c>
      <c r="AC629" t="str">
        <f t="shared" si="108"/>
        <v>Q3-2025</v>
      </c>
      <c r="AD629" t="str">
        <f t="shared" si="109"/>
        <v>Asia →Japan →Nagoya</v>
      </c>
      <c r="AE629" t="str">
        <f t="shared" si="110"/>
        <v>High</v>
      </c>
      <c r="AF629" t="str">
        <f>TEXT(Table1[[#This Row],[OrderDate]],"MMM")</f>
        <v>Sep</v>
      </c>
      <c r="AG629" t="str">
        <f>TEXT(Table1[[#This Row],[OrderDate]],"YYYY")</f>
        <v>2025</v>
      </c>
      <c r="AI629" s="4">
        <f>IF(Table1[[#This Row],[RequiredDate]]&lt;Table1[[#This Row],[OrderDate]], Table1[[#This Row],[OrderDate]]+7, Table1[[#This Row],[RequiredDate]])</f>
        <v>45930</v>
      </c>
      <c r="AJ629">
        <f>IF(Dashboard!$D$3&gt;'Staging Data'!V629,'Staging Data'!V629,Dashboard!D$3)</f>
        <v>0.107</v>
      </c>
      <c r="AK629" s="19">
        <f>(100%+Dashboard!$D$4)*'Staging Data'!S629</f>
        <v>1273.6395</v>
      </c>
      <c r="AL629">
        <f>(100%+Dashboard!$D$5)*'Staging Data'!W629</f>
        <v>9.1999999999999993</v>
      </c>
    </row>
    <row r="630" spans="1:38" x14ac:dyDescent="0.35">
      <c r="A630" s="6" t="s">
        <v>345</v>
      </c>
      <c r="B630" s="4">
        <v>45914</v>
      </c>
      <c r="C630" s="4">
        <v>45926</v>
      </c>
      <c r="D630" s="4">
        <f>IF(Table1[[#This Row],[RequiredDate]]&lt;Table1[[#This Row],[OrderDate]],Table1[[#This Row],[RequiredDate]],Table1[[#This Row],[OrderDate]])</f>
        <v>45914</v>
      </c>
      <c r="E630" s="4">
        <f>IF(Table1[[#This Row],[RequiredDate]]&gt;Table1[[#This Row],[OrderDate]],Table1[[#This Row],[RequiredDate]],Table1[[#This Row],[OrderDate]])</f>
        <v>45926</v>
      </c>
      <c r="F630" s="21">
        <f>Table1[[#This Row],[New RD]]-Table1[[#This Row],[new   od]]</f>
        <v>12</v>
      </c>
      <c r="G630" s="4">
        <f>IF(Table1[[#This Row],[RequiredDate]]&lt;Table1[[#This Row],[OrderDate]], Table1[[#This Row],[OrderDate]]+7, Table1[[#This Row],[RequiredDate]])</f>
        <v>45926</v>
      </c>
      <c r="H630" s="21">
        <f t="shared" si="100"/>
        <v>12</v>
      </c>
      <c r="I630" s="6" t="str">
        <f>IF(Table1[[#This Row],[New LTD]]&lt;=7,"Yes","No")</f>
        <v>No</v>
      </c>
      <c r="J630" s="6" t="str">
        <f t="shared" si="101"/>
        <v>Yes</v>
      </c>
      <c r="K630" t="s">
        <v>649</v>
      </c>
      <c r="L630" t="s">
        <v>658</v>
      </c>
      <c r="M630" t="s">
        <v>683</v>
      </c>
      <c r="N630" t="s">
        <v>705</v>
      </c>
      <c r="O630" t="s">
        <v>711</v>
      </c>
      <c r="P630" t="s">
        <v>725</v>
      </c>
      <c r="Q630" t="s">
        <v>729</v>
      </c>
      <c r="R630" t="s">
        <v>1065</v>
      </c>
      <c r="S630" s="6">
        <v>425.15</v>
      </c>
      <c r="T630" s="6">
        <v>885.92</v>
      </c>
      <c r="U630" s="6">
        <f t="shared" si="102"/>
        <v>885.92</v>
      </c>
      <c r="V630" s="8">
        <v>0.23899999999999999</v>
      </c>
      <c r="W630" s="6">
        <v>13</v>
      </c>
      <c r="X630" s="6">
        <f t="shared" si="103"/>
        <v>8764.4065599999994</v>
      </c>
      <c r="Y630">
        <f t="shared" si="104"/>
        <v>5526.95</v>
      </c>
      <c r="Z630" s="6">
        <f t="shared" si="105"/>
        <v>3237.4565599999996</v>
      </c>
      <c r="AA630">
        <f t="shared" si="106"/>
        <v>0.3693868532725848</v>
      </c>
      <c r="AB630" t="str">
        <f t="shared" si="107"/>
        <v>9-2025</v>
      </c>
      <c r="AC630" t="str">
        <f t="shared" si="108"/>
        <v>Q3-2025</v>
      </c>
      <c r="AD630" t="str">
        <f t="shared" si="109"/>
        <v>Europe →United Kingdom →London</v>
      </c>
      <c r="AE630" t="str">
        <f t="shared" si="110"/>
        <v>Medium</v>
      </c>
      <c r="AF630" t="str">
        <f>TEXT(Table1[[#This Row],[OrderDate]],"MMM")</f>
        <v>Sep</v>
      </c>
      <c r="AG630" t="str">
        <f>TEXT(Table1[[#This Row],[OrderDate]],"YYYY")</f>
        <v>2025</v>
      </c>
      <c r="AI630" s="4">
        <f>IF(Table1[[#This Row],[RequiredDate]]&lt;Table1[[#This Row],[OrderDate]], Table1[[#This Row],[OrderDate]]+7, Table1[[#This Row],[RequiredDate]])</f>
        <v>45926</v>
      </c>
      <c r="AJ630">
        <f>IF(Dashboard!$D$3&gt;'Staging Data'!V630,'Staging Data'!V630,Dashboard!D$3)</f>
        <v>0.2</v>
      </c>
      <c r="AK630" s="19">
        <f>(100%+Dashboard!$D$4)*'Staging Data'!S630</f>
        <v>446.40749999999997</v>
      </c>
      <c r="AL630">
        <f>(100%+Dashboard!$D$5)*'Staging Data'!W630</f>
        <v>14.95</v>
      </c>
    </row>
    <row r="631" spans="1:38" x14ac:dyDescent="0.35">
      <c r="A631" s="6" t="s">
        <v>412</v>
      </c>
      <c r="B631" s="4">
        <v>45914</v>
      </c>
      <c r="C631" s="4">
        <v>45923</v>
      </c>
      <c r="D631" s="4">
        <f>IF(Table1[[#This Row],[RequiredDate]]&lt;Table1[[#This Row],[OrderDate]],Table1[[#This Row],[RequiredDate]],Table1[[#This Row],[OrderDate]])</f>
        <v>45914</v>
      </c>
      <c r="E631" s="4">
        <f>IF(Table1[[#This Row],[RequiredDate]]&gt;Table1[[#This Row],[OrderDate]],Table1[[#This Row],[RequiredDate]],Table1[[#This Row],[OrderDate]])</f>
        <v>45923</v>
      </c>
      <c r="F631" s="21">
        <f>Table1[[#This Row],[New RD]]-Table1[[#This Row],[new   od]]</f>
        <v>9</v>
      </c>
      <c r="G631" s="4">
        <f>IF(Table1[[#This Row],[RequiredDate]]&lt;Table1[[#This Row],[OrderDate]], Table1[[#This Row],[OrderDate]]+7, Table1[[#This Row],[RequiredDate]])</f>
        <v>45923</v>
      </c>
      <c r="H631" s="21">
        <f t="shared" si="100"/>
        <v>9</v>
      </c>
      <c r="I631" s="6" t="str">
        <f>IF(Table1[[#This Row],[New LTD]]&lt;=7,"Yes","No")</f>
        <v>No</v>
      </c>
      <c r="J631" s="6" t="str">
        <f t="shared" si="101"/>
        <v>No</v>
      </c>
      <c r="K631" t="s">
        <v>646</v>
      </c>
      <c r="L631" t="s">
        <v>661</v>
      </c>
      <c r="M631" t="s">
        <v>687</v>
      </c>
      <c r="N631" t="s">
        <v>703</v>
      </c>
      <c r="O631" t="s">
        <v>708</v>
      </c>
      <c r="P631" t="s">
        <v>726</v>
      </c>
      <c r="Q631" t="s">
        <v>727</v>
      </c>
      <c r="R631" t="s">
        <v>1131</v>
      </c>
      <c r="S631" s="6">
        <v>1310.3</v>
      </c>
      <c r="T631" s="6">
        <v>2875.8</v>
      </c>
      <c r="U631" s="6">
        <f t="shared" si="102"/>
        <v>2875.8</v>
      </c>
      <c r="V631" s="8">
        <v>8.3000000000000004E-2</v>
      </c>
      <c r="W631" s="6">
        <v>5</v>
      </c>
      <c r="X631" s="6">
        <f t="shared" si="103"/>
        <v>13185.543</v>
      </c>
      <c r="Y631">
        <f t="shared" si="104"/>
        <v>6551.5</v>
      </c>
      <c r="Z631" s="6">
        <f t="shared" si="105"/>
        <v>6634.0429999999997</v>
      </c>
      <c r="AA631">
        <f t="shared" si="106"/>
        <v>0.50313005691157353</v>
      </c>
      <c r="AB631" t="str">
        <f t="shared" si="107"/>
        <v>9-2025</v>
      </c>
      <c r="AC631" t="str">
        <f t="shared" si="108"/>
        <v>Q3-2025</v>
      </c>
      <c r="AD631" t="str">
        <f t="shared" si="109"/>
        <v>Africa →South Africa →Durban</v>
      </c>
      <c r="AE631" t="str">
        <f t="shared" si="110"/>
        <v>High</v>
      </c>
      <c r="AF631" t="str">
        <f>TEXT(Table1[[#This Row],[OrderDate]],"MMM")</f>
        <v>Sep</v>
      </c>
      <c r="AG631" t="str">
        <f>TEXT(Table1[[#This Row],[OrderDate]],"YYYY")</f>
        <v>2025</v>
      </c>
      <c r="AI631" s="4">
        <f>IF(Table1[[#This Row],[RequiredDate]]&lt;Table1[[#This Row],[OrderDate]], Table1[[#This Row],[OrderDate]]+7, Table1[[#This Row],[RequiredDate]])</f>
        <v>45923</v>
      </c>
      <c r="AJ631">
        <f>IF(Dashboard!$D$3&gt;'Staging Data'!V631,'Staging Data'!V631,Dashboard!D$3)</f>
        <v>8.3000000000000004E-2</v>
      </c>
      <c r="AK631" s="19">
        <f>(100%+Dashboard!$D$4)*'Staging Data'!S631</f>
        <v>1375.8150000000001</v>
      </c>
      <c r="AL631">
        <f>(100%+Dashboard!$D$5)*'Staging Data'!W631</f>
        <v>5.75</v>
      </c>
    </row>
    <row r="632" spans="1:38" x14ac:dyDescent="0.35">
      <c r="A632" s="6" t="s">
        <v>195</v>
      </c>
      <c r="B632" s="4">
        <v>45915</v>
      </c>
      <c r="C632" s="4">
        <v>45918</v>
      </c>
      <c r="D632" s="4">
        <f>IF(Table1[[#This Row],[RequiredDate]]&lt;Table1[[#This Row],[OrderDate]],Table1[[#This Row],[RequiredDate]],Table1[[#This Row],[OrderDate]])</f>
        <v>45915</v>
      </c>
      <c r="E632" s="4">
        <f>IF(Table1[[#This Row],[RequiredDate]]&gt;Table1[[#This Row],[OrderDate]],Table1[[#This Row],[RequiredDate]],Table1[[#This Row],[OrderDate]])</f>
        <v>45918</v>
      </c>
      <c r="F632" s="21">
        <f>Table1[[#This Row],[New RD]]-Table1[[#This Row],[new   od]]</f>
        <v>3</v>
      </c>
      <c r="G632" s="4">
        <f>IF(Table1[[#This Row],[RequiredDate]]&lt;Table1[[#This Row],[OrderDate]], Table1[[#This Row],[OrderDate]]+7, Table1[[#This Row],[RequiredDate]])</f>
        <v>45918</v>
      </c>
      <c r="H632" s="21">
        <f t="shared" si="100"/>
        <v>3</v>
      </c>
      <c r="I632" s="6" t="str">
        <f>IF(Table1[[#This Row],[New LTD]]&lt;=7,"Yes","No")</f>
        <v>Yes</v>
      </c>
      <c r="J632" s="6" t="str">
        <f t="shared" si="101"/>
        <v>Yes</v>
      </c>
      <c r="K632" t="s">
        <v>648</v>
      </c>
      <c r="L632" t="s">
        <v>655</v>
      </c>
      <c r="M632" t="s">
        <v>692</v>
      </c>
      <c r="N632" t="s">
        <v>703</v>
      </c>
      <c r="O632" t="s">
        <v>711</v>
      </c>
      <c r="P632" t="s">
        <v>716</v>
      </c>
      <c r="Q632" t="s">
        <v>733</v>
      </c>
      <c r="R632" t="s">
        <v>914</v>
      </c>
      <c r="S632" s="6">
        <v>5.5</v>
      </c>
      <c r="T632" s="6">
        <v>5.92</v>
      </c>
      <c r="U632" s="6">
        <f t="shared" si="102"/>
        <v>5.92</v>
      </c>
      <c r="V632" s="8">
        <v>0.21199999999999999</v>
      </c>
      <c r="W632" s="6">
        <v>4</v>
      </c>
      <c r="X632" s="6">
        <f t="shared" si="103"/>
        <v>18.659839999999999</v>
      </c>
      <c r="Y632">
        <f t="shared" si="104"/>
        <v>22</v>
      </c>
      <c r="Z632" s="6">
        <f t="shared" si="105"/>
        <v>-3.3401600000000009</v>
      </c>
      <c r="AA632">
        <f t="shared" si="106"/>
        <v>-0.17900260666758133</v>
      </c>
      <c r="AB632" t="str">
        <f t="shared" si="107"/>
        <v>9-2025</v>
      </c>
      <c r="AC632" t="str">
        <f t="shared" si="108"/>
        <v>Q3-2025</v>
      </c>
      <c r="AD632" t="str">
        <f t="shared" si="109"/>
        <v>Americas →Brazil →Rio de Janeiro</v>
      </c>
      <c r="AE632" t="str">
        <f t="shared" si="110"/>
        <v>Low</v>
      </c>
      <c r="AF632" t="str">
        <f>TEXT(Table1[[#This Row],[OrderDate]],"MMM")</f>
        <v>Sep</v>
      </c>
      <c r="AG632" t="str">
        <f>TEXT(Table1[[#This Row],[OrderDate]],"YYYY")</f>
        <v>2025</v>
      </c>
      <c r="AI632" s="4">
        <f>IF(Table1[[#This Row],[RequiredDate]]&lt;Table1[[#This Row],[OrderDate]], Table1[[#This Row],[OrderDate]]+7, Table1[[#This Row],[RequiredDate]])</f>
        <v>45918</v>
      </c>
      <c r="AJ632">
        <f>IF(Dashboard!$D$3&gt;'Staging Data'!V632,'Staging Data'!V632,Dashboard!D$3)</f>
        <v>0.2</v>
      </c>
      <c r="AK632" s="19">
        <f>(100%+Dashboard!$D$4)*'Staging Data'!S632</f>
        <v>5.7750000000000004</v>
      </c>
      <c r="AL632">
        <f>(100%+Dashboard!$D$5)*'Staging Data'!W632</f>
        <v>4.5999999999999996</v>
      </c>
    </row>
    <row r="633" spans="1:38" x14ac:dyDescent="0.35">
      <c r="A633" s="6" t="s">
        <v>437</v>
      </c>
      <c r="B633" s="4">
        <v>45915</v>
      </c>
      <c r="C633" s="4">
        <v>45925</v>
      </c>
      <c r="D633" s="4">
        <f>IF(Table1[[#This Row],[RequiredDate]]&lt;Table1[[#This Row],[OrderDate]],Table1[[#This Row],[RequiredDate]],Table1[[#This Row],[OrderDate]])</f>
        <v>45915</v>
      </c>
      <c r="E633" s="4">
        <f>IF(Table1[[#This Row],[RequiredDate]]&gt;Table1[[#This Row],[OrderDate]],Table1[[#This Row],[RequiredDate]],Table1[[#This Row],[OrderDate]])</f>
        <v>45925</v>
      </c>
      <c r="F633" s="21">
        <f>Table1[[#This Row],[New RD]]-Table1[[#This Row],[new   od]]</f>
        <v>10</v>
      </c>
      <c r="G633" s="4">
        <f>IF(Table1[[#This Row],[RequiredDate]]&lt;Table1[[#This Row],[OrderDate]], Table1[[#This Row],[OrderDate]]+7, Table1[[#This Row],[RequiredDate]])</f>
        <v>45925</v>
      </c>
      <c r="H633" s="21">
        <f t="shared" si="100"/>
        <v>10</v>
      </c>
      <c r="I633" s="6" t="str">
        <f>IF(Table1[[#This Row],[New LTD]]&lt;=7,"Yes","No")</f>
        <v>No</v>
      </c>
      <c r="J633" s="6" t="str">
        <f t="shared" si="101"/>
        <v>No</v>
      </c>
      <c r="K633" t="s">
        <v>647</v>
      </c>
      <c r="L633" t="s">
        <v>654</v>
      </c>
      <c r="M633" t="s">
        <v>680</v>
      </c>
      <c r="N633" t="s">
        <v>704</v>
      </c>
      <c r="O633" t="s">
        <v>707</v>
      </c>
      <c r="P633" t="s">
        <v>720</v>
      </c>
      <c r="Q633" t="s">
        <v>730</v>
      </c>
      <c r="R633" t="s">
        <v>1156</v>
      </c>
      <c r="S633" s="6">
        <v>1488.91</v>
      </c>
      <c r="T633" s="6">
        <v>1483.74</v>
      </c>
      <c r="U633" s="6">
        <f t="shared" si="102"/>
        <v>1483.74</v>
      </c>
      <c r="V633" s="8">
        <v>0.16800000000000001</v>
      </c>
      <c r="W633" s="6">
        <v>24</v>
      </c>
      <c r="X633" s="6">
        <f t="shared" si="103"/>
        <v>29627.320319999999</v>
      </c>
      <c r="Y633">
        <f t="shared" si="104"/>
        <v>35733.840000000004</v>
      </c>
      <c r="Z633" s="6">
        <f t="shared" si="105"/>
        <v>-6106.5196800000049</v>
      </c>
      <c r="AA633">
        <f t="shared" si="106"/>
        <v>-0.20611110333450519</v>
      </c>
      <c r="AB633" t="str">
        <f t="shared" si="107"/>
        <v>9-2025</v>
      </c>
      <c r="AC633" t="str">
        <f t="shared" si="108"/>
        <v>Q3-2025</v>
      </c>
      <c r="AD633" t="str">
        <f t="shared" si="109"/>
        <v>Asia →India →Delhi</v>
      </c>
      <c r="AE633" t="str">
        <f t="shared" si="110"/>
        <v>Medium</v>
      </c>
      <c r="AF633" t="str">
        <f>TEXT(Table1[[#This Row],[OrderDate]],"MMM")</f>
        <v>Sep</v>
      </c>
      <c r="AG633" t="str">
        <f>TEXT(Table1[[#This Row],[OrderDate]],"YYYY")</f>
        <v>2025</v>
      </c>
      <c r="AI633" s="4">
        <f>IF(Table1[[#This Row],[RequiredDate]]&lt;Table1[[#This Row],[OrderDate]], Table1[[#This Row],[OrderDate]]+7, Table1[[#This Row],[RequiredDate]])</f>
        <v>45925</v>
      </c>
      <c r="AJ633">
        <f>IF(Dashboard!$D$3&gt;'Staging Data'!V633,'Staging Data'!V633,Dashboard!D$3)</f>
        <v>0.16800000000000001</v>
      </c>
      <c r="AK633" s="19">
        <f>(100%+Dashboard!$D$4)*'Staging Data'!S633</f>
        <v>1563.3555000000001</v>
      </c>
      <c r="AL633">
        <f>(100%+Dashboard!$D$5)*'Staging Data'!W633</f>
        <v>27.599999999999998</v>
      </c>
    </row>
    <row r="634" spans="1:38" x14ac:dyDescent="0.35">
      <c r="X634" s="6">
        <f>SUM(X2:X633)</f>
        <v>10928845.716499997</v>
      </c>
      <c r="Z634" s="6">
        <f>SUM(Z2:Z633)</f>
        <v>3401098.0064999978</v>
      </c>
    </row>
  </sheetData>
  <phoneticPr fontId="3" type="noConversion"/>
  <conditionalFormatting sqref="V1:V1048576">
    <cfRule type="cellIs" dxfId="797" priority="1" operator="greaterThan">
      <formula>0.3</formula>
    </cfRule>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6"/>
  <sheetViews>
    <sheetView topLeftCell="A68" workbookViewId="0">
      <selection activeCell="A66" sqref="A66:XFD66"/>
    </sheetView>
  </sheetViews>
  <sheetFormatPr defaultRowHeight="14.5" x14ac:dyDescent="0.35"/>
  <sheetData>
    <row r="1" spans="1:1" x14ac:dyDescent="0.35">
      <c r="A1" s="1" t="s">
        <v>1364</v>
      </c>
    </row>
    <row r="2" spans="1:1" x14ac:dyDescent="0.35">
      <c r="A2" t="s">
        <v>1365</v>
      </c>
    </row>
    <row r="4" spans="1:1" x14ac:dyDescent="0.35">
      <c r="A4" t="s">
        <v>1366</v>
      </c>
    </row>
    <row r="5" spans="1:1" x14ac:dyDescent="0.35">
      <c r="A5" t="s">
        <v>1367</v>
      </c>
    </row>
    <row r="6" spans="1:1" x14ac:dyDescent="0.35">
      <c r="A6" t="s">
        <v>1368</v>
      </c>
    </row>
    <row r="8" spans="1:1" x14ac:dyDescent="0.35">
      <c r="A8" t="s">
        <v>1369</v>
      </c>
    </row>
    <row r="9" spans="1:1" x14ac:dyDescent="0.35">
      <c r="A9" t="s">
        <v>1370</v>
      </c>
    </row>
    <row r="10" spans="1:1" s="28" customFormat="1" x14ac:dyDescent="0.35">
      <c r="A10" s="28" t="s">
        <v>1371</v>
      </c>
    </row>
    <row r="11" spans="1:1" s="27" customFormat="1" x14ac:dyDescent="0.35">
      <c r="A11" s="27" t="s">
        <v>1422</v>
      </c>
    </row>
    <row r="13" spans="1:1" s="2" customFormat="1" x14ac:dyDescent="0.35">
      <c r="A13" s="2" t="s">
        <v>1372</v>
      </c>
    </row>
    <row r="14" spans="1:1" s="27" customFormat="1" x14ac:dyDescent="0.35">
      <c r="A14" s="27" t="s">
        <v>1425</v>
      </c>
    </row>
    <row r="15" spans="1:1" s="2" customFormat="1" x14ac:dyDescent="0.35">
      <c r="A15" s="2" t="s">
        <v>1373</v>
      </c>
    </row>
    <row r="16" spans="1:1" s="28" customFormat="1" x14ac:dyDescent="0.35">
      <c r="A16" s="27" t="s">
        <v>1424</v>
      </c>
    </row>
    <row r="17" spans="1:1" s="28" customFormat="1" x14ac:dyDescent="0.35">
      <c r="A17" s="28" t="s">
        <v>1374</v>
      </c>
    </row>
    <row r="18" spans="1:1" s="27" customFormat="1" x14ac:dyDescent="0.35">
      <c r="A18" s="27" t="s">
        <v>1427</v>
      </c>
    </row>
    <row r="19" spans="1:1" s="2" customFormat="1" x14ac:dyDescent="0.35">
      <c r="A19" s="2" t="s">
        <v>1375</v>
      </c>
    </row>
    <row r="20" spans="1:1" s="33" customFormat="1" x14ac:dyDescent="0.35">
      <c r="A20" s="33" t="s">
        <v>1530</v>
      </c>
    </row>
    <row r="21" spans="1:1" s="2" customFormat="1" x14ac:dyDescent="0.35">
      <c r="A21" s="2" t="s">
        <v>1376</v>
      </c>
    </row>
    <row r="23" spans="1:1" x14ac:dyDescent="0.35">
      <c r="A23" t="s">
        <v>1377</v>
      </c>
    </row>
    <row r="24" spans="1:1" x14ac:dyDescent="0.35">
      <c r="A24" t="s">
        <v>1378</v>
      </c>
    </row>
    <row r="25" spans="1:1" x14ac:dyDescent="0.35">
      <c r="A25" t="s">
        <v>1379</v>
      </c>
    </row>
    <row r="26" spans="1:1" x14ac:dyDescent="0.35">
      <c r="A26" t="s">
        <v>1380</v>
      </c>
    </row>
    <row r="27" spans="1:1" x14ac:dyDescent="0.35">
      <c r="A27" t="s">
        <v>1381</v>
      </c>
    </row>
    <row r="29" spans="1:1" x14ac:dyDescent="0.35">
      <c r="A29" t="s">
        <v>1382</v>
      </c>
    </row>
    <row r="30" spans="1:1" s="2" customFormat="1" x14ac:dyDescent="0.35">
      <c r="A30" s="2" t="s">
        <v>1383</v>
      </c>
    </row>
    <row r="31" spans="1:1" s="27" customFormat="1" x14ac:dyDescent="0.35">
      <c r="A31" s="27" t="s">
        <v>1437</v>
      </c>
    </row>
    <row r="32" spans="1:1" s="2" customFormat="1" x14ac:dyDescent="0.35">
      <c r="A32" s="2" t="s">
        <v>1384</v>
      </c>
    </row>
    <row r="33" spans="1:1" s="27" customFormat="1" x14ac:dyDescent="0.35">
      <c r="A33" s="27" t="s">
        <v>1436</v>
      </c>
    </row>
    <row r="34" spans="1:1" s="2" customFormat="1" x14ac:dyDescent="0.35">
      <c r="A34" s="2" t="s">
        <v>1385</v>
      </c>
    </row>
    <row r="35" spans="1:1" s="27" customFormat="1" x14ac:dyDescent="0.35">
      <c r="A35" s="27" t="s">
        <v>1438</v>
      </c>
    </row>
    <row r="36" spans="1:1" s="2" customFormat="1" x14ac:dyDescent="0.35">
      <c r="A36" s="2" t="s">
        <v>1386</v>
      </c>
    </row>
    <row r="37" spans="1:1" s="27" customFormat="1" x14ac:dyDescent="0.35">
      <c r="A37" s="27" t="s">
        <v>1441</v>
      </c>
    </row>
    <row r="39" spans="1:1" x14ac:dyDescent="0.35">
      <c r="A39" t="s">
        <v>1387</v>
      </c>
    </row>
    <row r="40" spans="1:1" s="2" customFormat="1" x14ac:dyDescent="0.35">
      <c r="A40" s="2" t="s">
        <v>1388</v>
      </c>
    </row>
    <row r="41" spans="1:1" s="2" customFormat="1" x14ac:dyDescent="0.35">
      <c r="A41" s="2" t="s">
        <v>1389</v>
      </c>
    </row>
    <row r="42" spans="1:1" s="27" customFormat="1" x14ac:dyDescent="0.35">
      <c r="A42" s="27" t="s">
        <v>1482</v>
      </c>
    </row>
    <row r="43" spans="1:1" s="2" customFormat="1" x14ac:dyDescent="0.35">
      <c r="A43" s="2" t="s">
        <v>1390</v>
      </c>
    </row>
    <row r="44" spans="1:1" s="2" customFormat="1" x14ac:dyDescent="0.35">
      <c r="A44" s="2" t="s">
        <v>1391</v>
      </c>
    </row>
    <row r="45" spans="1:1" s="27" customFormat="1" x14ac:dyDescent="0.35">
      <c r="A45" s="27" t="s">
        <v>1483</v>
      </c>
    </row>
    <row r="46" spans="1:1" s="2" customFormat="1" x14ac:dyDescent="0.35">
      <c r="A46" s="2" t="s">
        <v>1392</v>
      </c>
    </row>
    <row r="47" spans="1:1" s="2" customFormat="1" x14ac:dyDescent="0.35">
      <c r="A47" s="2" t="s">
        <v>1393</v>
      </c>
    </row>
    <row r="48" spans="1:1" s="27" customFormat="1" x14ac:dyDescent="0.35">
      <c r="A48" s="27" t="s">
        <v>1488</v>
      </c>
    </row>
    <row r="49" spans="1:1" s="2" customFormat="1" x14ac:dyDescent="0.35">
      <c r="A49" s="2" t="s">
        <v>1394</v>
      </c>
    </row>
    <row r="50" spans="1:1" s="2" customFormat="1" x14ac:dyDescent="0.35">
      <c r="A50" s="2" t="s">
        <v>1395</v>
      </c>
    </row>
    <row r="51" spans="1:1" s="27" customFormat="1" x14ac:dyDescent="0.35">
      <c r="A51" s="27" t="s">
        <v>1489</v>
      </c>
    </row>
    <row r="52" spans="1:1" s="28" customFormat="1" x14ac:dyDescent="0.35">
      <c r="A52" s="28" t="s">
        <v>1396</v>
      </c>
    </row>
    <row r="53" spans="1:1" s="2" customFormat="1" x14ac:dyDescent="0.35">
      <c r="A53" s="2" t="s">
        <v>1397</v>
      </c>
    </row>
    <row r="54" spans="1:1" s="27" customFormat="1" x14ac:dyDescent="0.35">
      <c r="A54" s="27" t="s">
        <v>1500</v>
      </c>
    </row>
    <row r="55" spans="1:1" s="2" customFormat="1" ht="13" customHeight="1" x14ac:dyDescent="0.35">
      <c r="A55" s="2" t="s">
        <v>1398</v>
      </c>
    </row>
    <row r="56" spans="1:1" s="2" customFormat="1" x14ac:dyDescent="0.35">
      <c r="A56" s="2" t="s">
        <v>1399</v>
      </c>
    </row>
    <row r="57" spans="1:1" s="27" customFormat="1" x14ac:dyDescent="0.35">
      <c r="A57" s="27" t="s">
        <v>1502</v>
      </c>
    </row>
    <row r="59" spans="1:1" x14ac:dyDescent="0.35">
      <c r="A59" s="2" t="s">
        <v>1400</v>
      </c>
    </row>
    <row r="60" spans="1:1" x14ac:dyDescent="0.35">
      <c r="A60" s="2" t="s">
        <v>1401</v>
      </c>
    </row>
    <row r="61" spans="1:1" x14ac:dyDescent="0.35">
      <c r="A61" s="2" t="s">
        <v>1402</v>
      </c>
    </row>
    <row r="62" spans="1:1" s="27" customFormat="1" x14ac:dyDescent="0.35">
      <c r="A62" s="27" t="s">
        <v>1503</v>
      </c>
    </row>
    <row r="63" spans="1:1" x14ac:dyDescent="0.35">
      <c r="A63" s="2" t="s">
        <v>1403</v>
      </c>
    </row>
    <row r="64" spans="1:1" s="27" customFormat="1" x14ac:dyDescent="0.35">
      <c r="A64" s="27" t="s">
        <v>1504</v>
      </c>
    </row>
    <row r="65" spans="1:1" x14ac:dyDescent="0.35">
      <c r="A65" s="2" t="s">
        <v>1404</v>
      </c>
    </row>
    <row r="66" spans="1:1" s="27" customFormat="1" x14ac:dyDescent="0.35">
      <c r="A66" s="27" t="s">
        <v>1505</v>
      </c>
    </row>
    <row r="67" spans="1:1" x14ac:dyDescent="0.35">
      <c r="A67" s="2" t="s">
        <v>1405</v>
      </c>
    </row>
    <row r="69" spans="1:1" s="2" customFormat="1" x14ac:dyDescent="0.35">
      <c r="A69" s="2" t="s">
        <v>1406</v>
      </c>
    </row>
    <row r="70" spans="1:1" s="2" customFormat="1" x14ac:dyDescent="0.35">
      <c r="A70" s="2" t="s">
        <v>1407</v>
      </c>
    </row>
    <row r="71" spans="1:1" s="2" customFormat="1" x14ac:dyDescent="0.35">
      <c r="A71" s="2" t="s">
        <v>1408</v>
      </c>
    </row>
    <row r="72" spans="1:1" s="2" customFormat="1" x14ac:dyDescent="0.35">
      <c r="A72" s="2" t="s">
        <v>1409</v>
      </c>
    </row>
    <row r="73" spans="1:1" s="2" customFormat="1" x14ac:dyDescent="0.35">
      <c r="A73" s="2" t="s">
        <v>1410</v>
      </c>
    </row>
    <row r="74" spans="1:1" s="2" customFormat="1" x14ac:dyDescent="0.35">
      <c r="A74" s="2" t="s">
        <v>1411</v>
      </c>
    </row>
    <row r="75" spans="1:1" s="2" customFormat="1" x14ac:dyDescent="0.35">
      <c r="A75" s="2" t="s">
        <v>1412</v>
      </c>
    </row>
    <row r="76" spans="1:1" s="2" customFormat="1" x14ac:dyDescent="0.35">
      <c r="A76" s="2" t="s">
        <v>1413</v>
      </c>
    </row>
    <row r="77" spans="1:1" s="2" customFormat="1" x14ac:dyDescent="0.35">
      <c r="A77" s="2" t="s">
        <v>1414</v>
      </c>
    </row>
    <row r="78" spans="1:1" s="2" customFormat="1" x14ac:dyDescent="0.35">
      <c r="A78" s="2" t="s">
        <v>1415</v>
      </c>
    </row>
    <row r="80" spans="1:1" x14ac:dyDescent="0.35">
      <c r="A80" t="s">
        <v>1416</v>
      </c>
    </row>
    <row r="81" spans="1:1" x14ac:dyDescent="0.35">
      <c r="A81" t="s">
        <v>1417</v>
      </c>
    </row>
    <row r="83" spans="1:1" x14ac:dyDescent="0.35">
      <c r="A83" t="s">
        <v>1418</v>
      </c>
    </row>
    <row r="84" spans="1:1" x14ac:dyDescent="0.35">
      <c r="A84" t="s">
        <v>1419</v>
      </c>
    </row>
    <row r="85" spans="1:1" x14ac:dyDescent="0.35">
      <c r="A85" t="s">
        <v>1420</v>
      </c>
    </row>
    <row r="86" spans="1:1" x14ac:dyDescent="0.35">
      <c r="A86" t="s">
        <v>1421</v>
      </c>
    </row>
  </sheetData>
  <mergeCells count="21">
    <mergeCell ref="A52:XFD52"/>
    <mergeCell ref="A54:XFD54"/>
    <mergeCell ref="A51:XFD51"/>
    <mergeCell ref="A62:XFD62"/>
    <mergeCell ref="A20:XFD20"/>
    <mergeCell ref="A64:XFD64"/>
    <mergeCell ref="A66:XFD66"/>
    <mergeCell ref="A10:XFD10"/>
    <mergeCell ref="A11:XFD11"/>
    <mergeCell ref="A16:XFD16"/>
    <mergeCell ref="A14:XFD14"/>
    <mergeCell ref="A17:XFD17"/>
    <mergeCell ref="A18:XFD18"/>
    <mergeCell ref="A31:XFD31"/>
    <mergeCell ref="A33:XFD33"/>
    <mergeCell ref="A35:XFD35"/>
    <mergeCell ref="A37:XFD37"/>
    <mergeCell ref="A57:XFD57"/>
    <mergeCell ref="A42:XFD42"/>
    <mergeCell ref="A45:XFD45"/>
    <mergeCell ref="A48:XFD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Country Vs Monthly Revenue</vt:lpstr>
      <vt:lpstr>SKU and ProductCategory vs Reve</vt:lpstr>
      <vt:lpstr>Salesperson Productivity</vt:lpstr>
      <vt:lpstr>Online Cannibalizing Retail</vt:lpstr>
      <vt:lpstr>LeadTimeDays vs OrderID</vt:lpstr>
      <vt:lpstr>DiscountPct &gt; 20% by Region and</vt:lpstr>
      <vt:lpstr>RevenueByMonth</vt:lpstr>
      <vt:lpstr>DiscountOutliers</vt:lpstr>
      <vt:lpstr>ProfitbyRegionandChannel</vt:lpstr>
      <vt:lpstr>Dashboard</vt:lpstr>
      <vt:lpstr>ReadMe</vt:lpstr>
      <vt:lpstr>Staging Data</vt:lpstr>
      <vt:lpstr>Brief</vt:lpstr>
      <vt:lpstr>HigherCutOff</vt:lpstr>
      <vt:lpstr>LowerCutOff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Mwende Mugambi</cp:lastModifiedBy>
  <dcterms:created xsi:type="dcterms:W3CDTF">2025-09-28T10:49:35Z</dcterms:created>
  <dcterms:modified xsi:type="dcterms:W3CDTF">2026-02-01T15:28:14Z</dcterms:modified>
</cp:coreProperties>
</file>